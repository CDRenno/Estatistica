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6/xls/"/>
    </mc:Choice>
  </mc:AlternateContent>
  <xr:revisionPtr revIDLastSave="2" documentId="11_C9A55B4CE2849164481FACFBF72B1B3FBA410FAA" xr6:coauthVersionLast="47" xr6:coauthVersionMax="47" xr10:uidLastSave="{58F2281C-2F66-4572-8590-DA080C90B9A7}"/>
  <bookViews>
    <workbookView xWindow="28680" yWindow="-120" windowWidth="29040" windowHeight="15840" xr2:uid="{00000000-000D-0000-FFFF-FFFF00000000}"/>
  </bookViews>
  <sheets>
    <sheet name="dados" sheetId="5" r:id="rId1"/>
    <sheet name="simples" sheetId="2" r:id="rId2"/>
    <sheet name="estratificad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5" l="1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23" i="5"/>
  <c r="C44" i="5"/>
  <c r="C64" i="5" s="1"/>
  <c r="C84" i="5" s="1"/>
  <c r="C104" i="5" s="1"/>
  <c r="C124" i="5" s="1"/>
  <c r="C144" i="5" s="1"/>
  <c r="C164" i="5" s="1"/>
  <c r="C184" i="5" s="1"/>
  <c r="C204" i="5" s="1"/>
  <c r="C224" i="5" s="1"/>
  <c r="C45" i="5"/>
  <c r="C46" i="5"/>
  <c r="C66" i="5" s="1"/>
  <c r="C86" i="5" s="1"/>
  <c r="C106" i="5" s="1"/>
  <c r="C126" i="5" s="1"/>
  <c r="C146" i="5" s="1"/>
  <c r="C166" i="5" s="1"/>
  <c r="C186" i="5" s="1"/>
  <c r="C206" i="5" s="1"/>
  <c r="C226" i="5" s="1"/>
  <c r="C246" i="5" s="1"/>
  <c r="C266" i="5" s="1"/>
  <c r="C47" i="5"/>
  <c r="C48" i="5"/>
  <c r="C68" i="5" s="1"/>
  <c r="C88" i="5" s="1"/>
  <c r="C108" i="5" s="1"/>
  <c r="C128" i="5" s="1"/>
  <c r="C148" i="5" s="1"/>
  <c r="C168" i="5" s="1"/>
  <c r="C188" i="5" s="1"/>
  <c r="C208" i="5" s="1"/>
  <c r="C228" i="5" s="1"/>
  <c r="C248" i="5" s="1"/>
  <c r="C268" i="5" s="1"/>
  <c r="C288" i="5" s="1"/>
  <c r="C308" i="5" s="1"/>
  <c r="C49" i="5"/>
  <c r="C50" i="5"/>
  <c r="C70" i="5" s="1"/>
  <c r="C90" i="5" s="1"/>
  <c r="C110" i="5" s="1"/>
  <c r="C130" i="5" s="1"/>
  <c r="C150" i="5" s="1"/>
  <c r="C170" i="5" s="1"/>
  <c r="C190" i="5" s="1"/>
  <c r="C210" i="5" s="1"/>
  <c r="C230" i="5" s="1"/>
  <c r="C250" i="5" s="1"/>
  <c r="C270" i="5" s="1"/>
  <c r="C290" i="5" s="1"/>
  <c r="C310" i="5" s="1"/>
  <c r="C330" i="5" s="1"/>
  <c r="C350" i="5" s="1"/>
  <c r="C370" i="5" s="1"/>
  <c r="C390" i="5" s="1"/>
  <c r="C410" i="5" s="1"/>
  <c r="C51" i="5"/>
  <c r="C52" i="5"/>
  <c r="C72" i="5" s="1"/>
  <c r="C92" i="5" s="1"/>
  <c r="C112" i="5" s="1"/>
  <c r="C132" i="5" s="1"/>
  <c r="C152" i="5" s="1"/>
  <c r="C172" i="5" s="1"/>
  <c r="C192" i="5" s="1"/>
  <c r="C212" i="5" s="1"/>
  <c r="C232" i="5" s="1"/>
  <c r="C53" i="5"/>
  <c r="C54" i="5"/>
  <c r="C74" i="5" s="1"/>
  <c r="C94" i="5" s="1"/>
  <c r="C114" i="5" s="1"/>
  <c r="C134" i="5" s="1"/>
  <c r="C154" i="5" s="1"/>
  <c r="C174" i="5" s="1"/>
  <c r="C194" i="5" s="1"/>
  <c r="C214" i="5" s="1"/>
  <c r="C234" i="5" s="1"/>
  <c r="C254" i="5" s="1"/>
  <c r="C274" i="5" s="1"/>
  <c r="C55" i="5"/>
  <c r="C56" i="5"/>
  <c r="C76" i="5" s="1"/>
  <c r="C96" i="5" s="1"/>
  <c r="C116" i="5" s="1"/>
  <c r="C136" i="5" s="1"/>
  <c r="C156" i="5" s="1"/>
  <c r="C176" i="5" s="1"/>
  <c r="C196" i="5" s="1"/>
  <c r="C216" i="5" s="1"/>
  <c r="C236" i="5" s="1"/>
  <c r="C256" i="5" s="1"/>
  <c r="C276" i="5" s="1"/>
  <c r="C296" i="5" s="1"/>
  <c r="C316" i="5" s="1"/>
  <c r="C57" i="5"/>
  <c r="C77" i="5" s="1"/>
  <c r="C97" i="5" s="1"/>
  <c r="C117" i="5" s="1"/>
  <c r="C137" i="5" s="1"/>
  <c r="C157" i="5" s="1"/>
  <c r="C177" i="5" s="1"/>
  <c r="C197" i="5" s="1"/>
  <c r="C217" i="5" s="1"/>
  <c r="C237" i="5" s="1"/>
  <c r="C257" i="5" s="1"/>
  <c r="C277" i="5" s="1"/>
  <c r="C297" i="5" s="1"/>
  <c r="C317" i="5" s="1"/>
  <c r="C337" i="5" s="1"/>
  <c r="C357" i="5" s="1"/>
  <c r="C377" i="5" s="1"/>
  <c r="C397" i="5" s="1"/>
  <c r="C417" i="5" s="1"/>
  <c r="C58" i="5"/>
  <c r="C78" i="5" s="1"/>
  <c r="C98" i="5" s="1"/>
  <c r="C118" i="5" s="1"/>
  <c r="C138" i="5" s="1"/>
  <c r="C158" i="5" s="1"/>
  <c r="C178" i="5" s="1"/>
  <c r="C198" i="5" s="1"/>
  <c r="C218" i="5" s="1"/>
  <c r="C238" i="5" s="1"/>
  <c r="C258" i="5" s="1"/>
  <c r="C278" i="5" s="1"/>
  <c r="C298" i="5" s="1"/>
  <c r="C318" i="5" s="1"/>
  <c r="C338" i="5" s="1"/>
  <c r="C358" i="5" s="1"/>
  <c r="C378" i="5" s="1"/>
  <c r="C398" i="5" s="1"/>
  <c r="C418" i="5" s="1"/>
  <c r="C59" i="5"/>
  <c r="C60" i="5"/>
  <c r="C80" i="5" s="1"/>
  <c r="C100" i="5" s="1"/>
  <c r="C120" i="5" s="1"/>
  <c r="C140" i="5" s="1"/>
  <c r="C160" i="5" s="1"/>
  <c r="C180" i="5" s="1"/>
  <c r="C200" i="5" s="1"/>
  <c r="C220" i="5" s="1"/>
  <c r="C240" i="5" s="1"/>
  <c r="C61" i="5"/>
  <c r="C62" i="5"/>
  <c r="C82" i="5" s="1"/>
  <c r="C102" i="5" s="1"/>
  <c r="C122" i="5" s="1"/>
  <c r="C142" i="5" s="1"/>
  <c r="C162" i="5" s="1"/>
  <c r="C182" i="5" s="1"/>
  <c r="C202" i="5" s="1"/>
  <c r="C222" i="5" s="1"/>
  <c r="C242" i="5" s="1"/>
  <c r="C262" i="5" s="1"/>
  <c r="C282" i="5" s="1"/>
  <c r="C302" i="5" s="1"/>
  <c r="C322" i="5" s="1"/>
  <c r="C342" i="5" s="1"/>
  <c r="C362" i="5" s="1"/>
  <c r="C382" i="5" s="1"/>
  <c r="C402" i="5" s="1"/>
  <c r="C422" i="5" s="1"/>
  <c r="C65" i="5"/>
  <c r="C85" i="5" s="1"/>
  <c r="C105" i="5" s="1"/>
  <c r="C125" i="5" s="1"/>
  <c r="C145" i="5" s="1"/>
  <c r="C165" i="5" s="1"/>
  <c r="C185" i="5" s="1"/>
  <c r="C205" i="5" s="1"/>
  <c r="C225" i="5" s="1"/>
  <c r="C245" i="5" s="1"/>
  <c r="C67" i="5"/>
  <c r="C87" i="5" s="1"/>
  <c r="C107" i="5" s="1"/>
  <c r="C127" i="5" s="1"/>
  <c r="C147" i="5" s="1"/>
  <c r="C167" i="5" s="1"/>
  <c r="C187" i="5" s="1"/>
  <c r="C207" i="5" s="1"/>
  <c r="C227" i="5" s="1"/>
  <c r="C247" i="5" s="1"/>
  <c r="C267" i="5" s="1"/>
  <c r="C287" i="5" s="1"/>
  <c r="C307" i="5" s="1"/>
  <c r="C327" i="5" s="1"/>
  <c r="C347" i="5" s="1"/>
  <c r="C367" i="5" s="1"/>
  <c r="C387" i="5" s="1"/>
  <c r="C407" i="5" s="1"/>
  <c r="C69" i="5"/>
  <c r="C89" i="5" s="1"/>
  <c r="C109" i="5" s="1"/>
  <c r="C129" i="5" s="1"/>
  <c r="C149" i="5" s="1"/>
  <c r="C169" i="5" s="1"/>
  <c r="C189" i="5" s="1"/>
  <c r="C209" i="5" s="1"/>
  <c r="C229" i="5" s="1"/>
  <c r="C249" i="5" s="1"/>
  <c r="C269" i="5" s="1"/>
  <c r="C289" i="5" s="1"/>
  <c r="C309" i="5" s="1"/>
  <c r="C329" i="5" s="1"/>
  <c r="C349" i="5" s="1"/>
  <c r="C369" i="5" s="1"/>
  <c r="C389" i="5" s="1"/>
  <c r="C409" i="5" s="1"/>
  <c r="C71" i="5"/>
  <c r="C91" i="5" s="1"/>
  <c r="C111" i="5" s="1"/>
  <c r="C131" i="5" s="1"/>
  <c r="C151" i="5" s="1"/>
  <c r="C171" i="5" s="1"/>
  <c r="C191" i="5" s="1"/>
  <c r="C211" i="5" s="1"/>
  <c r="C231" i="5" s="1"/>
  <c r="C251" i="5" s="1"/>
  <c r="C271" i="5" s="1"/>
  <c r="C291" i="5" s="1"/>
  <c r="C311" i="5" s="1"/>
  <c r="C331" i="5" s="1"/>
  <c r="C351" i="5" s="1"/>
  <c r="C371" i="5" s="1"/>
  <c r="C391" i="5" s="1"/>
  <c r="C411" i="5" s="1"/>
  <c r="C73" i="5"/>
  <c r="C93" i="5" s="1"/>
  <c r="C113" i="5" s="1"/>
  <c r="C133" i="5" s="1"/>
  <c r="C153" i="5" s="1"/>
  <c r="C173" i="5" s="1"/>
  <c r="C193" i="5" s="1"/>
  <c r="C213" i="5" s="1"/>
  <c r="C233" i="5" s="1"/>
  <c r="C253" i="5" s="1"/>
  <c r="C273" i="5" s="1"/>
  <c r="C293" i="5" s="1"/>
  <c r="C313" i="5" s="1"/>
  <c r="C333" i="5" s="1"/>
  <c r="C353" i="5" s="1"/>
  <c r="C373" i="5" s="1"/>
  <c r="C393" i="5" s="1"/>
  <c r="C413" i="5" s="1"/>
  <c r="C75" i="5"/>
  <c r="C95" i="5" s="1"/>
  <c r="C115" i="5" s="1"/>
  <c r="C135" i="5" s="1"/>
  <c r="C155" i="5" s="1"/>
  <c r="C175" i="5" s="1"/>
  <c r="C195" i="5" s="1"/>
  <c r="C215" i="5" s="1"/>
  <c r="C235" i="5" s="1"/>
  <c r="C255" i="5" s="1"/>
  <c r="C275" i="5" s="1"/>
  <c r="C295" i="5" s="1"/>
  <c r="C315" i="5" s="1"/>
  <c r="C335" i="5" s="1"/>
  <c r="C355" i="5" s="1"/>
  <c r="C375" i="5" s="1"/>
  <c r="C395" i="5" s="1"/>
  <c r="C415" i="5" s="1"/>
  <c r="C79" i="5"/>
  <c r="C99" i="5" s="1"/>
  <c r="C119" i="5" s="1"/>
  <c r="C139" i="5" s="1"/>
  <c r="C159" i="5" s="1"/>
  <c r="C179" i="5" s="1"/>
  <c r="C199" i="5" s="1"/>
  <c r="C219" i="5" s="1"/>
  <c r="C239" i="5" s="1"/>
  <c r="C259" i="5" s="1"/>
  <c r="C279" i="5" s="1"/>
  <c r="C299" i="5" s="1"/>
  <c r="C81" i="5"/>
  <c r="C101" i="5" s="1"/>
  <c r="C121" i="5" s="1"/>
  <c r="C141" i="5" s="1"/>
  <c r="C161" i="5" s="1"/>
  <c r="C181" i="5" s="1"/>
  <c r="C201" i="5" s="1"/>
  <c r="C221" i="5" s="1"/>
  <c r="C241" i="5" s="1"/>
  <c r="C261" i="5" s="1"/>
  <c r="C281" i="5" s="1"/>
  <c r="C301" i="5" s="1"/>
  <c r="C321" i="5" s="1"/>
  <c r="C341" i="5" s="1"/>
  <c r="C361" i="5" s="1"/>
  <c r="C381" i="5" s="1"/>
  <c r="C401" i="5" s="1"/>
  <c r="C421" i="5" s="1"/>
  <c r="C244" i="5"/>
  <c r="C264" i="5" s="1"/>
  <c r="C284" i="5" s="1"/>
  <c r="C304" i="5" s="1"/>
  <c r="C324" i="5" s="1"/>
  <c r="C344" i="5" s="1"/>
  <c r="C364" i="5" s="1"/>
  <c r="C384" i="5" s="1"/>
  <c r="C404" i="5" s="1"/>
  <c r="C252" i="5"/>
  <c r="C272" i="5" s="1"/>
  <c r="C292" i="5" s="1"/>
  <c r="C312" i="5" s="1"/>
  <c r="C332" i="5" s="1"/>
  <c r="C352" i="5" s="1"/>
  <c r="C372" i="5" s="1"/>
  <c r="C392" i="5" s="1"/>
  <c r="C412" i="5" s="1"/>
  <c r="C260" i="5"/>
  <c r="C280" i="5" s="1"/>
  <c r="C300" i="5" s="1"/>
  <c r="C320" i="5" s="1"/>
  <c r="C340" i="5" s="1"/>
  <c r="C360" i="5" s="1"/>
  <c r="C380" i="5" s="1"/>
  <c r="C400" i="5" s="1"/>
  <c r="C420" i="5" s="1"/>
  <c r="C265" i="5"/>
  <c r="C285" i="5" s="1"/>
  <c r="C305" i="5" s="1"/>
  <c r="C325" i="5" s="1"/>
  <c r="C345" i="5" s="1"/>
  <c r="C365" i="5" s="1"/>
  <c r="C385" i="5" s="1"/>
  <c r="C405" i="5" s="1"/>
  <c r="C286" i="5"/>
  <c r="C306" i="5" s="1"/>
  <c r="C326" i="5" s="1"/>
  <c r="C346" i="5" s="1"/>
  <c r="C294" i="5"/>
  <c r="C314" i="5" s="1"/>
  <c r="C334" i="5" s="1"/>
  <c r="C354" i="5" s="1"/>
  <c r="C374" i="5" s="1"/>
  <c r="C394" i="5" s="1"/>
  <c r="C414" i="5" s="1"/>
  <c r="C319" i="5"/>
  <c r="C339" i="5" s="1"/>
  <c r="C359" i="5" s="1"/>
  <c r="C379" i="5" s="1"/>
  <c r="C399" i="5" s="1"/>
  <c r="C419" i="5" s="1"/>
  <c r="C328" i="5"/>
  <c r="C348" i="5" s="1"/>
  <c r="C368" i="5" s="1"/>
  <c r="C388" i="5" s="1"/>
  <c r="C408" i="5" s="1"/>
  <c r="C336" i="5"/>
  <c r="C356" i="5" s="1"/>
  <c r="C376" i="5" s="1"/>
  <c r="C396" i="5" s="1"/>
  <c r="C416" i="5" s="1"/>
  <c r="C366" i="5"/>
  <c r="C386" i="5" s="1"/>
  <c r="C406" i="5" s="1"/>
  <c r="B44" i="5"/>
  <c r="B45" i="5"/>
  <c r="B65" i="5" s="1"/>
  <c r="B46" i="5"/>
  <c r="B47" i="5"/>
  <c r="B67" i="5" s="1"/>
  <c r="B87" i="5" s="1"/>
  <c r="B107" i="5" s="1"/>
  <c r="B127" i="5" s="1"/>
  <c r="B147" i="5" s="1"/>
  <c r="B167" i="5" s="1"/>
  <c r="B187" i="5" s="1"/>
  <c r="B207" i="5" s="1"/>
  <c r="B227" i="5" s="1"/>
  <c r="B247" i="5" s="1"/>
  <c r="B267" i="5" s="1"/>
  <c r="B287" i="5" s="1"/>
  <c r="B307" i="5" s="1"/>
  <c r="B327" i="5" s="1"/>
  <c r="B347" i="5" s="1"/>
  <c r="B367" i="5" s="1"/>
  <c r="B387" i="5" s="1"/>
  <c r="B407" i="5" s="1"/>
  <c r="B48" i="5"/>
  <c r="B68" i="5" s="1"/>
  <c r="B88" i="5" s="1"/>
  <c r="B108" i="5" s="1"/>
  <c r="B128" i="5" s="1"/>
  <c r="B148" i="5" s="1"/>
  <c r="B168" i="5" s="1"/>
  <c r="B188" i="5" s="1"/>
  <c r="B208" i="5" s="1"/>
  <c r="B228" i="5" s="1"/>
  <c r="B248" i="5" s="1"/>
  <c r="B268" i="5" s="1"/>
  <c r="B288" i="5" s="1"/>
  <c r="B308" i="5" s="1"/>
  <c r="B328" i="5" s="1"/>
  <c r="B348" i="5" s="1"/>
  <c r="B368" i="5" s="1"/>
  <c r="B388" i="5" s="1"/>
  <c r="B408" i="5" s="1"/>
  <c r="B49" i="5"/>
  <c r="B69" i="5" s="1"/>
  <c r="B89" i="5" s="1"/>
  <c r="B109" i="5" s="1"/>
  <c r="B129" i="5" s="1"/>
  <c r="B149" i="5" s="1"/>
  <c r="B169" i="5" s="1"/>
  <c r="B189" i="5" s="1"/>
  <c r="B209" i="5" s="1"/>
  <c r="B229" i="5" s="1"/>
  <c r="B249" i="5" s="1"/>
  <c r="B269" i="5" s="1"/>
  <c r="B289" i="5" s="1"/>
  <c r="B309" i="5" s="1"/>
  <c r="B329" i="5" s="1"/>
  <c r="B349" i="5" s="1"/>
  <c r="B369" i="5" s="1"/>
  <c r="B389" i="5" s="1"/>
  <c r="B409" i="5" s="1"/>
  <c r="B50" i="5"/>
  <c r="B51" i="5"/>
  <c r="B71" i="5" s="1"/>
  <c r="B91" i="5" s="1"/>
  <c r="B111" i="5" s="1"/>
  <c r="B131" i="5" s="1"/>
  <c r="B151" i="5" s="1"/>
  <c r="B171" i="5" s="1"/>
  <c r="B191" i="5" s="1"/>
  <c r="B211" i="5" s="1"/>
  <c r="B231" i="5" s="1"/>
  <c r="B251" i="5" s="1"/>
  <c r="B271" i="5" s="1"/>
  <c r="B291" i="5" s="1"/>
  <c r="B311" i="5" s="1"/>
  <c r="B331" i="5" s="1"/>
  <c r="B351" i="5" s="1"/>
  <c r="B371" i="5" s="1"/>
  <c r="B391" i="5" s="1"/>
  <c r="B411" i="5" s="1"/>
  <c r="B52" i="5"/>
  <c r="B72" i="5" s="1"/>
  <c r="B92" i="5" s="1"/>
  <c r="B112" i="5" s="1"/>
  <c r="B132" i="5" s="1"/>
  <c r="B152" i="5" s="1"/>
  <c r="B172" i="5" s="1"/>
  <c r="B192" i="5" s="1"/>
  <c r="B212" i="5" s="1"/>
  <c r="B232" i="5" s="1"/>
  <c r="B252" i="5" s="1"/>
  <c r="B272" i="5" s="1"/>
  <c r="B292" i="5" s="1"/>
  <c r="B312" i="5" s="1"/>
  <c r="B332" i="5" s="1"/>
  <c r="B352" i="5" s="1"/>
  <c r="B372" i="5" s="1"/>
  <c r="B392" i="5" s="1"/>
  <c r="B412" i="5" s="1"/>
  <c r="B53" i="5"/>
  <c r="B73" i="5" s="1"/>
  <c r="B54" i="5"/>
  <c r="B74" i="5" s="1"/>
  <c r="B94" i="5" s="1"/>
  <c r="B114" i="5" s="1"/>
  <c r="B134" i="5" s="1"/>
  <c r="B154" i="5" s="1"/>
  <c r="B174" i="5" s="1"/>
  <c r="B194" i="5" s="1"/>
  <c r="B214" i="5" s="1"/>
  <c r="B234" i="5" s="1"/>
  <c r="B254" i="5" s="1"/>
  <c r="B274" i="5" s="1"/>
  <c r="B294" i="5" s="1"/>
  <c r="B314" i="5" s="1"/>
  <c r="B334" i="5" s="1"/>
  <c r="B354" i="5" s="1"/>
  <c r="B374" i="5" s="1"/>
  <c r="B394" i="5" s="1"/>
  <c r="B414" i="5" s="1"/>
  <c r="B55" i="5"/>
  <c r="B75" i="5" s="1"/>
  <c r="B95" i="5" s="1"/>
  <c r="B115" i="5" s="1"/>
  <c r="B135" i="5" s="1"/>
  <c r="B155" i="5" s="1"/>
  <c r="B175" i="5" s="1"/>
  <c r="B195" i="5" s="1"/>
  <c r="B215" i="5" s="1"/>
  <c r="B235" i="5" s="1"/>
  <c r="B255" i="5" s="1"/>
  <c r="B275" i="5" s="1"/>
  <c r="B295" i="5" s="1"/>
  <c r="B315" i="5" s="1"/>
  <c r="B335" i="5" s="1"/>
  <c r="B355" i="5" s="1"/>
  <c r="B375" i="5" s="1"/>
  <c r="B395" i="5" s="1"/>
  <c r="B415" i="5" s="1"/>
  <c r="B56" i="5"/>
  <c r="B76" i="5" s="1"/>
  <c r="B96" i="5" s="1"/>
  <c r="B116" i="5" s="1"/>
  <c r="B136" i="5" s="1"/>
  <c r="B156" i="5" s="1"/>
  <c r="B176" i="5" s="1"/>
  <c r="B196" i="5" s="1"/>
  <c r="B216" i="5" s="1"/>
  <c r="B236" i="5" s="1"/>
  <c r="B256" i="5" s="1"/>
  <c r="B276" i="5" s="1"/>
  <c r="B296" i="5" s="1"/>
  <c r="B316" i="5" s="1"/>
  <c r="B336" i="5" s="1"/>
  <c r="B356" i="5" s="1"/>
  <c r="B376" i="5" s="1"/>
  <c r="B396" i="5" s="1"/>
  <c r="B416" i="5" s="1"/>
  <c r="B57" i="5"/>
  <c r="B77" i="5" s="1"/>
  <c r="B97" i="5" s="1"/>
  <c r="B117" i="5" s="1"/>
  <c r="B137" i="5" s="1"/>
  <c r="B157" i="5" s="1"/>
  <c r="B177" i="5" s="1"/>
  <c r="B197" i="5" s="1"/>
  <c r="B217" i="5" s="1"/>
  <c r="B237" i="5" s="1"/>
  <c r="B257" i="5" s="1"/>
  <c r="B277" i="5" s="1"/>
  <c r="B297" i="5" s="1"/>
  <c r="B317" i="5" s="1"/>
  <c r="B337" i="5" s="1"/>
  <c r="B357" i="5" s="1"/>
  <c r="B377" i="5" s="1"/>
  <c r="B397" i="5" s="1"/>
  <c r="B417" i="5" s="1"/>
  <c r="B58" i="5"/>
  <c r="B59" i="5"/>
  <c r="B79" i="5" s="1"/>
  <c r="B60" i="5"/>
  <c r="B80" i="5" s="1"/>
  <c r="B100" i="5" s="1"/>
  <c r="B120" i="5" s="1"/>
  <c r="B140" i="5" s="1"/>
  <c r="B160" i="5" s="1"/>
  <c r="B180" i="5" s="1"/>
  <c r="B200" i="5" s="1"/>
  <c r="B220" i="5" s="1"/>
  <c r="B240" i="5" s="1"/>
  <c r="B260" i="5" s="1"/>
  <c r="B280" i="5" s="1"/>
  <c r="B300" i="5" s="1"/>
  <c r="B320" i="5" s="1"/>
  <c r="B340" i="5" s="1"/>
  <c r="B360" i="5" s="1"/>
  <c r="B380" i="5" s="1"/>
  <c r="B400" i="5" s="1"/>
  <c r="B420" i="5" s="1"/>
  <c r="B61" i="5"/>
  <c r="B81" i="5" s="1"/>
  <c r="B62" i="5"/>
  <c r="B64" i="5"/>
  <c r="B84" i="5" s="1"/>
  <c r="B104" i="5" s="1"/>
  <c r="B124" i="5" s="1"/>
  <c r="B144" i="5" s="1"/>
  <c r="B164" i="5" s="1"/>
  <c r="B184" i="5" s="1"/>
  <c r="B204" i="5" s="1"/>
  <c r="B224" i="5" s="1"/>
  <c r="B244" i="5" s="1"/>
  <c r="B264" i="5" s="1"/>
  <c r="B284" i="5" s="1"/>
  <c r="B304" i="5" s="1"/>
  <c r="B324" i="5" s="1"/>
  <c r="B344" i="5" s="1"/>
  <c r="B364" i="5" s="1"/>
  <c r="B384" i="5" s="1"/>
  <c r="B404" i="5" s="1"/>
  <c r="B66" i="5"/>
  <c r="B86" i="5" s="1"/>
  <c r="B106" i="5" s="1"/>
  <c r="B126" i="5" s="1"/>
  <c r="B146" i="5" s="1"/>
  <c r="B166" i="5" s="1"/>
  <c r="B186" i="5" s="1"/>
  <c r="B206" i="5" s="1"/>
  <c r="B226" i="5" s="1"/>
  <c r="B246" i="5" s="1"/>
  <c r="B266" i="5" s="1"/>
  <c r="B286" i="5" s="1"/>
  <c r="B306" i="5" s="1"/>
  <c r="B326" i="5" s="1"/>
  <c r="B346" i="5" s="1"/>
  <c r="B366" i="5" s="1"/>
  <c r="B386" i="5" s="1"/>
  <c r="B406" i="5" s="1"/>
  <c r="B70" i="5"/>
  <c r="B90" i="5" s="1"/>
  <c r="B110" i="5" s="1"/>
  <c r="B130" i="5" s="1"/>
  <c r="B150" i="5" s="1"/>
  <c r="B170" i="5" s="1"/>
  <c r="B190" i="5" s="1"/>
  <c r="B210" i="5" s="1"/>
  <c r="B230" i="5" s="1"/>
  <c r="B250" i="5" s="1"/>
  <c r="B270" i="5" s="1"/>
  <c r="B290" i="5" s="1"/>
  <c r="B310" i="5" s="1"/>
  <c r="B330" i="5" s="1"/>
  <c r="B350" i="5" s="1"/>
  <c r="B370" i="5" s="1"/>
  <c r="B390" i="5" s="1"/>
  <c r="B410" i="5" s="1"/>
  <c r="B78" i="5"/>
  <c r="B98" i="5" s="1"/>
  <c r="B118" i="5" s="1"/>
  <c r="B138" i="5" s="1"/>
  <c r="B158" i="5" s="1"/>
  <c r="B178" i="5" s="1"/>
  <c r="B198" i="5" s="1"/>
  <c r="B218" i="5" s="1"/>
  <c r="B238" i="5" s="1"/>
  <c r="B258" i="5" s="1"/>
  <c r="B278" i="5" s="1"/>
  <c r="B298" i="5" s="1"/>
  <c r="B318" i="5" s="1"/>
  <c r="B338" i="5" s="1"/>
  <c r="B358" i="5" s="1"/>
  <c r="B378" i="5" s="1"/>
  <c r="B398" i="5" s="1"/>
  <c r="B418" i="5" s="1"/>
  <c r="B82" i="5"/>
  <c r="B102" i="5" s="1"/>
  <c r="B122" i="5" s="1"/>
  <c r="B142" i="5" s="1"/>
  <c r="B162" i="5" s="1"/>
  <c r="B182" i="5" s="1"/>
  <c r="B202" i="5" s="1"/>
  <c r="B222" i="5" s="1"/>
  <c r="B242" i="5" s="1"/>
  <c r="B262" i="5" s="1"/>
  <c r="B282" i="5" s="1"/>
  <c r="B302" i="5" s="1"/>
  <c r="B322" i="5" s="1"/>
  <c r="B342" i="5" s="1"/>
  <c r="B362" i="5" s="1"/>
  <c r="B382" i="5" s="1"/>
  <c r="B402" i="5" s="1"/>
  <c r="B422" i="5" s="1"/>
  <c r="B85" i="5"/>
  <c r="B105" i="5" s="1"/>
  <c r="B125" i="5" s="1"/>
  <c r="B145" i="5" s="1"/>
  <c r="B165" i="5" s="1"/>
  <c r="B185" i="5" s="1"/>
  <c r="B205" i="5" s="1"/>
  <c r="B225" i="5" s="1"/>
  <c r="B245" i="5" s="1"/>
  <c r="B265" i="5" s="1"/>
  <c r="B285" i="5" s="1"/>
  <c r="B305" i="5" s="1"/>
  <c r="B325" i="5" s="1"/>
  <c r="B345" i="5" s="1"/>
  <c r="B365" i="5" s="1"/>
  <c r="B385" i="5" s="1"/>
  <c r="B405" i="5" s="1"/>
  <c r="B93" i="5"/>
  <c r="B113" i="5" s="1"/>
  <c r="B133" i="5" s="1"/>
  <c r="B153" i="5" s="1"/>
  <c r="B173" i="5" s="1"/>
  <c r="B193" i="5" s="1"/>
  <c r="B213" i="5" s="1"/>
  <c r="B233" i="5" s="1"/>
  <c r="B253" i="5" s="1"/>
  <c r="B273" i="5" s="1"/>
  <c r="B293" i="5" s="1"/>
  <c r="B313" i="5" s="1"/>
  <c r="B333" i="5" s="1"/>
  <c r="B353" i="5" s="1"/>
  <c r="B373" i="5" s="1"/>
  <c r="B393" i="5" s="1"/>
  <c r="B413" i="5" s="1"/>
  <c r="B99" i="5"/>
  <c r="B119" i="5" s="1"/>
  <c r="B139" i="5" s="1"/>
  <c r="B159" i="5" s="1"/>
  <c r="B179" i="5" s="1"/>
  <c r="B199" i="5" s="1"/>
  <c r="B219" i="5" s="1"/>
  <c r="B239" i="5" s="1"/>
  <c r="B259" i="5" s="1"/>
  <c r="B279" i="5" s="1"/>
  <c r="B299" i="5" s="1"/>
  <c r="B319" i="5" s="1"/>
  <c r="B339" i="5" s="1"/>
  <c r="B359" i="5" s="1"/>
  <c r="B379" i="5" s="1"/>
  <c r="B399" i="5" s="1"/>
  <c r="B419" i="5" s="1"/>
  <c r="B101" i="5"/>
  <c r="B121" i="5" s="1"/>
  <c r="B141" i="5" s="1"/>
  <c r="B161" i="5" s="1"/>
  <c r="B181" i="5" s="1"/>
  <c r="B201" i="5" s="1"/>
  <c r="B221" i="5" s="1"/>
  <c r="B241" i="5" s="1"/>
  <c r="B261" i="5" s="1"/>
  <c r="B281" i="5" s="1"/>
  <c r="B301" i="5" s="1"/>
  <c r="B321" i="5" s="1"/>
  <c r="B341" i="5" s="1"/>
  <c r="B361" i="5" s="1"/>
  <c r="B381" i="5" s="1"/>
  <c r="B401" i="5" s="1"/>
  <c r="B421" i="5" s="1"/>
  <c r="C43" i="5"/>
  <c r="C63" i="5" s="1"/>
  <c r="C83" i="5" s="1"/>
  <c r="C103" i="5" s="1"/>
  <c r="C123" i="5" s="1"/>
  <c r="C143" i="5" s="1"/>
  <c r="C163" i="5" s="1"/>
  <c r="C183" i="5" s="1"/>
  <c r="C203" i="5" s="1"/>
  <c r="C223" i="5" s="1"/>
  <c r="C243" i="5" s="1"/>
  <c r="C263" i="5" s="1"/>
  <c r="C283" i="5" s="1"/>
  <c r="C303" i="5" s="1"/>
  <c r="C323" i="5" s="1"/>
  <c r="C343" i="5" s="1"/>
  <c r="C363" i="5" s="1"/>
  <c r="C383" i="5" s="1"/>
  <c r="C403" i="5" s="1"/>
  <c r="B43" i="5"/>
  <c r="B63" i="5" s="1"/>
  <c r="B83" i="5" s="1"/>
  <c r="B103" i="5" s="1"/>
  <c r="B123" i="5" s="1"/>
  <c r="B143" i="5" s="1"/>
  <c r="B163" i="5" s="1"/>
  <c r="B183" i="5" s="1"/>
  <c r="B203" i="5" s="1"/>
  <c r="B223" i="5" s="1"/>
  <c r="B243" i="5" s="1"/>
  <c r="B263" i="5" s="1"/>
  <c r="B283" i="5" s="1"/>
  <c r="B303" i="5" s="1"/>
  <c r="B323" i="5" s="1"/>
  <c r="B343" i="5" s="1"/>
  <c r="B363" i="5" s="1"/>
  <c r="B383" i="5" s="1"/>
  <c r="B403" i="5" s="1"/>
  <c r="B265" i="2" l="1"/>
  <c r="B399" i="2"/>
  <c r="B395" i="2"/>
  <c r="B391" i="2"/>
  <c r="B387" i="2"/>
  <c r="B383" i="2"/>
  <c r="B379" i="2"/>
  <c r="B375" i="2"/>
  <c r="B371" i="2"/>
  <c r="B367" i="2"/>
  <c r="B363" i="2"/>
  <c r="B359" i="2"/>
  <c r="B355" i="2"/>
  <c r="B351" i="2"/>
  <c r="B347" i="2"/>
  <c r="B343" i="2"/>
  <c r="B337" i="2"/>
  <c r="B329" i="2"/>
  <c r="B321" i="2"/>
  <c r="B313" i="2"/>
  <c r="B305" i="2"/>
  <c r="B297" i="2"/>
  <c r="B285" i="2"/>
  <c r="B269" i="2"/>
  <c r="B398" i="2"/>
  <c r="B394" i="2"/>
  <c r="B390" i="2"/>
  <c r="B386" i="2"/>
  <c r="B382" i="2"/>
  <c r="B378" i="2"/>
  <c r="B374" i="2"/>
  <c r="B370" i="2"/>
  <c r="B366" i="2"/>
  <c r="B362" i="2"/>
  <c r="B358" i="2"/>
  <c r="B354" i="2"/>
  <c r="B350" i="2"/>
  <c r="B346" i="2"/>
  <c r="B342" i="2"/>
  <c r="B335" i="2"/>
  <c r="B327" i="2"/>
  <c r="B319" i="2"/>
  <c r="B311" i="2"/>
  <c r="B303" i="2"/>
  <c r="B295" i="2"/>
  <c r="B281" i="2"/>
  <c r="B261" i="3"/>
  <c r="B3" i="2"/>
  <c r="B7" i="2"/>
  <c r="B11" i="2"/>
  <c r="B15" i="2"/>
  <c r="B19" i="2"/>
  <c r="B23" i="2"/>
  <c r="B27" i="2"/>
  <c r="B31" i="2"/>
  <c r="B35" i="2"/>
  <c r="B39" i="2"/>
  <c r="B43" i="2"/>
  <c r="B47" i="2"/>
  <c r="B51" i="2"/>
  <c r="B55" i="2"/>
  <c r="B59" i="2"/>
  <c r="B63" i="2"/>
  <c r="B67" i="2"/>
  <c r="B71" i="2"/>
  <c r="B75" i="2"/>
  <c r="B79" i="2"/>
  <c r="B83" i="2"/>
  <c r="B87" i="2"/>
  <c r="B91" i="2"/>
  <c r="B95" i="2"/>
  <c r="B99" i="2"/>
  <c r="B103" i="2"/>
  <c r="B107" i="2"/>
  <c r="B111" i="2"/>
  <c r="B115" i="2"/>
  <c r="B119" i="2"/>
  <c r="B123" i="2"/>
  <c r="B127" i="2"/>
  <c r="B131" i="2"/>
  <c r="B135" i="2"/>
  <c r="B139" i="2"/>
  <c r="B143" i="2"/>
  <c r="B147" i="2"/>
  <c r="B151" i="2"/>
  <c r="B155" i="2"/>
  <c r="B159" i="2"/>
  <c r="B163" i="2"/>
  <c r="B167" i="2"/>
  <c r="B171" i="2"/>
  <c r="B175" i="2"/>
  <c r="B179" i="2"/>
  <c r="B183" i="2"/>
  <c r="B187" i="2"/>
  <c r="B191" i="2"/>
  <c r="B195" i="2"/>
  <c r="B199" i="2"/>
  <c r="B203" i="2"/>
  <c r="B207" i="2"/>
  <c r="B211" i="2"/>
  <c r="B215" i="2"/>
  <c r="B219" i="2"/>
  <c r="B223" i="2"/>
  <c r="B227" i="2"/>
  <c r="B231" i="2"/>
  <c r="B235" i="2"/>
  <c r="B239" i="2"/>
  <c r="B243" i="2"/>
  <c r="B247" i="2"/>
  <c r="B251" i="2"/>
  <c r="B255" i="2"/>
  <c r="B259" i="2"/>
  <c r="B263" i="2"/>
  <c r="B267" i="2"/>
  <c r="B271" i="2"/>
  <c r="B275" i="2"/>
  <c r="B279" i="2"/>
  <c r="B283" i="2"/>
  <c r="B287" i="2"/>
  <c r="B291" i="2"/>
  <c r="B4" i="2"/>
  <c r="B8" i="2"/>
  <c r="B12" i="2"/>
  <c r="B16" i="2"/>
  <c r="B20" i="2"/>
  <c r="B24" i="2"/>
  <c r="B28" i="2"/>
  <c r="B32" i="2"/>
  <c r="B36" i="2"/>
  <c r="B40" i="2"/>
  <c r="B44" i="2"/>
  <c r="B48" i="2"/>
  <c r="B52" i="2"/>
  <c r="B56" i="2"/>
  <c r="B60" i="2"/>
  <c r="B64" i="2"/>
  <c r="B68" i="2"/>
  <c r="B72" i="2"/>
  <c r="B76" i="2"/>
  <c r="B80" i="2"/>
  <c r="B84" i="2"/>
  <c r="B88" i="2"/>
  <c r="B92" i="2"/>
  <c r="B96" i="2"/>
  <c r="B100" i="2"/>
  <c r="B104" i="2"/>
  <c r="B108" i="2"/>
  <c r="B112" i="2"/>
  <c r="B116" i="2"/>
  <c r="B120" i="2"/>
  <c r="B124" i="2"/>
  <c r="B128" i="2"/>
  <c r="B132" i="2"/>
  <c r="B136" i="2"/>
  <c r="B140" i="2"/>
  <c r="B144" i="2"/>
  <c r="B148" i="2"/>
  <c r="B152" i="2"/>
  <c r="B156" i="2"/>
  <c r="B160" i="2"/>
  <c r="B164" i="2"/>
  <c r="B168" i="2"/>
  <c r="B172" i="2"/>
  <c r="B176" i="2"/>
  <c r="B180" i="2"/>
  <c r="B184" i="2"/>
  <c r="B188" i="2"/>
  <c r="B192" i="2"/>
  <c r="B196" i="2"/>
  <c r="B200" i="2"/>
  <c r="B204" i="2"/>
  <c r="B208" i="2"/>
  <c r="B212" i="2"/>
  <c r="B216" i="2"/>
  <c r="B220" i="2"/>
  <c r="B224" i="2"/>
  <c r="B228" i="2"/>
  <c r="B232" i="2"/>
  <c r="B236" i="2"/>
  <c r="B240" i="2"/>
  <c r="B244" i="2"/>
  <c r="B248" i="2"/>
  <c r="B252" i="2"/>
  <c r="B256" i="2"/>
  <c r="B260" i="2"/>
  <c r="B264" i="2"/>
  <c r="B268" i="2"/>
  <c r="B272" i="2"/>
  <c r="B276" i="2"/>
  <c r="B280" i="2"/>
  <c r="B284" i="2"/>
  <c r="B288" i="2"/>
  <c r="B292" i="2"/>
  <c r="B296" i="2"/>
  <c r="B300" i="2"/>
  <c r="B304" i="2"/>
  <c r="B308" i="2"/>
  <c r="B312" i="2"/>
  <c r="B316" i="2"/>
  <c r="B320" i="2"/>
  <c r="B324" i="2"/>
  <c r="B328" i="2"/>
  <c r="B332" i="2"/>
  <c r="B336" i="2"/>
  <c r="B340" i="2"/>
  <c r="B5" i="2"/>
  <c r="B9" i="2"/>
  <c r="B13" i="2"/>
  <c r="B17" i="2"/>
  <c r="B21" i="2"/>
  <c r="B25" i="2"/>
  <c r="B29" i="2"/>
  <c r="B33" i="2"/>
  <c r="B37" i="2"/>
  <c r="B41" i="2"/>
  <c r="B45" i="2"/>
  <c r="B49" i="2"/>
  <c r="B53" i="2"/>
  <c r="B57" i="2"/>
  <c r="B61" i="2"/>
  <c r="B65" i="2"/>
  <c r="B69" i="2"/>
  <c r="B73" i="2"/>
  <c r="B77" i="2"/>
  <c r="B81" i="2"/>
  <c r="B85" i="2"/>
  <c r="B89" i="2"/>
  <c r="B93" i="2"/>
  <c r="B97" i="2"/>
  <c r="B101" i="2"/>
  <c r="B105" i="2"/>
  <c r="B109" i="2"/>
  <c r="B113" i="2"/>
  <c r="B117" i="2"/>
  <c r="B121" i="2"/>
  <c r="B125" i="2"/>
  <c r="B129" i="2"/>
  <c r="B133" i="2"/>
  <c r="B137" i="2"/>
  <c r="B141" i="2"/>
  <c r="B145" i="2"/>
  <c r="B149" i="2"/>
  <c r="B153" i="2"/>
  <c r="B157" i="2"/>
  <c r="B161" i="2"/>
  <c r="B165" i="2"/>
  <c r="B169" i="2"/>
  <c r="B173" i="2"/>
  <c r="B177" i="2"/>
  <c r="B181" i="2"/>
  <c r="B185" i="2"/>
  <c r="B189" i="2"/>
  <c r="B193" i="2"/>
  <c r="B197" i="2"/>
  <c r="B201" i="2"/>
  <c r="B205" i="2"/>
  <c r="B209" i="2"/>
  <c r="B213" i="2"/>
  <c r="B217" i="2"/>
  <c r="B221" i="2"/>
  <c r="B225" i="2"/>
  <c r="B229" i="2"/>
  <c r="B233" i="2"/>
  <c r="B237" i="2"/>
  <c r="B241" i="2"/>
  <c r="B245" i="2"/>
  <c r="B249" i="2"/>
  <c r="B253" i="2"/>
  <c r="B6" i="2"/>
  <c r="B10" i="2"/>
  <c r="B14" i="2"/>
  <c r="B18" i="2"/>
  <c r="B22" i="2"/>
  <c r="B26" i="2"/>
  <c r="B30" i="2"/>
  <c r="B34" i="2"/>
  <c r="B38" i="2"/>
  <c r="B42" i="2"/>
  <c r="B46" i="2"/>
  <c r="B50" i="2"/>
  <c r="B54" i="2"/>
  <c r="B58" i="2"/>
  <c r="B62" i="2"/>
  <c r="B66" i="2"/>
  <c r="B70" i="2"/>
  <c r="B74" i="2"/>
  <c r="B78" i="2"/>
  <c r="B82" i="2"/>
  <c r="B86" i="2"/>
  <c r="B90" i="2"/>
  <c r="B94" i="2"/>
  <c r="B98" i="2"/>
  <c r="B102" i="2"/>
  <c r="B106" i="2"/>
  <c r="B110" i="2"/>
  <c r="B114" i="2"/>
  <c r="B118" i="2"/>
  <c r="B122" i="2"/>
  <c r="B126" i="2"/>
  <c r="B130" i="2"/>
  <c r="B134" i="2"/>
  <c r="B138" i="2"/>
  <c r="B142" i="2"/>
  <c r="B146" i="2"/>
  <c r="B150" i="2"/>
  <c r="B154" i="2"/>
  <c r="B158" i="2"/>
  <c r="B162" i="2"/>
  <c r="B166" i="2"/>
  <c r="B170" i="2"/>
  <c r="B174" i="2"/>
  <c r="B178" i="2"/>
  <c r="B182" i="2"/>
  <c r="B186" i="2"/>
  <c r="B190" i="2"/>
  <c r="B194" i="2"/>
  <c r="B198" i="2"/>
  <c r="B202" i="2"/>
  <c r="B206" i="2"/>
  <c r="B210" i="2"/>
  <c r="B214" i="2"/>
  <c r="B218" i="2"/>
  <c r="B222" i="2"/>
  <c r="B226" i="2"/>
  <c r="B230" i="2"/>
  <c r="B234" i="2"/>
  <c r="B238" i="2"/>
  <c r="B242" i="2"/>
  <c r="B246" i="2"/>
  <c r="B250" i="2"/>
  <c r="B254" i="2"/>
  <c r="B258" i="2"/>
  <c r="B262" i="2"/>
  <c r="B266" i="2"/>
  <c r="B270" i="2"/>
  <c r="B274" i="2"/>
  <c r="B278" i="2"/>
  <c r="B282" i="2"/>
  <c r="B286" i="2"/>
  <c r="B290" i="2"/>
  <c r="B294" i="2"/>
  <c r="B298" i="2"/>
  <c r="B302" i="2"/>
  <c r="B306" i="2"/>
  <c r="B310" i="2"/>
  <c r="B314" i="2"/>
  <c r="B318" i="2"/>
  <c r="B322" i="2"/>
  <c r="B326" i="2"/>
  <c r="B330" i="2"/>
  <c r="B334" i="2"/>
  <c r="B338" i="2"/>
  <c r="B401" i="2"/>
  <c r="B397" i="2"/>
  <c r="B393" i="2"/>
  <c r="B389" i="2"/>
  <c r="B385" i="2"/>
  <c r="B381" i="2"/>
  <c r="B377" i="2"/>
  <c r="B373" i="2"/>
  <c r="B369" i="2"/>
  <c r="B365" i="2"/>
  <c r="B361" i="2"/>
  <c r="B357" i="2"/>
  <c r="B353" i="2"/>
  <c r="B349" i="2"/>
  <c r="B345" i="2"/>
  <c r="B341" i="2"/>
  <c r="B333" i="2"/>
  <c r="B325" i="2"/>
  <c r="B317" i="2"/>
  <c r="B309" i="2"/>
  <c r="B301" i="2"/>
  <c r="B293" i="2"/>
  <c r="B277" i="2"/>
  <c r="B261" i="2"/>
  <c r="B400" i="2"/>
  <c r="B396" i="2"/>
  <c r="B392" i="2"/>
  <c r="B388" i="2"/>
  <c r="B384" i="2"/>
  <c r="B380" i="2"/>
  <c r="B376" i="2"/>
  <c r="B372" i="2"/>
  <c r="B368" i="2"/>
  <c r="B364" i="2"/>
  <c r="B360" i="2"/>
  <c r="B356" i="2"/>
  <c r="B352" i="2"/>
  <c r="B348" i="2"/>
  <c r="B344" i="2"/>
  <c r="B339" i="2"/>
  <c r="B331" i="2"/>
  <c r="B323" i="2"/>
  <c r="B315" i="2"/>
  <c r="B307" i="2"/>
  <c r="B299" i="2"/>
  <c r="B289" i="2"/>
  <c r="B273" i="2"/>
  <c r="B257" i="2"/>
  <c r="B2" i="2"/>
  <c r="B400" i="3"/>
  <c r="B396" i="3"/>
  <c r="B392" i="3"/>
  <c r="B388" i="3"/>
  <c r="B384" i="3"/>
  <c r="B380" i="3"/>
  <c r="B376" i="3"/>
  <c r="B372" i="3"/>
  <c r="B368" i="3"/>
  <c r="B364" i="3"/>
  <c r="B360" i="3"/>
  <c r="B356" i="3"/>
  <c r="B352" i="3"/>
  <c r="B348" i="3"/>
  <c r="B344" i="3"/>
  <c r="B337" i="3"/>
  <c r="B329" i="3"/>
  <c r="B321" i="3"/>
  <c r="B313" i="3"/>
  <c r="B305" i="3"/>
  <c r="B297" i="3"/>
  <c r="B289" i="3"/>
  <c r="B281" i="3"/>
  <c r="B269" i="3"/>
  <c r="B399" i="3"/>
  <c r="B395" i="3"/>
  <c r="B391" i="3"/>
  <c r="B387" i="3"/>
  <c r="B383" i="3"/>
  <c r="B379" i="3"/>
  <c r="B375" i="3"/>
  <c r="B371" i="3"/>
  <c r="B367" i="3"/>
  <c r="B363" i="3"/>
  <c r="B359" i="3"/>
  <c r="B355" i="3"/>
  <c r="B351" i="3"/>
  <c r="B347" i="3"/>
  <c r="B343" i="3"/>
  <c r="B335" i="3"/>
  <c r="B327" i="3"/>
  <c r="B319" i="3"/>
  <c r="B311" i="3"/>
  <c r="B303" i="3"/>
  <c r="B295" i="3"/>
  <c r="B287" i="3"/>
  <c r="B279" i="3"/>
  <c r="B265" i="3"/>
  <c r="B398" i="3"/>
  <c r="B394" i="3"/>
  <c r="B390" i="3"/>
  <c r="B386" i="3"/>
  <c r="B382" i="3"/>
  <c r="B378" i="3"/>
  <c r="B374" i="3"/>
  <c r="B370" i="3"/>
  <c r="B366" i="3"/>
  <c r="B362" i="3"/>
  <c r="B358" i="3"/>
  <c r="B354" i="3"/>
  <c r="B350" i="3"/>
  <c r="B346" i="3"/>
  <c r="B341" i="3"/>
  <c r="B333" i="3"/>
  <c r="B325" i="3"/>
  <c r="B317" i="3"/>
  <c r="B309" i="3"/>
  <c r="B301" i="3"/>
  <c r="B293" i="3"/>
  <c r="B285" i="3"/>
  <c r="B277" i="3"/>
  <c r="B3" i="3"/>
  <c r="B7" i="3"/>
  <c r="B11" i="3"/>
  <c r="B15" i="3"/>
  <c r="B19" i="3"/>
  <c r="B23" i="3"/>
  <c r="B27" i="3"/>
  <c r="B31" i="3"/>
  <c r="B35" i="3"/>
  <c r="B39" i="3"/>
  <c r="B43" i="3"/>
  <c r="B47" i="3"/>
  <c r="B51" i="3"/>
  <c r="B55" i="3"/>
  <c r="B59" i="3"/>
  <c r="B63" i="3"/>
  <c r="B67" i="3"/>
  <c r="B71" i="3"/>
  <c r="B75" i="3"/>
  <c r="B79" i="3"/>
  <c r="B83" i="3"/>
  <c r="B87" i="3"/>
  <c r="B91" i="3"/>
  <c r="B95" i="3"/>
  <c r="B99" i="3"/>
  <c r="B103" i="3"/>
  <c r="B107" i="3"/>
  <c r="B111" i="3"/>
  <c r="B115" i="3"/>
  <c r="B119" i="3"/>
  <c r="B123" i="3"/>
  <c r="B127" i="3"/>
  <c r="B131" i="3"/>
  <c r="B135" i="3"/>
  <c r="B139" i="3"/>
  <c r="B143" i="3"/>
  <c r="B147" i="3"/>
  <c r="B151" i="3"/>
  <c r="B155" i="3"/>
  <c r="B159" i="3"/>
  <c r="B163" i="3"/>
  <c r="B167" i="3"/>
  <c r="B171" i="3"/>
  <c r="B175" i="3"/>
  <c r="B179" i="3"/>
  <c r="B183" i="3"/>
  <c r="B187" i="3"/>
  <c r="B191" i="3"/>
  <c r="B195" i="3"/>
  <c r="B199" i="3"/>
  <c r="B203" i="3"/>
  <c r="B207" i="3"/>
  <c r="B211" i="3"/>
  <c r="B215" i="3"/>
  <c r="B219" i="3"/>
  <c r="B223" i="3"/>
  <c r="B227" i="3"/>
  <c r="B231" i="3"/>
  <c r="B235" i="3"/>
  <c r="B239" i="3"/>
  <c r="B243" i="3"/>
  <c r="B247" i="3"/>
  <c r="B251" i="3"/>
  <c r="B255" i="3"/>
  <c r="B259" i="3"/>
  <c r="B263" i="3"/>
  <c r="B267" i="3"/>
  <c r="B271" i="3"/>
  <c r="B275" i="3"/>
  <c r="B4" i="3"/>
  <c r="B8" i="3"/>
  <c r="B12" i="3"/>
  <c r="B16" i="3"/>
  <c r="B20" i="3"/>
  <c r="B24" i="3"/>
  <c r="B28" i="3"/>
  <c r="B32" i="3"/>
  <c r="B36" i="3"/>
  <c r="B40" i="3"/>
  <c r="B44" i="3"/>
  <c r="B48" i="3"/>
  <c r="B52" i="3"/>
  <c r="B56" i="3"/>
  <c r="B60" i="3"/>
  <c r="B64" i="3"/>
  <c r="B68" i="3"/>
  <c r="B72" i="3"/>
  <c r="B76" i="3"/>
  <c r="B80" i="3"/>
  <c r="B84" i="3"/>
  <c r="B88" i="3"/>
  <c r="B92" i="3"/>
  <c r="B96" i="3"/>
  <c r="B100" i="3"/>
  <c r="B104" i="3"/>
  <c r="B108" i="3"/>
  <c r="B112" i="3"/>
  <c r="B116" i="3"/>
  <c r="B120" i="3"/>
  <c r="B124" i="3"/>
  <c r="B128" i="3"/>
  <c r="B132" i="3"/>
  <c r="B136" i="3"/>
  <c r="B140" i="3"/>
  <c r="B144" i="3"/>
  <c r="B148" i="3"/>
  <c r="B152" i="3"/>
  <c r="B156" i="3"/>
  <c r="B160" i="3"/>
  <c r="B164" i="3"/>
  <c r="B168" i="3"/>
  <c r="B172" i="3"/>
  <c r="B176" i="3"/>
  <c r="B180" i="3"/>
  <c r="B184" i="3"/>
  <c r="B188" i="3"/>
  <c r="B192" i="3"/>
  <c r="B196" i="3"/>
  <c r="B200" i="3"/>
  <c r="B204" i="3"/>
  <c r="B208" i="3"/>
  <c r="B212" i="3"/>
  <c r="B216" i="3"/>
  <c r="B220" i="3"/>
  <c r="B224" i="3"/>
  <c r="B228" i="3"/>
  <c r="B232" i="3"/>
  <c r="B236" i="3"/>
  <c r="B240" i="3"/>
  <c r="B244" i="3"/>
  <c r="B248" i="3"/>
  <c r="B252" i="3"/>
  <c r="B256" i="3"/>
  <c r="B260" i="3"/>
  <c r="B264" i="3"/>
  <c r="B268" i="3"/>
  <c r="B272" i="3"/>
  <c r="B276" i="3"/>
  <c r="B280" i="3"/>
  <c r="B284" i="3"/>
  <c r="B288" i="3"/>
  <c r="B292" i="3"/>
  <c r="B296" i="3"/>
  <c r="B300" i="3"/>
  <c r="B304" i="3"/>
  <c r="B308" i="3"/>
  <c r="B312" i="3"/>
  <c r="B316" i="3"/>
  <c r="B320" i="3"/>
  <c r="B324" i="3"/>
  <c r="B328" i="3"/>
  <c r="B332" i="3"/>
  <c r="B336" i="3"/>
  <c r="B340" i="3"/>
  <c r="B5" i="3"/>
  <c r="B9" i="3"/>
  <c r="B13" i="3"/>
  <c r="B17" i="3"/>
  <c r="B21" i="3"/>
  <c r="B25" i="3"/>
  <c r="B29" i="3"/>
  <c r="B33" i="3"/>
  <c r="B37" i="3"/>
  <c r="B41" i="3"/>
  <c r="B45" i="3"/>
  <c r="B49" i="3"/>
  <c r="B53" i="3"/>
  <c r="B57" i="3"/>
  <c r="B61" i="3"/>
  <c r="B65" i="3"/>
  <c r="B69" i="3"/>
  <c r="B73" i="3"/>
  <c r="B77" i="3"/>
  <c r="B81" i="3"/>
  <c r="B85" i="3"/>
  <c r="B89" i="3"/>
  <c r="B93" i="3"/>
  <c r="B97" i="3"/>
  <c r="B101" i="3"/>
  <c r="B105" i="3"/>
  <c r="B109" i="3"/>
  <c r="B113" i="3"/>
  <c r="B117" i="3"/>
  <c r="B121" i="3"/>
  <c r="B125" i="3"/>
  <c r="B129" i="3"/>
  <c r="B133" i="3"/>
  <c r="B137" i="3"/>
  <c r="B141" i="3"/>
  <c r="B145" i="3"/>
  <c r="B149" i="3"/>
  <c r="B153" i="3"/>
  <c r="B157" i="3"/>
  <c r="B161" i="3"/>
  <c r="B165" i="3"/>
  <c r="B169" i="3"/>
  <c r="B173" i="3"/>
  <c r="B177" i="3"/>
  <c r="B181" i="3"/>
  <c r="B185" i="3"/>
  <c r="B189" i="3"/>
  <c r="B193" i="3"/>
  <c r="B197" i="3"/>
  <c r="B201" i="3"/>
  <c r="B205" i="3"/>
  <c r="B209" i="3"/>
  <c r="B213" i="3"/>
  <c r="B217" i="3"/>
  <c r="B221" i="3"/>
  <c r="B225" i="3"/>
  <c r="B229" i="3"/>
  <c r="B233" i="3"/>
  <c r="B237" i="3"/>
  <c r="B241" i="3"/>
  <c r="B245" i="3"/>
  <c r="B249" i="3"/>
  <c r="B253" i="3"/>
  <c r="B6" i="3"/>
  <c r="B10" i="3"/>
  <c r="B14" i="3"/>
  <c r="B18" i="3"/>
  <c r="B22" i="3"/>
  <c r="B26" i="3"/>
  <c r="B30" i="3"/>
  <c r="B34" i="3"/>
  <c r="B38" i="3"/>
  <c r="B42" i="3"/>
  <c r="B46" i="3"/>
  <c r="B50" i="3"/>
  <c r="B54" i="3"/>
  <c r="B58" i="3"/>
  <c r="B62" i="3"/>
  <c r="B66" i="3"/>
  <c r="B70" i="3"/>
  <c r="B74" i="3"/>
  <c r="B78" i="3"/>
  <c r="B82" i="3"/>
  <c r="B86" i="3"/>
  <c r="B90" i="3"/>
  <c r="B94" i="3"/>
  <c r="B98" i="3"/>
  <c r="B102" i="3"/>
  <c r="B106" i="3"/>
  <c r="B110" i="3"/>
  <c r="B114" i="3"/>
  <c r="B118" i="3"/>
  <c r="B122" i="3"/>
  <c r="B126" i="3"/>
  <c r="B130" i="3"/>
  <c r="B134" i="3"/>
  <c r="B138" i="3"/>
  <c r="B142" i="3"/>
  <c r="B146" i="3"/>
  <c r="B150" i="3"/>
  <c r="B154" i="3"/>
  <c r="B158" i="3"/>
  <c r="B162" i="3"/>
  <c r="B166" i="3"/>
  <c r="B170" i="3"/>
  <c r="B174" i="3"/>
  <c r="B178" i="3"/>
  <c r="B182" i="3"/>
  <c r="B186" i="3"/>
  <c r="B190" i="3"/>
  <c r="B194" i="3"/>
  <c r="B198" i="3"/>
  <c r="B202" i="3"/>
  <c r="B206" i="3"/>
  <c r="B210" i="3"/>
  <c r="B214" i="3"/>
  <c r="B218" i="3"/>
  <c r="B222" i="3"/>
  <c r="B226" i="3"/>
  <c r="B230" i="3"/>
  <c r="B234" i="3"/>
  <c r="B238" i="3"/>
  <c r="B242" i="3"/>
  <c r="B246" i="3"/>
  <c r="B250" i="3"/>
  <c r="B254" i="3"/>
  <c r="B258" i="3"/>
  <c r="B262" i="3"/>
  <c r="B266" i="3"/>
  <c r="B270" i="3"/>
  <c r="B274" i="3"/>
  <c r="B278" i="3"/>
  <c r="B282" i="3"/>
  <c r="B286" i="3"/>
  <c r="B290" i="3"/>
  <c r="B294" i="3"/>
  <c r="B298" i="3"/>
  <c r="B302" i="3"/>
  <c r="B306" i="3"/>
  <c r="B310" i="3"/>
  <c r="B314" i="3"/>
  <c r="B318" i="3"/>
  <c r="B322" i="3"/>
  <c r="B326" i="3"/>
  <c r="B330" i="3"/>
  <c r="B334" i="3"/>
  <c r="B338" i="3"/>
  <c r="B342" i="3"/>
  <c r="B401" i="3"/>
  <c r="B397" i="3"/>
  <c r="B393" i="3"/>
  <c r="B389" i="3"/>
  <c r="B385" i="3"/>
  <c r="B381" i="3"/>
  <c r="B377" i="3"/>
  <c r="B373" i="3"/>
  <c r="B369" i="3"/>
  <c r="B365" i="3"/>
  <c r="B361" i="3"/>
  <c r="B357" i="3"/>
  <c r="B353" i="3"/>
  <c r="B349" i="3"/>
  <c r="B345" i="3"/>
  <c r="B339" i="3"/>
  <c r="B331" i="3"/>
  <c r="B323" i="3"/>
  <c r="B315" i="3"/>
  <c r="B307" i="3"/>
  <c r="B299" i="3"/>
  <c r="B291" i="3"/>
  <c r="B283" i="3"/>
  <c r="B273" i="3"/>
  <c r="B257" i="3"/>
  <c r="B2" i="3"/>
  <c r="S5" i="3"/>
  <c r="Y7" i="3" s="1"/>
  <c r="AI1003" i="3"/>
  <c r="AK1003" i="3" s="1"/>
  <c r="AM1003" i="3" s="1"/>
  <c r="AI1002" i="3"/>
  <c r="AK1002" i="3" s="1"/>
  <c r="AM1002" i="3" s="1"/>
  <c r="AI1001" i="3"/>
  <c r="AK1001" i="3" s="1"/>
  <c r="AM1001" i="3" s="1"/>
  <c r="AI1000" i="3"/>
  <c r="AK1000" i="3" s="1"/>
  <c r="AM1000" i="3" s="1"/>
  <c r="AI999" i="3"/>
  <c r="AK999" i="3" s="1"/>
  <c r="AM999" i="3" s="1"/>
  <c r="AI998" i="3"/>
  <c r="AK998" i="3" s="1"/>
  <c r="AM998" i="3" s="1"/>
  <c r="AI997" i="3"/>
  <c r="AK997" i="3" s="1"/>
  <c r="AM997" i="3" s="1"/>
  <c r="AI996" i="3"/>
  <c r="AK996" i="3" s="1"/>
  <c r="AM996" i="3" s="1"/>
  <c r="AI995" i="3"/>
  <c r="AK995" i="3" s="1"/>
  <c r="AM995" i="3" s="1"/>
  <c r="AI994" i="3"/>
  <c r="AK994" i="3" s="1"/>
  <c r="AM994" i="3" s="1"/>
  <c r="AI993" i="3"/>
  <c r="AK993" i="3" s="1"/>
  <c r="AM993" i="3" s="1"/>
  <c r="AI992" i="3"/>
  <c r="AK992" i="3" s="1"/>
  <c r="AM992" i="3" s="1"/>
  <c r="AI991" i="3"/>
  <c r="AK991" i="3" s="1"/>
  <c r="AM991" i="3" s="1"/>
  <c r="AI990" i="3"/>
  <c r="AK990" i="3" s="1"/>
  <c r="AM990" i="3" s="1"/>
  <c r="AI989" i="3"/>
  <c r="AK989" i="3" s="1"/>
  <c r="AM989" i="3" s="1"/>
  <c r="AI988" i="3"/>
  <c r="AK988" i="3" s="1"/>
  <c r="AM988" i="3" s="1"/>
  <c r="AI987" i="3"/>
  <c r="AK987" i="3" s="1"/>
  <c r="AM987" i="3" s="1"/>
  <c r="AI986" i="3"/>
  <c r="AK986" i="3" s="1"/>
  <c r="AM986" i="3" s="1"/>
  <c r="AI985" i="3"/>
  <c r="AK985" i="3" s="1"/>
  <c r="AM985" i="3" s="1"/>
  <c r="AI984" i="3"/>
  <c r="AK984" i="3" s="1"/>
  <c r="AM984" i="3" s="1"/>
  <c r="AI983" i="3"/>
  <c r="AK983" i="3" s="1"/>
  <c r="AM983" i="3" s="1"/>
  <c r="AI982" i="3"/>
  <c r="AK982" i="3" s="1"/>
  <c r="AM982" i="3" s="1"/>
  <c r="AI981" i="3"/>
  <c r="AK981" i="3" s="1"/>
  <c r="AM981" i="3" s="1"/>
  <c r="AI980" i="3"/>
  <c r="AK980" i="3" s="1"/>
  <c r="AM980" i="3" s="1"/>
  <c r="AI979" i="3"/>
  <c r="AK979" i="3" s="1"/>
  <c r="AM979" i="3" s="1"/>
  <c r="AI978" i="3"/>
  <c r="AK978" i="3" s="1"/>
  <c r="AM978" i="3" s="1"/>
  <c r="AI977" i="3"/>
  <c r="AK977" i="3" s="1"/>
  <c r="AM977" i="3" s="1"/>
  <c r="AI976" i="3"/>
  <c r="AK976" i="3" s="1"/>
  <c r="AM976" i="3" s="1"/>
  <c r="AI975" i="3"/>
  <c r="AK975" i="3" s="1"/>
  <c r="AM975" i="3" s="1"/>
  <c r="AI974" i="3"/>
  <c r="AK974" i="3" s="1"/>
  <c r="AM974" i="3" s="1"/>
  <c r="AI973" i="3"/>
  <c r="AK973" i="3" s="1"/>
  <c r="AM973" i="3" s="1"/>
  <c r="AI972" i="3"/>
  <c r="AK972" i="3" s="1"/>
  <c r="AM972" i="3" s="1"/>
  <c r="AI971" i="3"/>
  <c r="AK971" i="3" s="1"/>
  <c r="AM971" i="3" s="1"/>
  <c r="AI970" i="3"/>
  <c r="AK970" i="3" s="1"/>
  <c r="AM970" i="3" s="1"/>
  <c r="AI969" i="3"/>
  <c r="AK969" i="3" s="1"/>
  <c r="AM969" i="3" s="1"/>
  <c r="AI968" i="3"/>
  <c r="AK968" i="3" s="1"/>
  <c r="AM968" i="3" s="1"/>
  <c r="AI967" i="3"/>
  <c r="AK967" i="3" s="1"/>
  <c r="AM967" i="3" s="1"/>
  <c r="AI966" i="3"/>
  <c r="AK966" i="3" s="1"/>
  <c r="AM966" i="3" s="1"/>
  <c r="AI965" i="3"/>
  <c r="AK965" i="3" s="1"/>
  <c r="AM965" i="3" s="1"/>
  <c r="AI964" i="3"/>
  <c r="AK964" i="3" s="1"/>
  <c r="AM964" i="3" s="1"/>
  <c r="AI963" i="3"/>
  <c r="AK963" i="3" s="1"/>
  <c r="AM963" i="3" s="1"/>
  <c r="AI962" i="3"/>
  <c r="AK962" i="3" s="1"/>
  <c r="AM962" i="3" s="1"/>
  <c r="AI961" i="3"/>
  <c r="AK961" i="3" s="1"/>
  <c r="AM961" i="3" s="1"/>
  <c r="AI960" i="3"/>
  <c r="AK960" i="3" s="1"/>
  <c r="AM960" i="3" s="1"/>
  <c r="AI959" i="3"/>
  <c r="AK959" i="3" s="1"/>
  <c r="AM959" i="3" s="1"/>
  <c r="AI958" i="3"/>
  <c r="AK958" i="3" s="1"/>
  <c r="AM958" i="3" s="1"/>
  <c r="AI957" i="3"/>
  <c r="AK957" i="3" s="1"/>
  <c r="AM957" i="3" s="1"/>
  <c r="AI956" i="3"/>
  <c r="AK956" i="3" s="1"/>
  <c r="AM956" i="3" s="1"/>
  <c r="AI955" i="3"/>
  <c r="AK955" i="3" s="1"/>
  <c r="AM955" i="3" s="1"/>
  <c r="AI954" i="3"/>
  <c r="AK954" i="3" s="1"/>
  <c r="AM954" i="3" s="1"/>
  <c r="AI953" i="3"/>
  <c r="AK953" i="3" s="1"/>
  <c r="AM953" i="3" s="1"/>
  <c r="AI952" i="3"/>
  <c r="AK952" i="3" s="1"/>
  <c r="AM952" i="3" s="1"/>
  <c r="AI951" i="3"/>
  <c r="AK951" i="3" s="1"/>
  <c r="AM951" i="3" s="1"/>
  <c r="AI950" i="3"/>
  <c r="AK950" i="3" s="1"/>
  <c r="AM950" i="3" s="1"/>
  <c r="AI949" i="3"/>
  <c r="AK949" i="3" s="1"/>
  <c r="AM949" i="3" s="1"/>
  <c r="AI948" i="3"/>
  <c r="AK948" i="3" s="1"/>
  <c r="AM948" i="3" s="1"/>
  <c r="AI947" i="3"/>
  <c r="AK947" i="3" s="1"/>
  <c r="AM947" i="3" s="1"/>
  <c r="AI946" i="3"/>
  <c r="AK946" i="3" s="1"/>
  <c r="AM946" i="3" s="1"/>
  <c r="AI945" i="3"/>
  <c r="AK945" i="3" s="1"/>
  <c r="AM945" i="3" s="1"/>
  <c r="AI944" i="3"/>
  <c r="AK944" i="3" s="1"/>
  <c r="AM944" i="3" s="1"/>
  <c r="AI943" i="3"/>
  <c r="AK943" i="3" s="1"/>
  <c r="AM943" i="3" s="1"/>
  <c r="AI942" i="3"/>
  <c r="AK942" i="3" s="1"/>
  <c r="AM942" i="3" s="1"/>
  <c r="AI941" i="3"/>
  <c r="AK941" i="3" s="1"/>
  <c r="AM941" i="3" s="1"/>
  <c r="AI940" i="3"/>
  <c r="AK940" i="3" s="1"/>
  <c r="AM940" i="3" s="1"/>
  <c r="AI939" i="3"/>
  <c r="AK939" i="3" s="1"/>
  <c r="AM939" i="3" s="1"/>
  <c r="AI938" i="3"/>
  <c r="AK938" i="3" s="1"/>
  <c r="AM938" i="3" s="1"/>
  <c r="AI937" i="3"/>
  <c r="AK937" i="3" s="1"/>
  <c r="AM937" i="3" s="1"/>
  <c r="AI936" i="3"/>
  <c r="AK936" i="3" s="1"/>
  <c r="AM936" i="3" s="1"/>
  <c r="AI935" i="3"/>
  <c r="AK935" i="3" s="1"/>
  <c r="AM935" i="3" s="1"/>
  <c r="AI934" i="3"/>
  <c r="AK934" i="3" s="1"/>
  <c r="AM934" i="3" s="1"/>
  <c r="AI933" i="3"/>
  <c r="AK933" i="3" s="1"/>
  <c r="AM933" i="3" s="1"/>
  <c r="AI932" i="3"/>
  <c r="AK932" i="3" s="1"/>
  <c r="AM932" i="3" s="1"/>
  <c r="AI931" i="3"/>
  <c r="AK931" i="3" s="1"/>
  <c r="AM931" i="3" s="1"/>
  <c r="AI930" i="3"/>
  <c r="AK930" i="3" s="1"/>
  <c r="AM930" i="3" s="1"/>
  <c r="AI929" i="3"/>
  <c r="AK929" i="3" s="1"/>
  <c r="AM929" i="3" s="1"/>
  <c r="AI928" i="3"/>
  <c r="AK928" i="3" s="1"/>
  <c r="AM928" i="3" s="1"/>
  <c r="AI927" i="3"/>
  <c r="AK927" i="3" s="1"/>
  <c r="AM927" i="3" s="1"/>
  <c r="AI926" i="3"/>
  <c r="AK926" i="3" s="1"/>
  <c r="AM926" i="3" s="1"/>
  <c r="AI925" i="3"/>
  <c r="AK925" i="3" s="1"/>
  <c r="AM925" i="3" s="1"/>
  <c r="AI924" i="3"/>
  <c r="AK924" i="3" s="1"/>
  <c r="AM924" i="3" s="1"/>
  <c r="AI923" i="3"/>
  <c r="AK923" i="3" s="1"/>
  <c r="AM923" i="3" s="1"/>
  <c r="AI922" i="3"/>
  <c r="AK922" i="3" s="1"/>
  <c r="AM922" i="3" s="1"/>
  <c r="AI921" i="3"/>
  <c r="AK921" i="3" s="1"/>
  <c r="AM921" i="3" s="1"/>
  <c r="AI920" i="3"/>
  <c r="AK920" i="3" s="1"/>
  <c r="AM920" i="3" s="1"/>
  <c r="AI919" i="3"/>
  <c r="AK919" i="3" s="1"/>
  <c r="AM919" i="3" s="1"/>
  <c r="AI918" i="3"/>
  <c r="AK918" i="3" s="1"/>
  <c r="AM918" i="3" s="1"/>
  <c r="AI917" i="3"/>
  <c r="AK917" i="3" s="1"/>
  <c r="AM917" i="3" s="1"/>
  <c r="AI916" i="3"/>
  <c r="AK916" i="3" s="1"/>
  <c r="AM916" i="3" s="1"/>
  <c r="AI915" i="3"/>
  <c r="AK915" i="3" s="1"/>
  <c r="AM915" i="3" s="1"/>
  <c r="AI914" i="3"/>
  <c r="AK914" i="3" s="1"/>
  <c r="AM914" i="3" s="1"/>
  <c r="AI913" i="3"/>
  <c r="AK913" i="3" s="1"/>
  <c r="AM913" i="3" s="1"/>
  <c r="AI912" i="3"/>
  <c r="AK912" i="3" s="1"/>
  <c r="AM912" i="3" s="1"/>
  <c r="AI911" i="3"/>
  <c r="AK911" i="3" s="1"/>
  <c r="AM911" i="3" s="1"/>
  <c r="AI910" i="3"/>
  <c r="AK910" i="3" s="1"/>
  <c r="AM910" i="3" s="1"/>
  <c r="AI909" i="3"/>
  <c r="AK909" i="3" s="1"/>
  <c r="AM909" i="3" s="1"/>
  <c r="AI908" i="3"/>
  <c r="AK908" i="3" s="1"/>
  <c r="AM908" i="3" s="1"/>
  <c r="AI907" i="3"/>
  <c r="AK907" i="3" s="1"/>
  <c r="AM907" i="3" s="1"/>
  <c r="AI906" i="3"/>
  <c r="AK906" i="3" s="1"/>
  <c r="AM906" i="3" s="1"/>
  <c r="AI905" i="3"/>
  <c r="AK905" i="3" s="1"/>
  <c r="AM905" i="3" s="1"/>
  <c r="AI904" i="3"/>
  <c r="AK904" i="3" s="1"/>
  <c r="AM904" i="3" s="1"/>
  <c r="AI903" i="3"/>
  <c r="AK903" i="3" s="1"/>
  <c r="AM903" i="3" s="1"/>
  <c r="AI902" i="3"/>
  <c r="AK902" i="3" s="1"/>
  <c r="AM902" i="3" s="1"/>
  <c r="AI901" i="3"/>
  <c r="AK901" i="3" s="1"/>
  <c r="AM901" i="3" s="1"/>
  <c r="AI900" i="3"/>
  <c r="AK900" i="3" s="1"/>
  <c r="AM900" i="3" s="1"/>
  <c r="AI899" i="3"/>
  <c r="AK899" i="3" s="1"/>
  <c r="AM899" i="3" s="1"/>
  <c r="AI898" i="3"/>
  <c r="AK898" i="3" s="1"/>
  <c r="AM898" i="3" s="1"/>
  <c r="AI897" i="3"/>
  <c r="AK897" i="3" s="1"/>
  <c r="AM897" i="3" s="1"/>
  <c r="AI896" i="3"/>
  <c r="AK896" i="3" s="1"/>
  <c r="AM896" i="3" s="1"/>
  <c r="AI895" i="3"/>
  <c r="AK895" i="3" s="1"/>
  <c r="AM895" i="3" s="1"/>
  <c r="AI894" i="3"/>
  <c r="AK894" i="3" s="1"/>
  <c r="AM894" i="3" s="1"/>
  <c r="AI893" i="3"/>
  <c r="AK893" i="3" s="1"/>
  <c r="AM893" i="3" s="1"/>
  <c r="AI892" i="3"/>
  <c r="AK892" i="3" s="1"/>
  <c r="AM892" i="3" s="1"/>
  <c r="AI891" i="3"/>
  <c r="AK891" i="3" s="1"/>
  <c r="AM891" i="3" s="1"/>
  <c r="AI890" i="3"/>
  <c r="AK890" i="3" s="1"/>
  <c r="AM890" i="3" s="1"/>
  <c r="AI889" i="3"/>
  <c r="AK889" i="3" s="1"/>
  <c r="AM889" i="3" s="1"/>
  <c r="AI888" i="3"/>
  <c r="AK888" i="3" s="1"/>
  <c r="AM888" i="3" s="1"/>
  <c r="AI887" i="3"/>
  <c r="AK887" i="3" s="1"/>
  <c r="AM887" i="3" s="1"/>
  <c r="AI886" i="3"/>
  <c r="AK886" i="3" s="1"/>
  <c r="AM886" i="3" s="1"/>
  <c r="AI885" i="3"/>
  <c r="AK885" i="3" s="1"/>
  <c r="AM885" i="3" s="1"/>
  <c r="AI884" i="3"/>
  <c r="AK884" i="3" s="1"/>
  <c r="AM884" i="3" s="1"/>
  <c r="AI883" i="3"/>
  <c r="AK883" i="3" s="1"/>
  <c r="AM883" i="3" s="1"/>
  <c r="AI882" i="3"/>
  <c r="AK882" i="3" s="1"/>
  <c r="AM882" i="3" s="1"/>
  <c r="AI881" i="3"/>
  <c r="AK881" i="3" s="1"/>
  <c r="AM881" i="3" s="1"/>
  <c r="AI880" i="3"/>
  <c r="AK880" i="3" s="1"/>
  <c r="AM880" i="3" s="1"/>
  <c r="AI879" i="3"/>
  <c r="AK879" i="3" s="1"/>
  <c r="AM879" i="3" s="1"/>
  <c r="AI878" i="3"/>
  <c r="AK878" i="3" s="1"/>
  <c r="AM878" i="3" s="1"/>
  <c r="AI877" i="3"/>
  <c r="AK877" i="3" s="1"/>
  <c r="AM877" i="3" s="1"/>
  <c r="AI876" i="3"/>
  <c r="AK876" i="3" s="1"/>
  <c r="AM876" i="3" s="1"/>
  <c r="AI875" i="3"/>
  <c r="AK875" i="3" s="1"/>
  <c r="AM875" i="3" s="1"/>
  <c r="AI874" i="3"/>
  <c r="AK874" i="3" s="1"/>
  <c r="AM874" i="3" s="1"/>
  <c r="AI873" i="3"/>
  <c r="AK873" i="3" s="1"/>
  <c r="AM873" i="3" s="1"/>
  <c r="AI872" i="3"/>
  <c r="AK872" i="3" s="1"/>
  <c r="AM872" i="3" s="1"/>
  <c r="AI871" i="3"/>
  <c r="AK871" i="3" s="1"/>
  <c r="AM871" i="3" s="1"/>
  <c r="AI870" i="3"/>
  <c r="AK870" i="3" s="1"/>
  <c r="AM870" i="3" s="1"/>
  <c r="AI869" i="3"/>
  <c r="AK869" i="3" s="1"/>
  <c r="AM869" i="3" s="1"/>
  <c r="AI868" i="3"/>
  <c r="AK868" i="3" s="1"/>
  <c r="AM868" i="3" s="1"/>
  <c r="AI867" i="3"/>
  <c r="AK867" i="3" s="1"/>
  <c r="AM867" i="3" s="1"/>
  <c r="AI866" i="3"/>
  <c r="AK866" i="3" s="1"/>
  <c r="AM866" i="3" s="1"/>
  <c r="AI865" i="3"/>
  <c r="AK865" i="3" s="1"/>
  <c r="AM865" i="3" s="1"/>
  <c r="AI864" i="3"/>
  <c r="AK864" i="3" s="1"/>
  <c r="AM864" i="3" s="1"/>
  <c r="AI863" i="3"/>
  <c r="AK863" i="3" s="1"/>
  <c r="AM863" i="3" s="1"/>
  <c r="AI862" i="3"/>
  <c r="AK862" i="3" s="1"/>
  <c r="AM862" i="3" s="1"/>
  <c r="AI861" i="3"/>
  <c r="AK861" i="3" s="1"/>
  <c r="AM861" i="3" s="1"/>
  <c r="AI860" i="3"/>
  <c r="AK860" i="3" s="1"/>
  <c r="AM860" i="3" s="1"/>
  <c r="AI859" i="3"/>
  <c r="AK859" i="3" s="1"/>
  <c r="AM859" i="3" s="1"/>
  <c r="AI858" i="3"/>
  <c r="AK858" i="3" s="1"/>
  <c r="AM858" i="3" s="1"/>
  <c r="AI857" i="3"/>
  <c r="AK857" i="3" s="1"/>
  <c r="AM857" i="3" s="1"/>
  <c r="AI856" i="3"/>
  <c r="AK856" i="3" s="1"/>
  <c r="AM856" i="3" s="1"/>
  <c r="AI855" i="3"/>
  <c r="AK855" i="3" s="1"/>
  <c r="AM855" i="3" s="1"/>
  <c r="AI854" i="3"/>
  <c r="AK854" i="3" s="1"/>
  <c r="AM854" i="3" s="1"/>
  <c r="AI853" i="3"/>
  <c r="AK853" i="3" s="1"/>
  <c r="AM853" i="3" s="1"/>
  <c r="AI852" i="3"/>
  <c r="AK852" i="3" s="1"/>
  <c r="AM852" i="3" s="1"/>
  <c r="AI851" i="3"/>
  <c r="AK851" i="3" s="1"/>
  <c r="AM851" i="3" s="1"/>
  <c r="AI850" i="3"/>
  <c r="AK850" i="3" s="1"/>
  <c r="AM850" i="3" s="1"/>
  <c r="AI849" i="3"/>
  <c r="AK849" i="3" s="1"/>
  <c r="AM849" i="3" s="1"/>
  <c r="AI848" i="3"/>
  <c r="AK848" i="3" s="1"/>
  <c r="AM848" i="3" s="1"/>
  <c r="AI847" i="3"/>
  <c r="AK847" i="3" s="1"/>
  <c r="AM847" i="3" s="1"/>
  <c r="AI846" i="3"/>
  <c r="AK846" i="3" s="1"/>
  <c r="AM846" i="3" s="1"/>
  <c r="AI845" i="3"/>
  <c r="AK845" i="3" s="1"/>
  <c r="AM845" i="3" s="1"/>
  <c r="AI844" i="3"/>
  <c r="AK844" i="3" s="1"/>
  <c r="AM844" i="3" s="1"/>
  <c r="AI843" i="3"/>
  <c r="AK843" i="3" s="1"/>
  <c r="AM843" i="3" s="1"/>
  <c r="AI842" i="3"/>
  <c r="AK842" i="3" s="1"/>
  <c r="AM842" i="3" s="1"/>
  <c r="AI841" i="3"/>
  <c r="AK841" i="3" s="1"/>
  <c r="AM841" i="3" s="1"/>
  <c r="AI840" i="3"/>
  <c r="AK840" i="3" s="1"/>
  <c r="AM840" i="3" s="1"/>
  <c r="AI839" i="3"/>
  <c r="AK839" i="3" s="1"/>
  <c r="AM839" i="3" s="1"/>
  <c r="AI838" i="3"/>
  <c r="AK838" i="3" s="1"/>
  <c r="AM838" i="3" s="1"/>
  <c r="AI837" i="3"/>
  <c r="AK837" i="3" s="1"/>
  <c r="AM837" i="3" s="1"/>
  <c r="AI836" i="3"/>
  <c r="AK836" i="3" s="1"/>
  <c r="AM836" i="3" s="1"/>
  <c r="AI835" i="3"/>
  <c r="AK835" i="3" s="1"/>
  <c r="AM835" i="3" s="1"/>
  <c r="AI834" i="3"/>
  <c r="AK834" i="3" s="1"/>
  <c r="AM834" i="3" s="1"/>
  <c r="AI833" i="3"/>
  <c r="AK833" i="3" s="1"/>
  <c r="AM833" i="3" s="1"/>
  <c r="AI832" i="3"/>
  <c r="AK832" i="3" s="1"/>
  <c r="AM832" i="3" s="1"/>
  <c r="AI831" i="3"/>
  <c r="AK831" i="3" s="1"/>
  <c r="AM831" i="3" s="1"/>
  <c r="AI830" i="3"/>
  <c r="AK830" i="3" s="1"/>
  <c r="AM830" i="3" s="1"/>
  <c r="AI829" i="3"/>
  <c r="AK829" i="3" s="1"/>
  <c r="AM829" i="3" s="1"/>
  <c r="AI828" i="3"/>
  <c r="AK828" i="3" s="1"/>
  <c r="AM828" i="3" s="1"/>
  <c r="AI827" i="3"/>
  <c r="AK827" i="3" s="1"/>
  <c r="AM827" i="3" s="1"/>
  <c r="AI826" i="3"/>
  <c r="AK826" i="3" s="1"/>
  <c r="AM826" i="3" s="1"/>
  <c r="AI825" i="3"/>
  <c r="AK825" i="3" s="1"/>
  <c r="AM825" i="3" s="1"/>
  <c r="AI824" i="3"/>
  <c r="AK824" i="3" s="1"/>
  <c r="AM824" i="3" s="1"/>
  <c r="AI823" i="3"/>
  <c r="AK823" i="3" s="1"/>
  <c r="AM823" i="3" s="1"/>
  <c r="AI822" i="3"/>
  <c r="AK822" i="3" s="1"/>
  <c r="AM822" i="3" s="1"/>
  <c r="AI821" i="3"/>
  <c r="AK821" i="3" s="1"/>
  <c r="AM821" i="3" s="1"/>
  <c r="AI820" i="3"/>
  <c r="AK820" i="3" s="1"/>
  <c r="AM820" i="3" s="1"/>
  <c r="AI819" i="3"/>
  <c r="AK819" i="3" s="1"/>
  <c r="AM819" i="3" s="1"/>
  <c r="AI818" i="3"/>
  <c r="AK818" i="3" s="1"/>
  <c r="AM818" i="3" s="1"/>
  <c r="AI817" i="3"/>
  <c r="AK817" i="3" s="1"/>
  <c r="AM817" i="3" s="1"/>
  <c r="AI816" i="3"/>
  <c r="AK816" i="3" s="1"/>
  <c r="AM816" i="3" s="1"/>
  <c r="AI815" i="3"/>
  <c r="AK815" i="3" s="1"/>
  <c r="AM815" i="3" s="1"/>
  <c r="AI814" i="3"/>
  <c r="AK814" i="3" s="1"/>
  <c r="AM814" i="3" s="1"/>
  <c r="AI813" i="3"/>
  <c r="AK813" i="3" s="1"/>
  <c r="AM813" i="3" s="1"/>
  <c r="AI812" i="3"/>
  <c r="AK812" i="3" s="1"/>
  <c r="AM812" i="3" s="1"/>
  <c r="AI811" i="3"/>
  <c r="AK811" i="3" s="1"/>
  <c r="AM811" i="3" s="1"/>
  <c r="AI810" i="3"/>
  <c r="AK810" i="3" s="1"/>
  <c r="AM810" i="3" s="1"/>
  <c r="AI809" i="3"/>
  <c r="AK809" i="3" s="1"/>
  <c r="AM809" i="3" s="1"/>
  <c r="AI808" i="3"/>
  <c r="AK808" i="3" s="1"/>
  <c r="AM808" i="3" s="1"/>
  <c r="AI807" i="3"/>
  <c r="AK807" i="3" s="1"/>
  <c r="AM807" i="3" s="1"/>
  <c r="AI806" i="3"/>
  <c r="AK806" i="3" s="1"/>
  <c r="AM806" i="3" s="1"/>
  <c r="AI805" i="3"/>
  <c r="AK805" i="3" s="1"/>
  <c r="AM805" i="3" s="1"/>
  <c r="AI804" i="3"/>
  <c r="AK804" i="3" s="1"/>
  <c r="AM804" i="3" s="1"/>
  <c r="AI803" i="3"/>
  <c r="AK803" i="3" s="1"/>
  <c r="AM803" i="3" s="1"/>
  <c r="AI802" i="3"/>
  <c r="AK802" i="3" s="1"/>
  <c r="AM802" i="3" s="1"/>
  <c r="AI801" i="3"/>
  <c r="AK801" i="3" s="1"/>
  <c r="AM801" i="3" s="1"/>
  <c r="AI800" i="3"/>
  <c r="AK800" i="3" s="1"/>
  <c r="AM800" i="3" s="1"/>
  <c r="AI799" i="3"/>
  <c r="AK799" i="3" s="1"/>
  <c r="AM799" i="3" s="1"/>
  <c r="AI798" i="3"/>
  <c r="AK798" i="3" s="1"/>
  <c r="AM798" i="3" s="1"/>
  <c r="AI797" i="3"/>
  <c r="AK797" i="3" s="1"/>
  <c r="AM797" i="3" s="1"/>
  <c r="AI796" i="3"/>
  <c r="AK796" i="3" s="1"/>
  <c r="AM796" i="3" s="1"/>
  <c r="AI795" i="3"/>
  <c r="AK795" i="3" s="1"/>
  <c r="AM795" i="3" s="1"/>
  <c r="AI794" i="3"/>
  <c r="AK794" i="3" s="1"/>
  <c r="AM794" i="3" s="1"/>
  <c r="AI793" i="3"/>
  <c r="AK793" i="3" s="1"/>
  <c r="AM793" i="3" s="1"/>
  <c r="AI792" i="3"/>
  <c r="AK792" i="3" s="1"/>
  <c r="AM792" i="3" s="1"/>
  <c r="AI791" i="3"/>
  <c r="AK791" i="3" s="1"/>
  <c r="AM791" i="3" s="1"/>
  <c r="AI790" i="3"/>
  <c r="AK790" i="3" s="1"/>
  <c r="AM790" i="3" s="1"/>
  <c r="AI789" i="3"/>
  <c r="AK789" i="3" s="1"/>
  <c r="AM789" i="3" s="1"/>
  <c r="AI788" i="3"/>
  <c r="AK788" i="3" s="1"/>
  <c r="AM788" i="3" s="1"/>
  <c r="AI787" i="3"/>
  <c r="AK787" i="3" s="1"/>
  <c r="AM787" i="3" s="1"/>
  <c r="AI786" i="3"/>
  <c r="AK786" i="3" s="1"/>
  <c r="AM786" i="3" s="1"/>
  <c r="AI785" i="3"/>
  <c r="AK785" i="3" s="1"/>
  <c r="AM785" i="3" s="1"/>
  <c r="AI784" i="3"/>
  <c r="AK784" i="3" s="1"/>
  <c r="AM784" i="3" s="1"/>
  <c r="AI783" i="3"/>
  <c r="AK783" i="3" s="1"/>
  <c r="AM783" i="3" s="1"/>
  <c r="AI782" i="3"/>
  <c r="AK782" i="3" s="1"/>
  <c r="AM782" i="3" s="1"/>
  <c r="AI781" i="3"/>
  <c r="AK781" i="3" s="1"/>
  <c r="AM781" i="3" s="1"/>
  <c r="AI780" i="3"/>
  <c r="AK780" i="3" s="1"/>
  <c r="AM780" i="3" s="1"/>
  <c r="AI779" i="3"/>
  <c r="AK779" i="3" s="1"/>
  <c r="AM779" i="3" s="1"/>
  <c r="AI778" i="3"/>
  <c r="AK778" i="3" s="1"/>
  <c r="AM778" i="3" s="1"/>
  <c r="AI777" i="3"/>
  <c r="AK777" i="3" s="1"/>
  <c r="AM777" i="3" s="1"/>
  <c r="AI776" i="3"/>
  <c r="AK776" i="3" s="1"/>
  <c r="AM776" i="3" s="1"/>
  <c r="AI775" i="3"/>
  <c r="AK775" i="3" s="1"/>
  <c r="AM775" i="3" s="1"/>
  <c r="AI774" i="3"/>
  <c r="AK774" i="3" s="1"/>
  <c r="AM774" i="3" s="1"/>
  <c r="AI773" i="3"/>
  <c r="AK773" i="3" s="1"/>
  <c r="AM773" i="3" s="1"/>
  <c r="AI772" i="3"/>
  <c r="AK772" i="3" s="1"/>
  <c r="AM772" i="3" s="1"/>
  <c r="AI771" i="3"/>
  <c r="AK771" i="3" s="1"/>
  <c r="AM771" i="3" s="1"/>
  <c r="AI770" i="3"/>
  <c r="AK770" i="3" s="1"/>
  <c r="AM770" i="3" s="1"/>
  <c r="AI769" i="3"/>
  <c r="AK769" i="3" s="1"/>
  <c r="AM769" i="3" s="1"/>
  <c r="AI768" i="3"/>
  <c r="AK768" i="3" s="1"/>
  <c r="AM768" i="3" s="1"/>
  <c r="AI767" i="3"/>
  <c r="AK767" i="3" s="1"/>
  <c r="AM767" i="3" s="1"/>
  <c r="AI766" i="3"/>
  <c r="AK766" i="3" s="1"/>
  <c r="AM766" i="3" s="1"/>
  <c r="AI765" i="3"/>
  <c r="AK765" i="3" s="1"/>
  <c r="AM765" i="3" s="1"/>
  <c r="AI764" i="3"/>
  <c r="AK764" i="3" s="1"/>
  <c r="AM764" i="3" s="1"/>
  <c r="AI763" i="3"/>
  <c r="AK763" i="3" s="1"/>
  <c r="AM763" i="3" s="1"/>
  <c r="AI762" i="3"/>
  <c r="AK762" i="3" s="1"/>
  <c r="AM762" i="3" s="1"/>
  <c r="AI761" i="3"/>
  <c r="AK761" i="3" s="1"/>
  <c r="AM761" i="3" s="1"/>
  <c r="AI760" i="3"/>
  <c r="AK760" i="3" s="1"/>
  <c r="AM760" i="3" s="1"/>
  <c r="AI759" i="3"/>
  <c r="AK759" i="3" s="1"/>
  <c r="AM759" i="3" s="1"/>
  <c r="AI758" i="3"/>
  <c r="AK758" i="3" s="1"/>
  <c r="AM758" i="3" s="1"/>
  <c r="AI757" i="3"/>
  <c r="AK757" i="3" s="1"/>
  <c r="AM757" i="3" s="1"/>
  <c r="AI756" i="3"/>
  <c r="AK756" i="3" s="1"/>
  <c r="AM756" i="3" s="1"/>
  <c r="AI755" i="3"/>
  <c r="AK755" i="3" s="1"/>
  <c r="AM755" i="3" s="1"/>
  <c r="AI754" i="3"/>
  <c r="AK754" i="3" s="1"/>
  <c r="AM754" i="3" s="1"/>
  <c r="AI753" i="3"/>
  <c r="AK753" i="3" s="1"/>
  <c r="AM753" i="3" s="1"/>
  <c r="AI752" i="3"/>
  <c r="AK752" i="3" s="1"/>
  <c r="AM752" i="3" s="1"/>
  <c r="AI751" i="3"/>
  <c r="AK751" i="3" s="1"/>
  <c r="AM751" i="3" s="1"/>
  <c r="AI750" i="3"/>
  <c r="AK750" i="3" s="1"/>
  <c r="AM750" i="3" s="1"/>
  <c r="AI749" i="3"/>
  <c r="AK749" i="3" s="1"/>
  <c r="AM749" i="3" s="1"/>
  <c r="AI748" i="3"/>
  <c r="AK748" i="3" s="1"/>
  <c r="AM748" i="3" s="1"/>
  <c r="AI747" i="3"/>
  <c r="AK747" i="3" s="1"/>
  <c r="AM747" i="3" s="1"/>
  <c r="AI746" i="3"/>
  <c r="AK746" i="3" s="1"/>
  <c r="AM746" i="3" s="1"/>
  <c r="AI745" i="3"/>
  <c r="AK745" i="3" s="1"/>
  <c r="AM745" i="3" s="1"/>
  <c r="AI744" i="3"/>
  <c r="AK744" i="3" s="1"/>
  <c r="AM744" i="3" s="1"/>
  <c r="AI743" i="3"/>
  <c r="AK743" i="3" s="1"/>
  <c r="AM743" i="3" s="1"/>
  <c r="AI742" i="3"/>
  <c r="AK742" i="3" s="1"/>
  <c r="AM742" i="3" s="1"/>
  <c r="AI741" i="3"/>
  <c r="AK741" i="3" s="1"/>
  <c r="AM741" i="3" s="1"/>
  <c r="AI740" i="3"/>
  <c r="AK740" i="3" s="1"/>
  <c r="AM740" i="3" s="1"/>
  <c r="AI739" i="3"/>
  <c r="AK739" i="3" s="1"/>
  <c r="AM739" i="3" s="1"/>
  <c r="AI738" i="3"/>
  <c r="AK738" i="3" s="1"/>
  <c r="AM738" i="3" s="1"/>
  <c r="AI737" i="3"/>
  <c r="AK737" i="3" s="1"/>
  <c r="AM737" i="3" s="1"/>
  <c r="AI736" i="3"/>
  <c r="AK736" i="3" s="1"/>
  <c r="AM736" i="3" s="1"/>
  <c r="AI735" i="3"/>
  <c r="AK735" i="3" s="1"/>
  <c r="AM735" i="3" s="1"/>
  <c r="AI734" i="3"/>
  <c r="AK734" i="3" s="1"/>
  <c r="AM734" i="3" s="1"/>
  <c r="AI733" i="3"/>
  <c r="AK733" i="3" s="1"/>
  <c r="AM733" i="3" s="1"/>
  <c r="AI732" i="3"/>
  <c r="AK732" i="3" s="1"/>
  <c r="AM732" i="3" s="1"/>
  <c r="AI731" i="3"/>
  <c r="AK731" i="3" s="1"/>
  <c r="AM731" i="3" s="1"/>
  <c r="AI730" i="3"/>
  <c r="AK730" i="3" s="1"/>
  <c r="AM730" i="3" s="1"/>
  <c r="AI729" i="3"/>
  <c r="AK729" i="3" s="1"/>
  <c r="AM729" i="3" s="1"/>
  <c r="AI728" i="3"/>
  <c r="AK728" i="3" s="1"/>
  <c r="AM728" i="3" s="1"/>
  <c r="AI727" i="3"/>
  <c r="AK727" i="3" s="1"/>
  <c r="AM727" i="3" s="1"/>
  <c r="AI726" i="3"/>
  <c r="AK726" i="3" s="1"/>
  <c r="AM726" i="3" s="1"/>
  <c r="AI725" i="3"/>
  <c r="AK725" i="3" s="1"/>
  <c r="AM725" i="3" s="1"/>
  <c r="AI724" i="3"/>
  <c r="AK724" i="3" s="1"/>
  <c r="AM724" i="3" s="1"/>
  <c r="AI723" i="3"/>
  <c r="AK723" i="3" s="1"/>
  <c r="AM723" i="3" s="1"/>
  <c r="AI722" i="3"/>
  <c r="AK722" i="3" s="1"/>
  <c r="AM722" i="3" s="1"/>
  <c r="AI721" i="3"/>
  <c r="AK721" i="3" s="1"/>
  <c r="AM721" i="3" s="1"/>
  <c r="AI720" i="3"/>
  <c r="AK720" i="3" s="1"/>
  <c r="AM720" i="3" s="1"/>
  <c r="AI719" i="3"/>
  <c r="AK719" i="3" s="1"/>
  <c r="AM719" i="3" s="1"/>
  <c r="AI718" i="3"/>
  <c r="AK718" i="3" s="1"/>
  <c r="AM718" i="3" s="1"/>
  <c r="AI717" i="3"/>
  <c r="AK717" i="3" s="1"/>
  <c r="AM717" i="3" s="1"/>
  <c r="AI716" i="3"/>
  <c r="AK716" i="3" s="1"/>
  <c r="AM716" i="3" s="1"/>
  <c r="AI715" i="3"/>
  <c r="AK715" i="3" s="1"/>
  <c r="AM715" i="3" s="1"/>
  <c r="AI714" i="3"/>
  <c r="AK714" i="3" s="1"/>
  <c r="AM714" i="3" s="1"/>
  <c r="AI713" i="3"/>
  <c r="AK713" i="3" s="1"/>
  <c r="AM713" i="3" s="1"/>
  <c r="AI712" i="3"/>
  <c r="AK712" i="3" s="1"/>
  <c r="AM712" i="3" s="1"/>
  <c r="AI711" i="3"/>
  <c r="AK711" i="3" s="1"/>
  <c r="AM711" i="3" s="1"/>
  <c r="AI710" i="3"/>
  <c r="AK710" i="3" s="1"/>
  <c r="AM710" i="3" s="1"/>
  <c r="AI709" i="3"/>
  <c r="AK709" i="3" s="1"/>
  <c r="AM709" i="3" s="1"/>
  <c r="AI708" i="3"/>
  <c r="AK708" i="3" s="1"/>
  <c r="AM708" i="3" s="1"/>
  <c r="AI707" i="3"/>
  <c r="AK707" i="3" s="1"/>
  <c r="AM707" i="3" s="1"/>
  <c r="AI706" i="3"/>
  <c r="AK706" i="3" s="1"/>
  <c r="AM706" i="3" s="1"/>
  <c r="AI705" i="3"/>
  <c r="AK705" i="3" s="1"/>
  <c r="AM705" i="3" s="1"/>
  <c r="AI704" i="3"/>
  <c r="AK704" i="3" s="1"/>
  <c r="AM704" i="3" s="1"/>
  <c r="AI703" i="3"/>
  <c r="AK703" i="3" s="1"/>
  <c r="AM703" i="3" s="1"/>
  <c r="AI702" i="3"/>
  <c r="AK702" i="3" s="1"/>
  <c r="AM702" i="3" s="1"/>
  <c r="AI701" i="3"/>
  <c r="AK701" i="3" s="1"/>
  <c r="AM701" i="3" s="1"/>
  <c r="AI700" i="3"/>
  <c r="AK700" i="3" s="1"/>
  <c r="AM700" i="3" s="1"/>
  <c r="AI699" i="3"/>
  <c r="AK699" i="3" s="1"/>
  <c r="AM699" i="3" s="1"/>
  <c r="AI698" i="3"/>
  <c r="AK698" i="3" s="1"/>
  <c r="AM698" i="3" s="1"/>
  <c r="AI697" i="3"/>
  <c r="AK697" i="3" s="1"/>
  <c r="AM697" i="3" s="1"/>
  <c r="AI696" i="3"/>
  <c r="AK696" i="3" s="1"/>
  <c r="AM696" i="3" s="1"/>
  <c r="AI695" i="3"/>
  <c r="AK695" i="3" s="1"/>
  <c r="AM695" i="3" s="1"/>
  <c r="AI694" i="3"/>
  <c r="AK694" i="3" s="1"/>
  <c r="AM694" i="3" s="1"/>
  <c r="AI693" i="3"/>
  <c r="AK693" i="3" s="1"/>
  <c r="AM693" i="3" s="1"/>
  <c r="AI692" i="3"/>
  <c r="AK692" i="3" s="1"/>
  <c r="AM692" i="3" s="1"/>
  <c r="AI691" i="3"/>
  <c r="AK691" i="3" s="1"/>
  <c r="AM691" i="3" s="1"/>
  <c r="AI690" i="3"/>
  <c r="AK690" i="3" s="1"/>
  <c r="AM690" i="3" s="1"/>
  <c r="AI689" i="3"/>
  <c r="AK689" i="3" s="1"/>
  <c r="AM689" i="3" s="1"/>
  <c r="AI688" i="3"/>
  <c r="AK688" i="3" s="1"/>
  <c r="AM688" i="3" s="1"/>
  <c r="AI687" i="3"/>
  <c r="AK687" i="3" s="1"/>
  <c r="AM687" i="3" s="1"/>
  <c r="AI686" i="3"/>
  <c r="AK686" i="3" s="1"/>
  <c r="AM686" i="3" s="1"/>
  <c r="AI685" i="3"/>
  <c r="AK685" i="3" s="1"/>
  <c r="AM685" i="3" s="1"/>
  <c r="AI684" i="3"/>
  <c r="AK684" i="3" s="1"/>
  <c r="AM684" i="3" s="1"/>
  <c r="AI683" i="3"/>
  <c r="AK683" i="3" s="1"/>
  <c r="AM683" i="3" s="1"/>
  <c r="AI682" i="3"/>
  <c r="AK682" i="3" s="1"/>
  <c r="AM682" i="3" s="1"/>
  <c r="AI681" i="3"/>
  <c r="AK681" i="3" s="1"/>
  <c r="AM681" i="3" s="1"/>
  <c r="AI680" i="3"/>
  <c r="AK680" i="3" s="1"/>
  <c r="AM680" i="3" s="1"/>
  <c r="AI679" i="3"/>
  <c r="AK679" i="3" s="1"/>
  <c r="AM679" i="3" s="1"/>
  <c r="AI678" i="3"/>
  <c r="AK678" i="3" s="1"/>
  <c r="AM678" i="3" s="1"/>
  <c r="AI677" i="3"/>
  <c r="AK677" i="3" s="1"/>
  <c r="AM677" i="3" s="1"/>
  <c r="AI676" i="3"/>
  <c r="AK676" i="3" s="1"/>
  <c r="AM676" i="3" s="1"/>
  <c r="AI675" i="3"/>
  <c r="AK675" i="3" s="1"/>
  <c r="AM675" i="3" s="1"/>
  <c r="AI674" i="3"/>
  <c r="AK674" i="3" s="1"/>
  <c r="AM674" i="3" s="1"/>
  <c r="AI673" i="3"/>
  <c r="AK673" i="3" s="1"/>
  <c r="AM673" i="3" s="1"/>
  <c r="AI672" i="3"/>
  <c r="AK672" i="3" s="1"/>
  <c r="AM672" i="3" s="1"/>
  <c r="AI671" i="3"/>
  <c r="AK671" i="3" s="1"/>
  <c r="AM671" i="3" s="1"/>
  <c r="AI670" i="3"/>
  <c r="AK670" i="3" s="1"/>
  <c r="AM670" i="3" s="1"/>
  <c r="AI669" i="3"/>
  <c r="AK669" i="3" s="1"/>
  <c r="AM669" i="3" s="1"/>
  <c r="AI668" i="3"/>
  <c r="AK668" i="3" s="1"/>
  <c r="AM668" i="3" s="1"/>
  <c r="AI667" i="3"/>
  <c r="AK667" i="3" s="1"/>
  <c r="AM667" i="3" s="1"/>
  <c r="AI666" i="3"/>
  <c r="AK666" i="3" s="1"/>
  <c r="AM666" i="3" s="1"/>
  <c r="AI665" i="3"/>
  <c r="AK665" i="3" s="1"/>
  <c r="AM665" i="3" s="1"/>
  <c r="AI664" i="3"/>
  <c r="AK664" i="3" s="1"/>
  <c r="AM664" i="3" s="1"/>
  <c r="AI663" i="3"/>
  <c r="AK663" i="3" s="1"/>
  <c r="AM663" i="3" s="1"/>
  <c r="AI662" i="3"/>
  <c r="AK662" i="3" s="1"/>
  <c r="AM662" i="3" s="1"/>
  <c r="AK661" i="3"/>
  <c r="AM661" i="3" s="1"/>
  <c r="AI661" i="3"/>
  <c r="AI660" i="3"/>
  <c r="AK660" i="3" s="1"/>
  <c r="AM660" i="3" s="1"/>
  <c r="AI659" i="3"/>
  <c r="AK659" i="3" s="1"/>
  <c r="AM659" i="3" s="1"/>
  <c r="AI658" i="3"/>
  <c r="AK658" i="3" s="1"/>
  <c r="AM658" i="3" s="1"/>
  <c r="AI657" i="3"/>
  <c r="AK657" i="3" s="1"/>
  <c r="AM657" i="3" s="1"/>
  <c r="AI656" i="3"/>
  <c r="AK656" i="3" s="1"/>
  <c r="AM656" i="3" s="1"/>
  <c r="AI655" i="3"/>
  <c r="AK655" i="3" s="1"/>
  <c r="AM655" i="3" s="1"/>
  <c r="AI654" i="3"/>
  <c r="AK654" i="3" s="1"/>
  <c r="AM654" i="3" s="1"/>
  <c r="AI653" i="3"/>
  <c r="AK653" i="3" s="1"/>
  <c r="AM653" i="3" s="1"/>
  <c r="AI652" i="3"/>
  <c r="AK652" i="3" s="1"/>
  <c r="AM652" i="3" s="1"/>
  <c r="AI651" i="3"/>
  <c r="AK651" i="3" s="1"/>
  <c r="AM651" i="3" s="1"/>
  <c r="AI650" i="3"/>
  <c r="AK650" i="3" s="1"/>
  <c r="AM650" i="3" s="1"/>
  <c r="AI649" i="3"/>
  <c r="AK649" i="3" s="1"/>
  <c r="AM649" i="3" s="1"/>
  <c r="AI648" i="3"/>
  <c r="AK648" i="3" s="1"/>
  <c r="AM648" i="3" s="1"/>
  <c r="AI647" i="3"/>
  <c r="AK647" i="3" s="1"/>
  <c r="AM647" i="3" s="1"/>
  <c r="AI646" i="3"/>
  <c r="AK646" i="3" s="1"/>
  <c r="AM646" i="3" s="1"/>
  <c r="AI645" i="3"/>
  <c r="AK645" i="3" s="1"/>
  <c r="AM645" i="3" s="1"/>
  <c r="AI644" i="3"/>
  <c r="AK644" i="3" s="1"/>
  <c r="AM644" i="3" s="1"/>
  <c r="AI643" i="3"/>
  <c r="AK643" i="3" s="1"/>
  <c r="AM643" i="3" s="1"/>
  <c r="AI642" i="3"/>
  <c r="AK642" i="3" s="1"/>
  <c r="AM642" i="3" s="1"/>
  <c r="AI641" i="3"/>
  <c r="AK641" i="3" s="1"/>
  <c r="AM641" i="3" s="1"/>
  <c r="AI640" i="3"/>
  <c r="AK640" i="3" s="1"/>
  <c r="AM640" i="3" s="1"/>
  <c r="AI639" i="3"/>
  <c r="AK639" i="3" s="1"/>
  <c r="AM639" i="3" s="1"/>
  <c r="AI638" i="3"/>
  <c r="AK638" i="3" s="1"/>
  <c r="AM638" i="3" s="1"/>
  <c r="AI637" i="3"/>
  <c r="AK637" i="3" s="1"/>
  <c r="AM637" i="3" s="1"/>
  <c r="AI636" i="3"/>
  <c r="AK636" i="3" s="1"/>
  <c r="AM636" i="3" s="1"/>
  <c r="AI635" i="3"/>
  <c r="AK635" i="3" s="1"/>
  <c r="AM635" i="3" s="1"/>
  <c r="AI634" i="3"/>
  <c r="AK634" i="3" s="1"/>
  <c r="AM634" i="3" s="1"/>
  <c r="AI633" i="3"/>
  <c r="AK633" i="3" s="1"/>
  <c r="AM633" i="3" s="1"/>
  <c r="AI632" i="3"/>
  <c r="AK632" i="3" s="1"/>
  <c r="AM632" i="3" s="1"/>
  <c r="AI631" i="3"/>
  <c r="AK631" i="3" s="1"/>
  <c r="AM631" i="3" s="1"/>
  <c r="AI630" i="3"/>
  <c r="AK630" i="3" s="1"/>
  <c r="AM630" i="3" s="1"/>
  <c r="AI629" i="3"/>
  <c r="AK629" i="3" s="1"/>
  <c r="AM629" i="3" s="1"/>
  <c r="AI628" i="3"/>
  <c r="AK628" i="3" s="1"/>
  <c r="AM628" i="3" s="1"/>
  <c r="AI627" i="3"/>
  <c r="AK627" i="3" s="1"/>
  <c r="AM627" i="3" s="1"/>
  <c r="AI626" i="3"/>
  <c r="AK626" i="3" s="1"/>
  <c r="AM626" i="3" s="1"/>
  <c r="AI625" i="3"/>
  <c r="AK625" i="3" s="1"/>
  <c r="AM625" i="3" s="1"/>
  <c r="AI624" i="3"/>
  <c r="AK624" i="3" s="1"/>
  <c r="AM624" i="3" s="1"/>
  <c r="AI623" i="3"/>
  <c r="AK623" i="3" s="1"/>
  <c r="AM623" i="3" s="1"/>
  <c r="AI622" i="3"/>
  <c r="AK622" i="3" s="1"/>
  <c r="AM622" i="3" s="1"/>
  <c r="AI621" i="3"/>
  <c r="AK621" i="3" s="1"/>
  <c r="AM621" i="3" s="1"/>
  <c r="AI620" i="3"/>
  <c r="AK620" i="3" s="1"/>
  <c r="AM620" i="3" s="1"/>
  <c r="AI619" i="3"/>
  <c r="AK619" i="3" s="1"/>
  <c r="AM619" i="3" s="1"/>
  <c r="AI618" i="3"/>
  <c r="AK618" i="3" s="1"/>
  <c r="AM618" i="3" s="1"/>
  <c r="AI617" i="3"/>
  <c r="AK617" i="3" s="1"/>
  <c r="AM617" i="3" s="1"/>
  <c r="AI616" i="3"/>
  <c r="AK616" i="3" s="1"/>
  <c r="AM616" i="3" s="1"/>
  <c r="AI615" i="3"/>
  <c r="AK615" i="3" s="1"/>
  <c r="AM615" i="3" s="1"/>
  <c r="AI614" i="3"/>
  <c r="AK614" i="3" s="1"/>
  <c r="AM614" i="3" s="1"/>
  <c r="AI613" i="3"/>
  <c r="AK613" i="3" s="1"/>
  <c r="AM613" i="3" s="1"/>
  <c r="AI612" i="3"/>
  <c r="AK612" i="3" s="1"/>
  <c r="AM612" i="3" s="1"/>
  <c r="AI611" i="3"/>
  <c r="AK611" i="3" s="1"/>
  <c r="AM611" i="3" s="1"/>
  <c r="AI610" i="3"/>
  <c r="AK610" i="3" s="1"/>
  <c r="AM610" i="3" s="1"/>
  <c r="AI609" i="3"/>
  <c r="AK609" i="3" s="1"/>
  <c r="AM609" i="3" s="1"/>
  <c r="AI608" i="3"/>
  <c r="AK608" i="3" s="1"/>
  <c r="AM608" i="3" s="1"/>
  <c r="AI607" i="3"/>
  <c r="AK607" i="3" s="1"/>
  <c r="AM607" i="3" s="1"/>
  <c r="AI606" i="3"/>
  <c r="AK606" i="3" s="1"/>
  <c r="AM606" i="3" s="1"/>
  <c r="AI605" i="3"/>
  <c r="AK605" i="3" s="1"/>
  <c r="AM605" i="3" s="1"/>
  <c r="AI604" i="3"/>
  <c r="AK604" i="3" s="1"/>
  <c r="AM604" i="3" s="1"/>
  <c r="AI603" i="3"/>
  <c r="AK603" i="3" s="1"/>
  <c r="AM603" i="3" s="1"/>
  <c r="AI602" i="3"/>
  <c r="AK602" i="3" s="1"/>
  <c r="AM602" i="3" s="1"/>
  <c r="AI601" i="3"/>
  <c r="AK601" i="3" s="1"/>
  <c r="AM601" i="3" s="1"/>
  <c r="AI600" i="3"/>
  <c r="AK600" i="3" s="1"/>
  <c r="AM600" i="3" s="1"/>
  <c r="AI599" i="3"/>
  <c r="AK599" i="3" s="1"/>
  <c r="AM599" i="3" s="1"/>
  <c r="AI598" i="3"/>
  <c r="AK598" i="3" s="1"/>
  <c r="AM598" i="3" s="1"/>
  <c r="AI597" i="3"/>
  <c r="AK597" i="3" s="1"/>
  <c r="AM597" i="3" s="1"/>
  <c r="AI596" i="3"/>
  <c r="AK596" i="3" s="1"/>
  <c r="AM596" i="3" s="1"/>
  <c r="AI595" i="3"/>
  <c r="AK595" i="3" s="1"/>
  <c r="AM595" i="3" s="1"/>
  <c r="AI594" i="3"/>
  <c r="AK594" i="3" s="1"/>
  <c r="AM594" i="3" s="1"/>
  <c r="AI593" i="3"/>
  <c r="AK593" i="3" s="1"/>
  <c r="AM593" i="3" s="1"/>
  <c r="AI592" i="3"/>
  <c r="AK592" i="3" s="1"/>
  <c r="AM592" i="3" s="1"/>
  <c r="AI591" i="3"/>
  <c r="AK591" i="3" s="1"/>
  <c r="AM591" i="3" s="1"/>
  <c r="AI590" i="3"/>
  <c r="AK590" i="3" s="1"/>
  <c r="AM590" i="3" s="1"/>
  <c r="AI589" i="3"/>
  <c r="AK589" i="3" s="1"/>
  <c r="AM589" i="3" s="1"/>
  <c r="AI588" i="3"/>
  <c r="AK588" i="3" s="1"/>
  <c r="AM588" i="3" s="1"/>
  <c r="AI587" i="3"/>
  <c r="AK587" i="3" s="1"/>
  <c r="AM587" i="3" s="1"/>
  <c r="AI586" i="3"/>
  <c r="AK586" i="3" s="1"/>
  <c r="AM586" i="3" s="1"/>
  <c r="AI585" i="3"/>
  <c r="AK585" i="3" s="1"/>
  <c r="AM585" i="3" s="1"/>
  <c r="AI584" i="3"/>
  <c r="AK584" i="3" s="1"/>
  <c r="AM584" i="3" s="1"/>
  <c r="AI583" i="3"/>
  <c r="AK583" i="3" s="1"/>
  <c r="AM583" i="3" s="1"/>
  <c r="AI582" i="3"/>
  <c r="AK582" i="3" s="1"/>
  <c r="AM582" i="3" s="1"/>
  <c r="AI581" i="3"/>
  <c r="AK581" i="3" s="1"/>
  <c r="AM581" i="3" s="1"/>
  <c r="AI580" i="3"/>
  <c r="AK580" i="3" s="1"/>
  <c r="AM580" i="3" s="1"/>
  <c r="AI579" i="3"/>
  <c r="AK579" i="3" s="1"/>
  <c r="AM579" i="3" s="1"/>
  <c r="AI578" i="3"/>
  <c r="AK578" i="3" s="1"/>
  <c r="AM578" i="3" s="1"/>
  <c r="AI577" i="3"/>
  <c r="AK577" i="3" s="1"/>
  <c r="AM577" i="3" s="1"/>
  <c r="AI576" i="3"/>
  <c r="AK576" i="3" s="1"/>
  <c r="AM576" i="3" s="1"/>
  <c r="AI575" i="3"/>
  <c r="AK575" i="3" s="1"/>
  <c r="AM575" i="3" s="1"/>
  <c r="AI574" i="3"/>
  <c r="AK574" i="3" s="1"/>
  <c r="AM574" i="3" s="1"/>
  <c r="AI573" i="3"/>
  <c r="AK573" i="3" s="1"/>
  <c r="AM573" i="3" s="1"/>
  <c r="AI572" i="3"/>
  <c r="AK572" i="3" s="1"/>
  <c r="AM572" i="3" s="1"/>
  <c r="AI571" i="3"/>
  <c r="AK571" i="3" s="1"/>
  <c r="AM571" i="3" s="1"/>
  <c r="AI570" i="3"/>
  <c r="AK570" i="3" s="1"/>
  <c r="AM570" i="3" s="1"/>
  <c r="AI569" i="3"/>
  <c r="AK569" i="3" s="1"/>
  <c r="AM569" i="3" s="1"/>
  <c r="AI568" i="3"/>
  <c r="AK568" i="3" s="1"/>
  <c r="AM568" i="3" s="1"/>
  <c r="AI567" i="3"/>
  <c r="AK567" i="3" s="1"/>
  <c r="AM567" i="3" s="1"/>
  <c r="AI566" i="3"/>
  <c r="AK566" i="3" s="1"/>
  <c r="AM566" i="3" s="1"/>
  <c r="AI565" i="3"/>
  <c r="AK565" i="3" s="1"/>
  <c r="AM565" i="3" s="1"/>
  <c r="AI564" i="3"/>
  <c r="AK564" i="3" s="1"/>
  <c r="AM564" i="3" s="1"/>
  <c r="AI563" i="3"/>
  <c r="AK563" i="3" s="1"/>
  <c r="AM563" i="3" s="1"/>
  <c r="AI562" i="3"/>
  <c r="AK562" i="3" s="1"/>
  <c r="AM562" i="3" s="1"/>
  <c r="AI561" i="3"/>
  <c r="AK561" i="3" s="1"/>
  <c r="AM561" i="3" s="1"/>
  <c r="AI560" i="3"/>
  <c r="AK560" i="3" s="1"/>
  <c r="AM560" i="3" s="1"/>
  <c r="AI559" i="3"/>
  <c r="AK559" i="3" s="1"/>
  <c r="AM559" i="3" s="1"/>
  <c r="AI558" i="3"/>
  <c r="AK558" i="3" s="1"/>
  <c r="AM558" i="3" s="1"/>
  <c r="AI557" i="3"/>
  <c r="AK557" i="3" s="1"/>
  <c r="AM557" i="3" s="1"/>
  <c r="AI556" i="3"/>
  <c r="AK556" i="3" s="1"/>
  <c r="AM556" i="3" s="1"/>
  <c r="AI555" i="3"/>
  <c r="AK555" i="3" s="1"/>
  <c r="AM555" i="3" s="1"/>
  <c r="AI554" i="3"/>
  <c r="AK554" i="3" s="1"/>
  <c r="AM554" i="3" s="1"/>
  <c r="AI553" i="3"/>
  <c r="AK553" i="3" s="1"/>
  <c r="AM553" i="3" s="1"/>
  <c r="AI552" i="3"/>
  <c r="AK552" i="3" s="1"/>
  <c r="AM552" i="3" s="1"/>
  <c r="AI551" i="3"/>
  <c r="AK551" i="3" s="1"/>
  <c r="AM551" i="3" s="1"/>
  <c r="AI550" i="3"/>
  <c r="AK550" i="3" s="1"/>
  <c r="AM550" i="3" s="1"/>
  <c r="AI549" i="3"/>
  <c r="AK549" i="3" s="1"/>
  <c r="AM549" i="3" s="1"/>
  <c r="AI548" i="3"/>
  <c r="AK548" i="3" s="1"/>
  <c r="AM548" i="3" s="1"/>
  <c r="AI547" i="3"/>
  <c r="AK547" i="3" s="1"/>
  <c r="AM547" i="3" s="1"/>
  <c r="AI546" i="3"/>
  <c r="AK546" i="3" s="1"/>
  <c r="AM546" i="3" s="1"/>
  <c r="AI545" i="3"/>
  <c r="AK545" i="3" s="1"/>
  <c r="AM545" i="3" s="1"/>
  <c r="AI544" i="3"/>
  <c r="AK544" i="3" s="1"/>
  <c r="AM544" i="3" s="1"/>
  <c r="AI543" i="3"/>
  <c r="AK543" i="3" s="1"/>
  <c r="AM543" i="3" s="1"/>
  <c r="AI542" i="3"/>
  <c r="AK542" i="3" s="1"/>
  <c r="AM542" i="3" s="1"/>
  <c r="AI541" i="3"/>
  <c r="AK541" i="3" s="1"/>
  <c r="AM541" i="3" s="1"/>
  <c r="AI540" i="3"/>
  <c r="AK540" i="3" s="1"/>
  <c r="AM540" i="3" s="1"/>
  <c r="AI539" i="3"/>
  <c r="AK539" i="3" s="1"/>
  <c r="AM539" i="3" s="1"/>
  <c r="AI538" i="3"/>
  <c r="AK538" i="3" s="1"/>
  <c r="AM538" i="3" s="1"/>
  <c r="AI537" i="3"/>
  <c r="AK537" i="3" s="1"/>
  <c r="AM537" i="3" s="1"/>
  <c r="AI536" i="3"/>
  <c r="AK536" i="3" s="1"/>
  <c r="AM536" i="3" s="1"/>
  <c r="AI535" i="3"/>
  <c r="AK535" i="3" s="1"/>
  <c r="AM535" i="3" s="1"/>
  <c r="AI534" i="3"/>
  <c r="AK534" i="3" s="1"/>
  <c r="AM534" i="3" s="1"/>
  <c r="AI533" i="3"/>
  <c r="AK533" i="3" s="1"/>
  <c r="AM533" i="3" s="1"/>
  <c r="AI532" i="3"/>
  <c r="AK532" i="3" s="1"/>
  <c r="AM532" i="3" s="1"/>
  <c r="AI531" i="3"/>
  <c r="AK531" i="3" s="1"/>
  <c r="AM531" i="3" s="1"/>
  <c r="AI530" i="3"/>
  <c r="AK530" i="3" s="1"/>
  <c r="AM530" i="3" s="1"/>
  <c r="AI529" i="3"/>
  <c r="AK529" i="3" s="1"/>
  <c r="AM529" i="3" s="1"/>
  <c r="AI528" i="3"/>
  <c r="AK528" i="3" s="1"/>
  <c r="AM528" i="3" s="1"/>
  <c r="AI527" i="3"/>
  <c r="AK527" i="3" s="1"/>
  <c r="AM527" i="3" s="1"/>
  <c r="AI526" i="3"/>
  <c r="AK526" i="3" s="1"/>
  <c r="AM526" i="3" s="1"/>
  <c r="AI525" i="3"/>
  <c r="AK525" i="3" s="1"/>
  <c r="AM525" i="3" s="1"/>
  <c r="AI524" i="3"/>
  <c r="AK524" i="3" s="1"/>
  <c r="AM524" i="3" s="1"/>
  <c r="AI523" i="3"/>
  <c r="AK523" i="3" s="1"/>
  <c r="AM523" i="3" s="1"/>
  <c r="AI522" i="3"/>
  <c r="AK522" i="3" s="1"/>
  <c r="AM522" i="3" s="1"/>
  <c r="AI521" i="3"/>
  <c r="AK521" i="3" s="1"/>
  <c r="AM521" i="3" s="1"/>
  <c r="AI520" i="3"/>
  <c r="AK520" i="3" s="1"/>
  <c r="AM520" i="3" s="1"/>
  <c r="AI519" i="3"/>
  <c r="AK519" i="3" s="1"/>
  <c r="AM519" i="3" s="1"/>
  <c r="AK518" i="3"/>
  <c r="AM518" i="3" s="1"/>
  <c r="AI518" i="3"/>
  <c r="AI517" i="3"/>
  <c r="AK517" i="3" s="1"/>
  <c r="AM517" i="3" s="1"/>
  <c r="AI516" i="3"/>
  <c r="AK516" i="3" s="1"/>
  <c r="AM516" i="3" s="1"/>
  <c r="AI515" i="3"/>
  <c r="AK515" i="3" s="1"/>
  <c r="AM515" i="3" s="1"/>
  <c r="AI514" i="3"/>
  <c r="AK514" i="3" s="1"/>
  <c r="AM514" i="3" s="1"/>
  <c r="AI513" i="3"/>
  <c r="AK513" i="3" s="1"/>
  <c r="AM513" i="3" s="1"/>
  <c r="AI512" i="3"/>
  <c r="AK512" i="3" s="1"/>
  <c r="AM512" i="3" s="1"/>
  <c r="AI511" i="3"/>
  <c r="AK511" i="3" s="1"/>
  <c r="AM511" i="3" s="1"/>
  <c r="AI510" i="3"/>
  <c r="AK510" i="3" s="1"/>
  <c r="AM510" i="3" s="1"/>
  <c r="AI509" i="3"/>
  <c r="AK509" i="3" s="1"/>
  <c r="AM509" i="3" s="1"/>
  <c r="AI508" i="3"/>
  <c r="AK508" i="3" s="1"/>
  <c r="AM508" i="3" s="1"/>
  <c r="AI507" i="3"/>
  <c r="AK507" i="3" s="1"/>
  <c r="AM507" i="3" s="1"/>
  <c r="AI506" i="3"/>
  <c r="AK506" i="3" s="1"/>
  <c r="AM506" i="3" s="1"/>
  <c r="AI505" i="3"/>
  <c r="AK505" i="3" s="1"/>
  <c r="AM505" i="3" s="1"/>
  <c r="AI504" i="3"/>
  <c r="AK504" i="3" s="1"/>
  <c r="AM504" i="3" s="1"/>
  <c r="AI503" i="3"/>
  <c r="AK503" i="3" s="1"/>
  <c r="AM503" i="3" s="1"/>
  <c r="AI502" i="3"/>
  <c r="AK502" i="3" s="1"/>
  <c r="AM502" i="3" s="1"/>
  <c r="AI501" i="3"/>
  <c r="AK501" i="3" s="1"/>
  <c r="AM501" i="3" s="1"/>
  <c r="AI500" i="3"/>
  <c r="AK500" i="3" s="1"/>
  <c r="AM500" i="3" s="1"/>
  <c r="AI499" i="3"/>
  <c r="AK499" i="3" s="1"/>
  <c r="AM499" i="3" s="1"/>
  <c r="AI498" i="3"/>
  <c r="AK498" i="3" s="1"/>
  <c r="AM498" i="3" s="1"/>
  <c r="AI497" i="3"/>
  <c r="AK497" i="3" s="1"/>
  <c r="AM497" i="3" s="1"/>
  <c r="AI496" i="3"/>
  <c r="AK496" i="3" s="1"/>
  <c r="AM496" i="3" s="1"/>
  <c r="AI495" i="3"/>
  <c r="AK495" i="3" s="1"/>
  <c r="AM495" i="3" s="1"/>
  <c r="AI494" i="3"/>
  <c r="AK494" i="3" s="1"/>
  <c r="AM494" i="3" s="1"/>
  <c r="AI493" i="3"/>
  <c r="AK493" i="3" s="1"/>
  <c r="AM493" i="3" s="1"/>
  <c r="AI492" i="3"/>
  <c r="AK492" i="3" s="1"/>
  <c r="AM492" i="3" s="1"/>
  <c r="AI491" i="3"/>
  <c r="AK491" i="3" s="1"/>
  <c r="AM491" i="3" s="1"/>
  <c r="AI490" i="3"/>
  <c r="AK490" i="3" s="1"/>
  <c r="AM490" i="3" s="1"/>
  <c r="AI489" i="3"/>
  <c r="AK489" i="3" s="1"/>
  <c r="AM489" i="3" s="1"/>
  <c r="AI488" i="3"/>
  <c r="AK488" i="3" s="1"/>
  <c r="AM488" i="3" s="1"/>
  <c r="AI487" i="3"/>
  <c r="AK487" i="3" s="1"/>
  <c r="AM487" i="3" s="1"/>
  <c r="AI486" i="3"/>
  <c r="AK486" i="3" s="1"/>
  <c r="AM486" i="3" s="1"/>
  <c r="AI485" i="3"/>
  <c r="AK485" i="3" s="1"/>
  <c r="AM485" i="3" s="1"/>
  <c r="AI484" i="3"/>
  <c r="AK484" i="3" s="1"/>
  <c r="AM484" i="3" s="1"/>
  <c r="AI483" i="3"/>
  <c r="AK483" i="3" s="1"/>
  <c r="AM483" i="3" s="1"/>
  <c r="AI482" i="3"/>
  <c r="AK482" i="3" s="1"/>
  <c r="AM482" i="3" s="1"/>
  <c r="AI481" i="3"/>
  <c r="AK481" i="3" s="1"/>
  <c r="AM481" i="3" s="1"/>
  <c r="AI480" i="3"/>
  <c r="AK480" i="3" s="1"/>
  <c r="AM480" i="3" s="1"/>
  <c r="AI479" i="3"/>
  <c r="AK479" i="3" s="1"/>
  <c r="AM479" i="3" s="1"/>
  <c r="AI478" i="3"/>
  <c r="AK478" i="3" s="1"/>
  <c r="AM478" i="3" s="1"/>
  <c r="AI477" i="3"/>
  <c r="AK477" i="3" s="1"/>
  <c r="AM477" i="3" s="1"/>
  <c r="AI476" i="3"/>
  <c r="AK476" i="3" s="1"/>
  <c r="AM476" i="3" s="1"/>
  <c r="AI475" i="3"/>
  <c r="AK475" i="3" s="1"/>
  <c r="AM475" i="3" s="1"/>
  <c r="AI474" i="3"/>
  <c r="AK474" i="3" s="1"/>
  <c r="AM474" i="3" s="1"/>
  <c r="AI473" i="3"/>
  <c r="AK473" i="3" s="1"/>
  <c r="AM473" i="3" s="1"/>
  <c r="AI472" i="3"/>
  <c r="AK472" i="3" s="1"/>
  <c r="AM472" i="3" s="1"/>
  <c r="AI471" i="3"/>
  <c r="AK471" i="3" s="1"/>
  <c r="AM471" i="3" s="1"/>
  <c r="AI470" i="3"/>
  <c r="AK470" i="3" s="1"/>
  <c r="AM470" i="3" s="1"/>
  <c r="AI469" i="3"/>
  <c r="AK469" i="3" s="1"/>
  <c r="AM469" i="3" s="1"/>
  <c r="AI468" i="3"/>
  <c r="AK468" i="3" s="1"/>
  <c r="AM468" i="3" s="1"/>
  <c r="AI467" i="3"/>
  <c r="AK467" i="3" s="1"/>
  <c r="AM467" i="3" s="1"/>
  <c r="AI466" i="3"/>
  <c r="AK466" i="3" s="1"/>
  <c r="AM466" i="3" s="1"/>
  <c r="AI465" i="3"/>
  <c r="AK465" i="3" s="1"/>
  <c r="AM465" i="3" s="1"/>
  <c r="AI464" i="3"/>
  <c r="AK464" i="3" s="1"/>
  <c r="AM464" i="3" s="1"/>
  <c r="AI463" i="3"/>
  <c r="AK463" i="3" s="1"/>
  <c r="AM463" i="3" s="1"/>
  <c r="AI462" i="3"/>
  <c r="AK462" i="3" s="1"/>
  <c r="AM462" i="3" s="1"/>
  <c r="AI461" i="3"/>
  <c r="AK461" i="3" s="1"/>
  <c r="AM461" i="3" s="1"/>
  <c r="AI460" i="3"/>
  <c r="AK460" i="3" s="1"/>
  <c r="AM460" i="3" s="1"/>
  <c r="AI459" i="3"/>
  <c r="AK459" i="3" s="1"/>
  <c r="AM459" i="3" s="1"/>
  <c r="AI458" i="3"/>
  <c r="AK458" i="3" s="1"/>
  <c r="AM458" i="3" s="1"/>
  <c r="AI457" i="3"/>
  <c r="AK457" i="3" s="1"/>
  <c r="AM457" i="3" s="1"/>
  <c r="AI456" i="3"/>
  <c r="AK456" i="3" s="1"/>
  <c r="AM456" i="3" s="1"/>
  <c r="AI455" i="3"/>
  <c r="AK455" i="3" s="1"/>
  <c r="AM455" i="3" s="1"/>
  <c r="AI454" i="3"/>
  <c r="AK454" i="3" s="1"/>
  <c r="AM454" i="3" s="1"/>
  <c r="AI453" i="3"/>
  <c r="AK453" i="3" s="1"/>
  <c r="AM453" i="3" s="1"/>
  <c r="AI452" i="3"/>
  <c r="AK452" i="3" s="1"/>
  <c r="AM452" i="3" s="1"/>
  <c r="AI451" i="3"/>
  <c r="AK451" i="3" s="1"/>
  <c r="AM451" i="3" s="1"/>
  <c r="AI450" i="3"/>
  <c r="AK450" i="3" s="1"/>
  <c r="AM450" i="3" s="1"/>
  <c r="AI449" i="3"/>
  <c r="AK449" i="3" s="1"/>
  <c r="AM449" i="3" s="1"/>
  <c r="AI448" i="3"/>
  <c r="AK448" i="3" s="1"/>
  <c r="AM448" i="3" s="1"/>
  <c r="AI447" i="3"/>
  <c r="AK447" i="3" s="1"/>
  <c r="AM447" i="3" s="1"/>
  <c r="AI446" i="3"/>
  <c r="AK446" i="3" s="1"/>
  <c r="AM446" i="3" s="1"/>
  <c r="AI445" i="3"/>
  <c r="AK445" i="3" s="1"/>
  <c r="AM445" i="3" s="1"/>
  <c r="AI444" i="3"/>
  <c r="AK444" i="3" s="1"/>
  <c r="AM444" i="3" s="1"/>
  <c r="AI443" i="3"/>
  <c r="AK443" i="3" s="1"/>
  <c r="AM443" i="3" s="1"/>
  <c r="AI442" i="3"/>
  <c r="AK442" i="3" s="1"/>
  <c r="AM442" i="3" s="1"/>
  <c r="AI441" i="3"/>
  <c r="AK441" i="3" s="1"/>
  <c r="AM441" i="3" s="1"/>
  <c r="AI440" i="3"/>
  <c r="AK440" i="3" s="1"/>
  <c r="AM440" i="3" s="1"/>
  <c r="AI439" i="3"/>
  <c r="AK439" i="3" s="1"/>
  <c r="AM439" i="3" s="1"/>
  <c r="AI438" i="3"/>
  <c r="AK438" i="3" s="1"/>
  <c r="AM438" i="3" s="1"/>
  <c r="AI437" i="3"/>
  <c r="AK437" i="3" s="1"/>
  <c r="AM437" i="3" s="1"/>
  <c r="AI436" i="3"/>
  <c r="AK436" i="3" s="1"/>
  <c r="AM436" i="3" s="1"/>
  <c r="AI435" i="3"/>
  <c r="AK435" i="3" s="1"/>
  <c r="AM435" i="3" s="1"/>
  <c r="AI434" i="3"/>
  <c r="AK434" i="3" s="1"/>
  <c r="AM434" i="3" s="1"/>
  <c r="AI433" i="3"/>
  <c r="AK433" i="3" s="1"/>
  <c r="AM433" i="3" s="1"/>
  <c r="AI432" i="3"/>
  <c r="AK432" i="3" s="1"/>
  <c r="AM432" i="3" s="1"/>
  <c r="AI431" i="3"/>
  <c r="AK431" i="3" s="1"/>
  <c r="AM431" i="3" s="1"/>
  <c r="AI430" i="3"/>
  <c r="AK430" i="3" s="1"/>
  <c r="AM430" i="3" s="1"/>
  <c r="AK429" i="3"/>
  <c r="AM429" i="3" s="1"/>
  <c r="AI429" i="3"/>
  <c r="AI428" i="3"/>
  <c r="AK428" i="3" s="1"/>
  <c r="AM428" i="3" s="1"/>
  <c r="AI427" i="3"/>
  <c r="AK427" i="3" s="1"/>
  <c r="AM427" i="3" s="1"/>
  <c r="AI426" i="3"/>
  <c r="AK426" i="3" s="1"/>
  <c r="AM426" i="3" s="1"/>
  <c r="AI425" i="3"/>
  <c r="AK425" i="3" s="1"/>
  <c r="AM425" i="3" s="1"/>
  <c r="AI424" i="3"/>
  <c r="AK424" i="3" s="1"/>
  <c r="AM424" i="3" s="1"/>
  <c r="AI423" i="3"/>
  <c r="AK423" i="3" s="1"/>
  <c r="AM423" i="3" s="1"/>
  <c r="AI422" i="3"/>
  <c r="AK422" i="3" s="1"/>
  <c r="AM422" i="3" s="1"/>
  <c r="AI421" i="3"/>
  <c r="AK421" i="3" s="1"/>
  <c r="AM421" i="3" s="1"/>
  <c r="AI420" i="3"/>
  <c r="AK420" i="3" s="1"/>
  <c r="AM420" i="3" s="1"/>
  <c r="AI419" i="3"/>
  <c r="AK419" i="3" s="1"/>
  <c r="AM419" i="3" s="1"/>
  <c r="AI418" i="3"/>
  <c r="AK418" i="3" s="1"/>
  <c r="AM418" i="3" s="1"/>
  <c r="AI417" i="3"/>
  <c r="AK417" i="3" s="1"/>
  <c r="AM417" i="3" s="1"/>
  <c r="AI416" i="3"/>
  <c r="AK416" i="3" s="1"/>
  <c r="AM416" i="3" s="1"/>
  <c r="AI415" i="3"/>
  <c r="AK415" i="3" s="1"/>
  <c r="AM415" i="3" s="1"/>
  <c r="AI414" i="3"/>
  <c r="AK414" i="3" s="1"/>
  <c r="AM414" i="3" s="1"/>
  <c r="AI413" i="3"/>
  <c r="AK413" i="3" s="1"/>
  <c r="AM413" i="3" s="1"/>
  <c r="AI412" i="3"/>
  <c r="AK412" i="3" s="1"/>
  <c r="AM412" i="3" s="1"/>
  <c r="AI411" i="3"/>
  <c r="AK411" i="3" s="1"/>
  <c r="AM411" i="3" s="1"/>
  <c r="AI410" i="3"/>
  <c r="AK410" i="3" s="1"/>
  <c r="AM410" i="3" s="1"/>
  <c r="AI409" i="3"/>
  <c r="AK409" i="3" s="1"/>
  <c r="AM409" i="3" s="1"/>
  <c r="AI408" i="3"/>
  <c r="AK408" i="3" s="1"/>
  <c r="AM408" i="3" s="1"/>
  <c r="AI407" i="3"/>
  <c r="AK407" i="3" s="1"/>
  <c r="AM407" i="3" s="1"/>
  <c r="AI406" i="3"/>
  <c r="AK406" i="3" s="1"/>
  <c r="AM406" i="3" s="1"/>
  <c r="AI405" i="3"/>
  <c r="AK405" i="3" s="1"/>
  <c r="AM405" i="3" s="1"/>
  <c r="AI404" i="3"/>
  <c r="AK404" i="3" s="1"/>
  <c r="AM404" i="3" s="1"/>
  <c r="AI403" i="3"/>
  <c r="AK403" i="3" s="1"/>
  <c r="AM403" i="3" s="1"/>
  <c r="AI402" i="3"/>
  <c r="AK402" i="3" s="1"/>
  <c r="AM402" i="3" s="1"/>
  <c r="AI401" i="3"/>
  <c r="AK401" i="3" s="1"/>
  <c r="AM401" i="3" s="1"/>
  <c r="AI400" i="3"/>
  <c r="AK400" i="3" s="1"/>
  <c r="AM400" i="3" s="1"/>
  <c r="AI399" i="3"/>
  <c r="AK399" i="3" s="1"/>
  <c r="AM399" i="3" s="1"/>
  <c r="AI398" i="3"/>
  <c r="AK398" i="3" s="1"/>
  <c r="AM398" i="3" s="1"/>
  <c r="AI397" i="3"/>
  <c r="AK397" i="3" s="1"/>
  <c r="AM397" i="3" s="1"/>
  <c r="AI396" i="3"/>
  <c r="AK396" i="3" s="1"/>
  <c r="AM396" i="3" s="1"/>
  <c r="AI395" i="3"/>
  <c r="AK395" i="3" s="1"/>
  <c r="AM395" i="3" s="1"/>
  <c r="AI394" i="3"/>
  <c r="AK394" i="3" s="1"/>
  <c r="AM394" i="3" s="1"/>
  <c r="AI393" i="3"/>
  <c r="AK393" i="3" s="1"/>
  <c r="AM393" i="3" s="1"/>
  <c r="AI392" i="3"/>
  <c r="AK392" i="3" s="1"/>
  <c r="AM392" i="3" s="1"/>
  <c r="AI391" i="3"/>
  <c r="AK391" i="3" s="1"/>
  <c r="AM391" i="3" s="1"/>
  <c r="AI390" i="3"/>
  <c r="AK390" i="3" s="1"/>
  <c r="AM390" i="3" s="1"/>
  <c r="AI389" i="3"/>
  <c r="AK389" i="3" s="1"/>
  <c r="AM389" i="3" s="1"/>
  <c r="AI388" i="3"/>
  <c r="AK388" i="3" s="1"/>
  <c r="AM388" i="3" s="1"/>
  <c r="AI387" i="3"/>
  <c r="AK387" i="3" s="1"/>
  <c r="AM387" i="3" s="1"/>
  <c r="AI386" i="3"/>
  <c r="AK386" i="3" s="1"/>
  <c r="AM386" i="3" s="1"/>
  <c r="AI385" i="3"/>
  <c r="AK385" i="3" s="1"/>
  <c r="AM385" i="3" s="1"/>
  <c r="AI384" i="3"/>
  <c r="AK384" i="3" s="1"/>
  <c r="AM384" i="3" s="1"/>
  <c r="AI383" i="3"/>
  <c r="AK383" i="3" s="1"/>
  <c r="AM383" i="3" s="1"/>
  <c r="AI382" i="3"/>
  <c r="AK382" i="3" s="1"/>
  <c r="AM382" i="3" s="1"/>
  <c r="AI381" i="3"/>
  <c r="AK381" i="3" s="1"/>
  <c r="AM381" i="3" s="1"/>
  <c r="AI380" i="3"/>
  <c r="AK380" i="3" s="1"/>
  <c r="AM380" i="3" s="1"/>
  <c r="AI379" i="3"/>
  <c r="AK379" i="3" s="1"/>
  <c r="AM379" i="3" s="1"/>
  <c r="AI378" i="3"/>
  <c r="AK378" i="3" s="1"/>
  <c r="AM378" i="3" s="1"/>
  <c r="AI377" i="3"/>
  <c r="AK377" i="3" s="1"/>
  <c r="AM377" i="3" s="1"/>
  <c r="AI376" i="3"/>
  <c r="AK376" i="3" s="1"/>
  <c r="AM376" i="3" s="1"/>
  <c r="AI375" i="3"/>
  <c r="AK375" i="3" s="1"/>
  <c r="AM375" i="3" s="1"/>
  <c r="AI374" i="3"/>
  <c r="AK374" i="3" s="1"/>
  <c r="AM374" i="3" s="1"/>
  <c r="AI373" i="3"/>
  <c r="AK373" i="3" s="1"/>
  <c r="AM373" i="3" s="1"/>
  <c r="AI372" i="3"/>
  <c r="AK372" i="3" s="1"/>
  <c r="AM372" i="3" s="1"/>
  <c r="AI371" i="3"/>
  <c r="AK371" i="3" s="1"/>
  <c r="AM371" i="3" s="1"/>
  <c r="AI370" i="3"/>
  <c r="AK370" i="3" s="1"/>
  <c r="AM370" i="3" s="1"/>
  <c r="AI369" i="3"/>
  <c r="AK369" i="3" s="1"/>
  <c r="AM369" i="3" s="1"/>
  <c r="AI368" i="3"/>
  <c r="AK368" i="3" s="1"/>
  <c r="AM368" i="3" s="1"/>
  <c r="AI367" i="3"/>
  <c r="AK367" i="3" s="1"/>
  <c r="AM367" i="3" s="1"/>
  <c r="AI366" i="3"/>
  <c r="AK366" i="3" s="1"/>
  <c r="AM366" i="3" s="1"/>
  <c r="AI365" i="3"/>
  <c r="AK365" i="3" s="1"/>
  <c r="AM365" i="3" s="1"/>
  <c r="AI364" i="3"/>
  <c r="AK364" i="3" s="1"/>
  <c r="AM364" i="3" s="1"/>
  <c r="AI363" i="3"/>
  <c r="AK363" i="3" s="1"/>
  <c r="AM363" i="3" s="1"/>
  <c r="AI362" i="3"/>
  <c r="AK362" i="3" s="1"/>
  <c r="AM362" i="3" s="1"/>
  <c r="AI361" i="3"/>
  <c r="AK361" i="3" s="1"/>
  <c r="AM361" i="3" s="1"/>
  <c r="AI360" i="3"/>
  <c r="AK360" i="3" s="1"/>
  <c r="AM360" i="3" s="1"/>
  <c r="AI359" i="3"/>
  <c r="AK359" i="3" s="1"/>
  <c r="AM359" i="3" s="1"/>
  <c r="AI358" i="3"/>
  <c r="AK358" i="3" s="1"/>
  <c r="AM358" i="3" s="1"/>
  <c r="AI357" i="3"/>
  <c r="AK357" i="3" s="1"/>
  <c r="AM357" i="3" s="1"/>
  <c r="AI356" i="3"/>
  <c r="AK356" i="3" s="1"/>
  <c r="AM356" i="3" s="1"/>
  <c r="AI355" i="3"/>
  <c r="AK355" i="3" s="1"/>
  <c r="AM355" i="3" s="1"/>
  <c r="AI354" i="3"/>
  <c r="AK354" i="3" s="1"/>
  <c r="AM354" i="3" s="1"/>
  <c r="AI353" i="3"/>
  <c r="AK353" i="3" s="1"/>
  <c r="AM353" i="3" s="1"/>
  <c r="AI352" i="3"/>
  <c r="AK352" i="3" s="1"/>
  <c r="AM352" i="3" s="1"/>
  <c r="AI351" i="3"/>
  <c r="AK351" i="3" s="1"/>
  <c r="AM351" i="3" s="1"/>
  <c r="AI350" i="3"/>
  <c r="AK350" i="3" s="1"/>
  <c r="AM350" i="3" s="1"/>
  <c r="AI349" i="3"/>
  <c r="AK349" i="3" s="1"/>
  <c r="AM349" i="3" s="1"/>
  <c r="AI348" i="3"/>
  <c r="AK348" i="3" s="1"/>
  <c r="AM348" i="3" s="1"/>
  <c r="AI347" i="3"/>
  <c r="AK347" i="3" s="1"/>
  <c r="AM347" i="3" s="1"/>
  <c r="AI346" i="3"/>
  <c r="AK346" i="3" s="1"/>
  <c r="AM346" i="3" s="1"/>
  <c r="AI345" i="3"/>
  <c r="AK345" i="3" s="1"/>
  <c r="AM345" i="3" s="1"/>
  <c r="AI344" i="3"/>
  <c r="AK344" i="3" s="1"/>
  <c r="AM344" i="3" s="1"/>
  <c r="AI343" i="3"/>
  <c r="AK343" i="3" s="1"/>
  <c r="AM343" i="3" s="1"/>
  <c r="AI342" i="3"/>
  <c r="AK342" i="3" s="1"/>
  <c r="AM342" i="3" s="1"/>
  <c r="AI341" i="3"/>
  <c r="AK341" i="3" s="1"/>
  <c r="AM341" i="3" s="1"/>
  <c r="AI340" i="3"/>
  <c r="AK340" i="3" s="1"/>
  <c r="AM340" i="3" s="1"/>
  <c r="AI339" i="3"/>
  <c r="AK339" i="3" s="1"/>
  <c r="AM339" i="3" s="1"/>
  <c r="AI338" i="3"/>
  <c r="AK338" i="3" s="1"/>
  <c r="AM338" i="3" s="1"/>
  <c r="AI337" i="3"/>
  <c r="AK337" i="3" s="1"/>
  <c r="AM337" i="3" s="1"/>
  <c r="AI336" i="3"/>
  <c r="AK336" i="3" s="1"/>
  <c r="AM336" i="3" s="1"/>
  <c r="AI335" i="3"/>
  <c r="AK335" i="3" s="1"/>
  <c r="AM335" i="3" s="1"/>
  <c r="AI334" i="3"/>
  <c r="AK334" i="3" s="1"/>
  <c r="AM334" i="3" s="1"/>
  <c r="AI333" i="3"/>
  <c r="AK333" i="3" s="1"/>
  <c r="AM333" i="3" s="1"/>
  <c r="AI332" i="3"/>
  <c r="AK332" i="3" s="1"/>
  <c r="AM332" i="3" s="1"/>
  <c r="AI331" i="3"/>
  <c r="AK331" i="3" s="1"/>
  <c r="AM331" i="3" s="1"/>
  <c r="AI330" i="3"/>
  <c r="AK330" i="3" s="1"/>
  <c r="AM330" i="3" s="1"/>
  <c r="AI329" i="3"/>
  <c r="AK329" i="3" s="1"/>
  <c r="AM329" i="3" s="1"/>
  <c r="AI328" i="3"/>
  <c r="AK328" i="3" s="1"/>
  <c r="AM328" i="3" s="1"/>
  <c r="AI327" i="3"/>
  <c r="AK327" i="3" s="1"/>
  <c r="AM327" i="3" s="1"/>
  <c r="AI326" i="3"/>
  <c r="AK326" i="3" s="1"/>
  <c r="AM326" i="3" s="1"/>
  <c r="AI325" i="3"/>
  <c r="AK325" i="3" s="1"/>
  <c r="AM325" i="3" s="1"/>
  <c r="AI324" i="3"/>
  <c r="AK324" i="3" s="1"/>
  <c r="AM324" i="3" s="1"/>
  <c r="AI323" i="3"/>
  <c r="AK323" i="3" s="1"/>
  <c r="AM323" i="3" s="1"/>
  <c r="AI322" i="3"/>
  <c r="AK322" i="3" s="1"/>
  <c r="AM322" i="3" s="1"/>
  <c r="AI321" i="3"/>
  <c r="AK321" i="3" s="1"/>
  <c r="AM321" i="3" s="1"/>
  <c r="AI320" i="3"/>
  <c r="AK320" i="3" s="1"/>
  <c r="AM320" i="3" s="1"/>
  <c r="AI319" i="3"/>
  <c r="AK319" i="3" s="1"/>
  <c r="AM319" i="3" s="1"/>
  <c r="AI318" i="3"/>
  <c r="AK318" i="3" s="1"/>
  <c r="AM318" i="3" s="1"/>
  <c r="AI317" i="3"/>
  <c r="AK317" i="3" s="1"/>
  <c r="AM317" i="3" s="1"/>
  <c r="AI316" i="3"/>
  <c r="AK316" i="3" s="1"/>
  <c r="AM316" i="3" s="1"/>
  <c r="AI315" i="3"/>
  <c r="AK315" i="3" s="1"/>
  <c r="AM315" i="3" s="1"/>
  <c r="AI314" i="3"/>
  <c r="AK314" i="3" s="1"/>
  <c r="AM314" i="3" s="1"/>
  <c r="AI313" i="3"/>
  <c r="AK313" i="3" s="1"/>
  <c r="AM313" i="3" s="1"/>
  <c r="AI312" i="3"/>
  <c r="AK312" i="3" s="1"/>
  <c r="AM312" i="3" s="1"/>
  <c r="AI311" i="3"/>
  <c r="AK311" i="3" s="1"/>
  <c r="AM311" i="3" s="1"/>
  <c r="AI310" i="3"/>
  <c r="AK310" i="3" s="1"/>
  <c r="AM310" i="3" s="1"/>
  <c r="AI309" i="3"/>
  <c r="AK309" i="3" s="1"/>
  <c r="AM309" i="3" s="1"/>
  <c r="AI308" i="3"/>
  <c r="AK308" i="3" s="1"/>
  <c r="AM308" i="3" s="1"/>
  <c r="AI307" i="3"/>
  <c r="AK307" i="3" s="1"/>
  <c r="AM307" i="3" s="1"/>
  <c r="AI306" i="3"/>
  <c r="AK306" i="3" s="1"/>
  <c r="AM306" i="3" s="1"/>
  <c r="AI305" i="3"/>
  <c r="AK305" i="3" s="1"/>
  <c r="AM305" i="3" s="1"/>
  <c r="AI304" i="3"/>
  <c r="AK304" i="3" s="1"/>
  <c r="AM304" i="3" s="1"/>
  <c r="AI303" i="3"/>
  <c r="AK303" i="3" s="1"/>
  <c r="AM303" i="3" s="1"/>
  <c r="AI302" i="3"/>
  <c r="AK302" i="3" s="1"/>
  <c r="AM302" i="3" s="1"/>
  <c r="AI301" i="3"/>
  <c r="AK301" i="3" s="1"/>
  <c r="AM301" i="3" s="1"/>
  <c r="AI300" i="3"/>
  <c r="AK300" i="3" s="1"/>
  <c r="AM300" i="3" s="1"/>
  <c r="AI299" i="3"/>
  <c r="AK299" i="3" s="1"/>
  <c r="AM299" i="3" s="1"/>
  <c r="AI298" i="3"/>
  <c r="AK298" i="3" s="1"/>
  <c r="AM298" i="3" s="1"/>
  <c r="AI297" i="3"/>
  <c r="AK297" i="3" s="1"/>
  <c r="AM297" i="3" s="1"/>
  <c r="AI296" i="3"/>
  <c r="AK296" i="3" s="1"/>
  <c r="AM296" i="3" s="1"/>
  <c r="AI295" i="3"/>
  <c r="AK295" i="3" s="1"/>
  <c r="AM295" i="3" s="1"/>
  <c r="AI294" i="3"/>
  <c r="AK294" i="3" s="1"/>
  <c r="AM294" i="3" s="1"/>
  <c r="AI293" i="3"/>
  <c r="AK293" i="3" s="1"/>
  <c r="AM293" i="3" s="1"/>
  <c r="AI292" i="3"/>
  <c r="AK292" i="3" s="1"/>
  <c r="AM292" i="3" s="1"/>
  <c r="AI291" i="3"/>
  <c r="AK291" i="3" s="1"/>
  <c r="AM291" i="3" s="1"/>
  <c r="AI290" i="3"/>
  <c r="AK290" i="3" s="1"/>
  <c r="AM290" i="3" s="1"/>
  <c r="AI289" i="3"/>
  <c r="AK289" i="3" s="1"/>
  <c r="AM289" i="3" s="1"/>
  <c r="AI288" i="3"/>
  <c r="AK288" i="3" s="1"/>
  <c r="AM288" i="3" s="1"/>
  <c r="AI287" i="3"/>
  <c r="AK287" i="3" s="1"/>
  <c r="AM287" i="3" s="1"/>
  <c r="AI286" i="3"/>
  <c r="AK286" i="3" s="1"/>
  <c r="AM286" i="3" s="1"/>
  <c r="AI285" i="3"/>
  <c r="AK285" i="3" s="1"/>
  <c r="AM285" i="3" s="1"/>
  <c r="AI284" i="3"/>
  <c r="AK284" i="3" s="1"/>
  <c r="AM284" i="3" s="1"/>
  <c r="AI283" i="3"/>
  <c r="AK283" i="3" s="1"/>
  <c r="AM283" i="3" s="1"/>
  <c r="AI282" i="3"/>
  <c r="AK282" i="3" s="1"/>
  <c r="AM282" i="3" s="1"/>
  <c r="AI281" i="3"/>
  <c r="AK281" i="3" s="1"/>
  <c r="AM281" i="3" s="1"/>
  <c r="AI280" i="3"/>
  <c r="AK280" i="3" s="1"/>
  <c r="AM280" i="3" s="1"/>
  <c r="AI279" i="3"/>
  <c r="AK279" i="3" s="1"/>
  <c r="AM279" i="3" s="1"/>
  <c r="AI278" i="3"/>
  <c r="AK278" i="3" s="1"/>
  <c r="AM278" i="3" s="1"/>
  <c r="AI277" i="3"/>
  <c r="AK277" i="3" s="1"/>
  <c r="AM277" i="3" s="1"/>
  <c r="AI276" i="3"/>
  <c r="AK276" i="3" s="1"/>
  <c r="AM276" i="3" s="1"/>
  <c r="AI275" i="3"/>
  <c r="AK275" i="3" s="1"/>
  <c r="AM275" i="3" s="1"/>
  <c r="AI274" i="3"/>
  <c r="AK274" i="3" s="1"/>
  <c r="AM274" i="3" s="1"/>
  <c r="AI273" i="3"/>
  <c r="AK273" i="3" s="1"/>
  <c r="AM273" i="3" s="1"/>
  <c r="AI272" i="3"/>
  <c r="AK272" i="3" s="1"/>
  <c r="AM272" i="3" s="1"/>
  <c r="AI271" i="3"/>
  <c r="AK271" i="3" s="1"/>
  <c r="AM271" i="3" s="1"/>
  <c r="AI270" i="3"/>
  <c r="AK270" i="3" s="1"/>
  <c r="AM270" i="3" s="1"/>
  <c r="AI269" i="3"/>
  <c r="AK269" i="3" s="1"/>
  <c r="AM269" i="3" s="1"/>
  <c r="AI268" i="3"/>
  <c r="AK268" i="3" s="1"/>
  <c r="AM268" i="3" s="1"/>
  <c r="AI267" i="3"/>
  <c r="AK267" i="3" s="1"/>
  <c r="AM267" i="3" s="1"/>
  <c r="AI266" i="3"/>
  <c r="AK266" i="3" s="1"/>
  <c r="AM266" i="3" s="1"/>
  <c r="AI265" i="3"/>
  <c r="AK265" i="3" s="1"/>
  <c r="AM265" i="3" s="1"/>
  <c r="AI264" i="3"/>
  <c r="AK264" i="3" s="1"/>
  <c r="AM264" i="3" s="1"/>
  <c r="AI263" i="3"/>
  <c r="AK263" i="3" s="1"/>
  <c r="AM263" i="3" s="1"/>
  <c r="AI262" i="3"/>
  <c r="AK262" i="3" s="1"/>
  <c r="AM262" i="3" s="1"/>
  <c r="AI261" i="3"/>
  <c r="AK261" i="3" s="1"/>
  <c r="AM261" i="3" s="1"/>
  <c r="AI260" i="3"/>
  <c r="AK260" i="3" s="1"/>
  <c r="AM260" i="3" s="1"/>
  <c r="AI259" i="3"/>
  <c r="AK259" i="3" s="1"/>
  <c r="AM259" i="3" s="1"/>
  <c r="AI258" i="3"/>
  <c r="AK258" i="3" s="1"/>
  <c r="AM258" i="3" s="1"/>
  <c r="AI257" i="3"/>
  <c r="AK257" i="3" s="1"/>
  <c r="AM257" i="3" s="1"/>
  <c r="AI256" i="3"/>
  <c r="AK256" i="3" s="1"/>
  <c r="AM256" i="3" s="1"/>
  <c r="AI255" i="3"/>
  <c r="AK255" i="3" s="1"/>
  <c r="AM255" i="3" s="1"/>
  <c r="AI254" i="3"/>
  <c r="AK254" i="3" s="1"/>
  <c r="AM254" i="3" s="1"/>
  <c r="AI253" i="3"/>
  <c r="AK253" i="3" s="1"/>
  <c r="AM253" i="3" s="1"/>
  <c r="AI252" i="3"/>
  <c r="AK252" i="3" s="1"/>
  <c r="AM252" i="3" s="1"/>
  <c r="AI251" i="3"/>
  <c r="AK251" i="3" s="1"/>
  <c r="AM251" i="3" s="1"/>
  <c r="AI250" i="3"/>
  <c r="AK250" i="3" s="1"/>
  <c r="AM250" i="3" s="1"/>
  <c r="AI249" i="3"/>
  <c r="AK249" i="3" s="1"/>
  <c r="AM249" i="3" s="1"/>
  <c r="AI248" i="3"/>
  <c r="AK248" i="3" s="1"/>
  <c r="AM248" i="3" s="1"/>
  <c r="AI247" i="3"/>
  <c r="AK247" i="3" s="1"/>
  <c r="AM247" i="3" s="1"/>
  <c r="AI246" i="3"/>
  <c r="AK246" i="3" s="1"/>
  <c r="AM246" i="3" s="1"/>
  <c r="AI245" i="3"/>
  <c r="AK245" i="3" s="1"/>
  <c r="AM245" i="3" s="1"/>
  <c r="AI244" i="3"/>
  <c r="AK244" i="3" s="1"/>
  <c r="AM244" i="3" s="1"/>
  <c r="AI243" i="3"/>
  <c r="AK243" i="3" s="1"/>
  <c r="AM243" i="3" s="1"/>
  <c r="AI242" i="3"/>
  <c r="AK242" i="3" s="1"/>
  <c r="AM242" i="3" s="1"/>
  <c r="AI241" i="3"/>
  <c r="AK241" i="3" s="1"/>
  <c r="AM241" i="3" s="1"/>
  <c r="AI240" i="3"/>
  <c r="AK240" i="3" s="1"/>
  <c r="AM240" i="3" s="1"/>
  <c r="AI239" i="3"/>
  <c r="AK239" i="3" s="1"/>
  <c r="AM239" i="3" s="1"/>
  <c r="AI238" i="3"/>
  <c r="AK238" i="3" s="1"/>
  <c r="AM238" i="3" s="1"/>
  <c r="AI237" i="3"/>
  <c r="AK237" i="3" s="1"/>
  <c r="AM237" i="3" s="1"/>
  <c r="AI236" i="3"/>
  <c r="AK236" i="3" s="1"/>
  <c r="AM236" i="3" s="1"/>
  <c r="AI235" i="3"/>
  <c r="AK235" i="3" s="1"/>
  <c r="AM235" i="3" s="1"/>
  <c r="AI234" i="3"/>
  <c r="AK234" i="3" s="1"/>
  <c r="AM234" i="3" s="1"/>
  <c r="AI233" i="3"/>
  <c r="AK233" i="3" s="1"/>
  <c r="AM233" i="3" s="1"/>
  <c r="AI232" i="3"/>
  <c r="AK232" i="3" s="1"/>
  <c r="AM232" i="3" s="1"/>
  <c r="AI231" i="3"/>
  <c r="AK231" i="3" s="1"/>
  <c r="AM231" i="3" s="1"/>
  <c r="AI230" i="3"/>
  <c r="AK230" i="3" s="1"/>
  <c r="AM230" i="3" s="1"/>
  <c r="AI229" i="3"/>
  <c r="AK229" i="3" s="1"/>
  <c r="AM229" i="3" s="1"/>
  <c r="AI228" i="3"/>
  <c r="AK228" i="3" s="1"/>
  <c r="AM228" i="3" s="1"/>
  <c r="AI227" i="3"/>
  <c r="AK227" i="3" s="1"/>
  <c r="AM227" i="3" s="1"/>
  <c r="AI226" i="3"/>
  <c r="AK226" i="3" s="1"/>
  <c r="AM226" i="3" s="1"/>
  <c r="AI225" i="3"/>
  <c r="AK225" i="3" s="1"/>
  <c r="AM225" i="3" s="1"/>
  <c r="AI224" i="3"/>
  <c r="AK224" i="3" s="1"/>
  <c r="AM224" i="3" s="1"/>
  <c r="AI223" i="3"/>
  <c r="AK223" i="3" s="1"/>
  <c r="AM223" i="3" s="1"/>
  <c r="AI222" i="3"/>
  <c r="AK222" i="3" s="1"/>
  <c r="AM222" i="3" s="1"/>
  <c r="AI221" i="3"/>
  <c r="AK221" i="3" s="1"/>
  <c r="AM221" i="3" s="1"/>
  <c r="AI220" i="3"/>
  <c r="AK220" i="3" s="1"/>
  <c r="AM220" i="3" s="1"/>
  <c r="AI219" i="3"/>
  <c r="AK219" i="3" s="1"/>
  <c r="AM219" i="3" s="1"/>
  <c r="AI218" i="3"/>
  <c r="AK218" i="3" s="1"/>
  <c r="AM218" i="3" s="1"/>
  <c r="AI217" i="3"/>
  <c r="AK217" i="3" s="1"/>
  <c r="AM217" i="3" s="1"/>
  <c r="AI216" i="3"/>
  <c r="AK216" i="3" s="1"/>
  <c r="AM216" i="3" s="1"/>
  <c r="AI215" i="3"/>
  <c r="AK215" i="3" s="1"/>
  <c r="AM215" i="3" s="1"/>
  <c r="AI214" i="3"/>
  <c r="AK214" i="3" s="1"/>
  <c r="AM214" i="3" s="1"/>
  <c r="AI213" i="3"/>
  <c r="AK213" i="3" s="1"/>
  <c r="AM213" i="3" s="1"/>
  <c r="AI212" i="3"/>
  <c r="AK212" i="3" s="1"/>
  <c r="AM212" i="3" s="1"/>
  <c r="AI211" i="3"/>
  <c r="AK211" i="3" s="1"/>
  <c r="AM211" i="3" s="1"/>
  <c r="AI210" i="3"/>
  <c r="AK210" i="3" s="1"/>
  <c r="AM210" i="3" s="1"/>
  <c r="AI209" i="3"/>
  <c r="AK209" i="3" s="1"/>
  <c r="AM209" i="3" s="1"/>
  <c r="AI208" i="3"/>
  <c r="AK208" i="3" s="1"/>
  <c r="AM208" i="3" s="1"/>
  <c r="AI207" i="3"/>
  <c r="AK207" i="3" s="1"/>
  <c r="AM207" i="3" s="1"/>
  <c r="AI206" i="3"/>
  <c r="AK206" i="3" s="1"/>
  <c r="AM206" i="3" s="1"/>
  <c r="AI205" i="3"/>
  <c r="AK205" i="3" s="1"/>
  <c r="AM205" i="3" s="1"/>
  <c r="AI204" i="3"/>
  <c r="AK204" i="3" s="1"/>
  <c r="AM204" i="3" s="1"/>
  <c r="AI203" i="3"/>
  <c r="AK203" i="3" s="1"/>
  <c r="AM203" i="3" s="1"/>
  <c r="AI202" i="3"/>
  <c r="AK202" i="3" s="1"/>
  <c r="AM202" i="3" s="1"/>
  <c r="AI201" i="3"/>
  <c r="AK201" i="3" s="1"/>
  <c r="AM201" i="3" s="1"/>
  <c r="AI200" i="3"/>
  <c r="AK200" i="3" s="1"/>
  <c r="AM200" i="3" s="1"/>
  <c r="AI199" i="3"/>
  <c r="AK199" i="3" s="1"/>
  <c r="AM199" i="3" s="1"/>
  <c r="AI198" i="3"/>
  <c r="AK198" i="3" s="1"/>
  <c r="AM198" i="3" s="1"/>
  <c r="AI197" i="3"/>
  <c r="AK197" i="3" s="1"/>
  <c r="AM197" i="3" s="1"/>
  <c r="AI196" i="3"/>
  <c r="AK196" i="3" s="1"/>
  <c r="AM196" i="3" s="1"/>
  <c r="AI195" i="3"/>
  <c r="AK195" i="3" s="1"/>
  <c r="AM195" i="3" s="1"/>
  <c r="AI194" i="3"/>
  <c r="AK194" i="3" s="1"/>
  <c r="AM194" i="3" s="1"/>
  <c r="AI193" i="3"/>
  <c r="AK193" i="3" s="1"/>
  <c r="AM193" i="3" s="1"/>
  <c r="AI192" i="3"/>
  <c r="AK192" i="3" s="1"/>
  <c r="AM192" i="3" s="1"/>
  <c r="AI191" i="3"/>
  <c r="AK191" i="3" s="1"/>
  <c r="AM191" i="3" s="1"/>
  <c r="AI190" i="3"/>
  <c r="AK190" i="3" s="1"/>
  <c r="AM190" i="3" s="1"/>
  <c r="AI189" i="3"/>
  <c r="AK189" i="3" s="1"/>
  <c r="AM189" i="3" s="1"/>
  <c r="AI188" i="3"/>
  <c r="AK188" i="3" s="1"/>
  <c r="AM188" i="3" s="1"/>
  <c r="AI187" i="3"/>
  <c r="AK187" i="3" s="1"/>
  <c r="AM187" i="3" s="1"/>
  <c r="AI186" i="3"/>
  <c r="AK186" i="3" s="1"/>
  <c r="AM186" i="3" s="1"/>
  <c r="AI185" i="3"/>
  <c r="AK185" i="3" s="1"/>
  <c r="AM185" i="3" s="1"/>
  <c r="AI184" i="3"/>
  <c r="AK184" i="3" s="1"/>
  <c r="AM184" i="3" s="1"/>
  <c r="AI183" i="3"/>
  <c r="AK183" i="3" s="1"/>
  <c r="AM183" i="3" s="1"/>
  <c r="AI182" i="3"/>
  <c r="AK182" i="3" s="1"/>
  <c r="AM182" i="3" s="1"/>
  <c r="AI181" i="3"/>
  <c r="AK181" i="3" s="1"/>
  <c r="AM181" i="3" s="1"/>
  <c r="AI180" i="3"/>
  <c r="AK180" i="3" s="1"/>
  <c r="AM180" i="3" s="1"/>
  <c r="AI179" i="3"/>
  <c r="AK179" i="3" s="1"/>
  <c r="AM179" i="3" s="1"/>
  <c r="AI178" i="3"/>
  <c r="AK178" i="3" s="1"/>
  <c r="AM178" i="3" s="1"/>
  <c r="AI177" i="3"/>
  <c r="AK177" i="3" s="1"/>
  <c r="AM177" i="3" s="1"/>
  <c r="AI176" i="3"/>
  <c r="AK176" i="3" s="1"/>
  <c r="AM176" i="3" s="1"/>
  <c r="AI175" i="3"/>
  <c r="AK175" i="3" s="1"/>
  <c r="AM175" i="3" s="1"/>
  <c r="AI174" i="3"/>
  <c r="AK174" i="3" s="1"/>
  <c r="AM174" i="3" s="1"/>
  <c r="AI173" i="3"/>
  <c r="AK173" i="3" s="1"/>
  <c r="AM173" i="3" s="1"/>
  <c r="AI172" i="3"/>
  <c r="AK172" i="3" s="1"/>
  <c r="AM172" i="3" s="1"/>
  <c r="AI171" i="3"/>
  <c r="AK171" i="3" s="1"/>
  <c r="AM171" i="3" s="1"/>
  <c r="AI170" i="3"/>
  <c r="AK170" i="3" s="1"/>
  <c r="AM170" i="3" s="1"/>
  <c r="AI169" i="3"/>
  <c r="AK169" i="3" s="1"/>
  <c r="AM169" i="3" s="1"/>
  <c r="AI168" i="3"/>
  <c r="AK168" i="3" s="1"/>
  <c r="AM168" i="3" s="1"/>
  <c r="AI167" i="3"/>
  <c r="AK167" i="3" s="1"/>
  <c r="AM167" i="3" s="1"/>
  <c r="AI166" i="3"/>
  <c r="AK166" i="3" s="1"/>
  <c r="AM166" i="3" s="1"/>
  <c r="AI165" i="3"/>
  <c r="AK165" i="3" s="1"/>
  <c r="AM165" i="3" s="1"/>
  <c r="AI164" i="3"/>
  <c r="AK164" i="3" s="1"/>
  <c r="AM164" i="3" s="1"/>
  <c r="AI163" i="3"/>
  <c r="AK163" i="3" s="1"/>
  <c r="AM163" i="3" s="1"/>
  <c r="AI162" i="3"/>
  <c r="AK162" i="3" s="1"/>
  <c r="AM162" i="3" s="1"/>
  <c r="AI161" i="3"/>
  <c r="AK161" i="3" s="1"/>
  <c r="AM161" i="3" s="1"/>
  <c r="AI160" i="3"/>
  <c r="AK160" i="3" s="1"/>
  <c r="AM160" i="3" s="1"/>
  <c r="AI159" i="3"/>
  <c r="AK159" i="3" s="1"/>
  <c r="AM159" i="3" s="1"/>
  <c r="AI158" i="3"/>
  <c r="AK158" i="3" s="1"/>
  <c r="AM158" i="3" s="1"/>
  <c r="AI157" i="3"/>
  <c r="AK157" i="3" s="1"/>
  <c r="AM157" i="3" s="1"/>
  <c r="AI156" i="3"/>
  <c r="AK156" i="3" s="1"/>
  <c r="AM156" i="3" s="1"/>
  <c r="AI155" i="3"/>
  <c r="AK155" i="3" s="1"/>
  <c r="AM155" i="3" s="1"/>
  <c r="AI154" i="3"/>
  <c r="AK154" i="3" s="1"/>
  <c r="AM154" i="3" s="1"/>
  <c r="AI153" i="3"/>
  <c r="AK153" i="3" s="1"/>
  <c r="AM153" i="3" s="1"/>
  <c r="AI152" i="3"/>
  <c r="AK152" i="3" s="1"/>
  <c r="AM152" i="3" s="1"/>
  <c r="AI151" i="3"/>
  <c r="AK151" i="3" s="1"/>
  <c r="AM151" i="3" s="1"/>
  <c r="AI150" i="3"/>
  <c r="AK150" i="3" s="1"/>
  <c r="AM150" i="3" s="1"/>
  <c r="AI149" i="3"/>
  <c r="AK149" i="3" s="1"/>
  <c r="AM149" i="3" s="1"/>
  <c r="AI148" i="3"/>
  <c r="AK148" i="3" s="1"/>
  <c r="AM148" i="3" s="1"/>
  <c r="AI147" i="3"/>
  <c r="AK147" i="3" s="1"/>
  <c r="AM147" i="3" s="1"/>
  <c r="AI146" i="3"/>
  <c r="AK146" i="3" s="1"/>
  <c r="AM146" i="3" s="1"/>
  <c r="AI145" i="3"/>
  <c r="AK145" i="3" s="1"/>
  <c r="AM145" i="3" s="1"/>
  <c r="AI144" i="3"/>
  <c r="AK144" i="3" s="1"/>
  <c r="AM144" i="3" s="1"/>
  <c r="AI143" i="3"/>
  <c r="AK143" i="3" s="1"/>
  <c r="AM143" i="3" s="1"/>
  <c r="AI142" i="3"/>
  <c r="AK142" i="3" s="1"/>
  <c r="AM142" i="3" s="1"/>
  <c r="AI141" i="3"/>
  <c r="AK141" i="3" s="1"/>
  <c r="AM141" i="3" s="1"/>
  <c r="AI140" i="3"/>
  <c r="AK140" i="3" s="1"/>
  <c r="AM140" i="3" s="1"/>
  <c r="AI139" i="3"/>
  <c r="AK139" i="3" s="1"/>
  <c r="AM139" i="3" s="1"/>
  <c r="AI138" i="3"/>
  <c r="AK138" i="3" s="1"/>
  <c r="AM138" i="3" s="1"/>
  <c r="AI137" i="3"/>
  <c r="AK137" i="3" s="1"/>
  <c r="AM137" i="3" s="1"/>
  <c r="AI136" i="3"/>
  <c r="AK136" i="3" s="1"/>
  <c r="AM136" i="3" s="1"/>
  <c r="AI135" i="3"/>
  <c r="AK135" i="3" s="1"/>
  <c r="AM135" i="3" s="1"/>
  <c r="AK134" i="3"/>
  <c r="AM134" i="3" s="1"/>
  <c r="AI134" i="3"/>
  <c r="AI133" i="3"/>
  <c r="AK133" i="3" s="1"/>
  <c r="AM133" i="3" s="1"/>
  <c r="AI132" i="3"/>
  <c r="AK132" i="3" s="1"/>
  <c r="AM132" i="3" s="1"/>
  <c r="AI131" i="3"/>
  <c r="AK131" i="3" s="1"/>
  <c r="AM131" i="3" s="1"/>
  <c r="AI130" i="3"/>
  <c r="AK130" i="3" s="1"/>
  <c r="AM130" i="3" s="1"/>
  <c r="AI129" i="3"/>
  <c r="AK129" i="3" s="1"/>
  <c r="AM129" i="3" s="1"/>
  <c r="AI128" i="3"/>
  <c r="AK128" i="3" s="1"/>
  <c r="AM128" i="3" s="1"/>
  <c r="AI127" i="3"/>
  <c r="AK127" i="3" s="1"/>
  <c r="AM127" i="3" s="1"/>
  <c r="AI126" i="3"/>
  <c r="AK126" i="3" s="1"/>
  <c r="AM126" i="3" s="1"/>
  <c r="AI125" i="3"/>
  <c r="AK125" i="3" s="1"/>
  <c r="AM125" i="3" s="1"/>
  <c r="AI124" i="3"/>
  <c r="AK124" i="3" s="1"/>
  <c r="AM124" i="3" s="1"/>
  <c r="AI123" i="3"/>
  <c r="AK123" i="3" s="1"/>
  <c r="AM123" i="3" s="1"/>
  <c r="AI122" i="3"/>
  <c r="AK122" i="3" s="1"/>
  <c r="AM122" i="3" s="1"/>
  <c r="AI121" i="3"/>
  <c r="AK121" i="3" s="1"/>
  <c r="AM121" i="3" s="1"/>
  <c r="AI120" i="3"/>
  <c r="AK120" i="3" s="1"/>
  <c r="AM120" i="3" s="1"/>
  <c r="AI119" i="3"/>
  <c r="AK119" i="3" s="1"/>
  <c r="AM119" i="3" s="1"/>
  <c r="AI118" i="3"/>
  <c r="AK118" i="3" s="1"/>
  <c r="AM118" i="3" s="1"/>
  <c r="AI117" i="3"/>
  <c r="AK117" i="3" s="1"/>
  <c r="AM117" i="3" s="1"/>
  <c r="AI116" i="3"/>
  <c r="AK116" i="3" s="1"/>
  <c r="AM116" i="3" s="1"/>
  <c r="AI115" i="3"/>
  <c r="AK115" i="3" s="1"/>
  <c r="AM115" i="3" s="1"/>
  <c r="AI114" i="3"/>
  <c r="AK114" i="3" s="1"/>
  <c r="AM114" i="3" s="1"/>
  <c r="AI113" i="3"/>
  <c r="AK113" i="3" s="1"/>
  <c r="AM113" i="3" s="1"/>
  <c r="AI112" i="3"/>
  <c r="AK112" i="3" s="1"/>
  <c r="AM112" i="3" s="1"/>
  <c r="AI111" i="3"/>
  <c r="AK111" i="3" s="1"/>
  <c r="AM111" i="3" s="1"/>
  <c r="AI110" i="3"/>
  <c r="AK110" i="3" s="1"/>
  <c r="AM110" i="3" s="1"/>
  <c r="AI109" i="3"/>
  <c r="AK109" i="3" s="1"/>
  <c r="AM109" i="3" s="1"/>
  <c r="AI108" i="3"/>
  <c r="AK108" i="3" s="1"/>
  <c r="AM108" i="3" s="1"/>
  <c r="AI107" i="3"/>
  <c r="AK107" i="3" s="1"/>
  <c r="AM107" i="3" s="1"/>
  <c r="AI106" i="3"/>
  <c r="AK106" i="3" s="1"/>
  <c r="AM106" i="3" s="1"/>
  <c r="AI105" i="3"/>
  <c r="AK105" i="3" s="1"/>
  <c r="AM105" i="3" s="1"/>
  <c r="AI104" i="3"/>
  <c r="AK104" i="3" s="1"/>
  <c r="AM104" i="3" s="1"/>
  <c r="AI103" i="3"/>
  <c r="AK103" i="3" s="1"/>
  <c r="AM103" i="3" s="1"/>
  <c r="AI102" i="3"/>
  <c r="AK102" i="3" s="1"/>
  <c r="AM102" i="3" s="1"/>
  <c r="AI101" i="3"/>
  <c r="AK101" i="3" s="1"/>
  <c r="AM101" i="3" s="1"/>
  <c r="AI100" i="3"/>
  <c r="AK100" i="3" s="1"/>
  <c r="AM100" i="3" s="1"/>
  <c r="AI99" i="3"/>
  <c r="AK99" i="3" s="1"/>
  <c r="AM99" i="3" s="1"/>
  <c r="AI98" i="3"/>
  <c r="AK98" i="3" s="1"/>
  <c r="AM98" i="3" s="1"/>
  <c r="AI97" i="3"/>
  <c r="AK97" i="3" s="1"/>
  <c r="AM97" i="3" s="1"/>
  <c r="AI96" i="3"/>
  <c r="AK96" i="3" s="1"/>
  <c r="AM96" i="3" s="1"/>
  <c r="AI95" i="3"/>
  <c r="AK95" i="3" s="1"/>
  <c r="AM95" i="3" s="1"/>
  <c r="AI94" i="3"/>
  <c r="AK94" i="3" s="1"/>
  <c r="AM94" i="3" s="1"/>
  <c r="AI93" i="3"/>
  <c r="AK93" i="3" s="1"/>
  <c r="AM93" i="3" s="1"/>
  <c r="AI92" i="3"/>
  <c r="AK92" i="3" s="1"/>
  <c r="AM92" i="3" s="1"/>
  <c r="AI91" i="3"/>
  <c r="AK91" i="3" s="1"/>
  <c r="AM91" i="3" s="1"/>
  <c r="AI90" i="3"/>
  <c r="AK90" i="3" s="1"/>
  <c r="AM90" i="3" s="1"/>
  <c r="AI89" i="3"/>
  <c r="AK89" i="3" s="1"/>
  <c r="AM89" i="3" s="1"/>
  <c r="AI88" i="3"/>
  <c r="AK88" i="3" s="1"/>
  <c r="AM88" i="3" s="1"/>
  <c r="AI87" i="3"/>
  <c r="AK87" i="3" s="1"/>
  <c r="AM87" i="3" s="1"/>
  <c r="AI86" i="3"/>
  <c r="AK86" i="3" s="1"/>
  <c r="AM86" i="3" s="1"/>
  <c r="AI85" i="3"/>
  <c r="AK85" i="3" s="1"/>
  <c r="AM85" i="3" s="1"/>
  <c r="AI84" i="3"/>
  <c r="AK84" i="3" s="1"/>
  <c r="AM84" i="3" s="1"/>
  <c r="AI83" i="3"/>
  <c r="AK83" i="3" s="1"/>
  <c r="AM83" i="3" s="1"/>
  <c r="AI82" i="3"/>
  <c r="AK82" i="3" s="1"/>
  <c r="AM82" i="3" s="1"/>
  <c r="AI81" i="3"/>
  <c r="AK81" i="3" s="1"/>
  <c r="AM81" i="3" s="1"/>
  <c r="AI80" i="3"/>
  <c r="AK80" i="3" s="1"/>
  <c r="AM80" i="3" s="1"/>
  <c r="AI79" i="3"/>
  <c r="AK79" i="3" s="1"/>
  <c r="AM79" i="3" s="1"/>
  <c r="AI78" i="3"/>
  <c r="AK78" i="3" s="1"/>
  <c r="AM78" i="3" s="1"/>
  <c r="AI77" i="3"/>
  <c r="AK77" i="3" s="1"/>
  <c r="AM77" i="3" s="1"/>
  <c r="AI76" i="3"/>
  <c r="AK76" i="3" s="1"/>
  <c r="AM76" i="3" s="1"/>
  <c r="AI75" i="3"/>
  <c r="AK75" i="3" s="1"/>
  <c r="AM75" i="3" s="1"/>
  <c r="AI74" i="3"/>
  <c r="AK74" i="3" s="1"/>
  <c r="AM74" i="3" s="1"/>
  <c r="AI73" i="3"/>
  <c r="AK73" i="3" s="1"/>
  <c r="AM73" i="3" s="1"/>
  <c r="AI72" i="3"/>
  <c r="AK72" i="3" s="1"/>
  <c r="AM72" i="3" s="1"/>
  <c r="AI71" i="3"/>
  <c r="AK71" i="3" s="1"/>
  <c r="AM71" i="3" s="1"/>
  <c r="AI70" i="3"/>
  <c r="AK70" i="3" s="1"/>
  <c r="AM70" i="3" s="1"/>
  <c r="AI69" i="3"/>
  <c r="AK69" i="3" s="1"/>
  <c r="AM69" i="3" s="1"/>
  <c r="AI68" i="3"/>
  <c r="AK68" i="3" s="1"/>
  <c r="AM68" i="3" s="1"/>
  <c r="AI67" i="3"/>
  <c r="AK67" i="3" s="1"/>
  <c r="AM67" i="3" s="1"/>
  <c r="AI66" i="3"/>
  <c r="AK66" i="3" s="1"/>
  <c r="AM66" i="3" s="1"/>
  <c r="AI65" i="3"/>
  <c r="AK65" i="3" s="1"/>
  <c r="AM65" i="3" s="1"/>
  <c r="AI64" i="3"/>
  <c r="AK64" i="3" s="1"/>
  <c r="AM64" i="3" s="1"/>
  <c r="AI63" i="3"/>
  <c r="AK63" i="3" s="1"/>
  <c r="AM63" i="3" s="1"/>
  <c r="AI62" i="3"/>
  <c r="AK62" i="3" s="1"/>
  <c r="AM62" i="3" s="1"/>
  <c r="AI61" i="3"/>
  <c r="AK61" i="3" s="1"/>
  <c r="AM61" i="3" s="1"/>
  <c r="AI60" i="3"/>
  <c r="AK60" i="3" s="1"/>
  <c r="AM60" i="3" s="1"/>
  <c r="AI59" i="3"/>
  <c r="AK59" i="3" s="1"/>
  <c r="AM59" i="3" s="1"/>
  <c r="AI58" i="3"/>
  <c r="AK58" i="3" s="1"/>
  <c r="AM58" i="3" s="1"/>
  <c r="AI57" i="3"/>
  <c r="AK57" i="3" s="1"/>
  <c r="AM57" i="3" s="1"/>
  <c r="AI56" i="3"/>
  <c r="AK56" i="3" s="1"/>
  <c r="AM56" i="3" s="1"/>
  <c r="AI55" i="3"/>
  <c r="AK55" i="3" s="1"/>
  <c r="AM55" i="3" s="1"/>
  <c r="AI54" i="3"/>
  <c r="AK54" i="3" s="1"/>
  <c r="AM54" i="3" s="1"/>
  <c r="AI53" i="3"/>
  <c r="AK53" i="3" s="1"/>
  <c r="AM53" i="3" s="1"/>
  <c r="AI52" i="3"/>
  <c r="AK52" i="3" s="1"/>
  <c r="AM52" i="3" s="1"/>
  <c r="AI51" i="3"/>
  <c r="AK51" i="3" s="1"/>
  <c r="AM51" i="3" s="1"/>
  <c r="AI50" i="3"/>
  <c r="AK50" i="3" s="1"/>
  <c r="AM50" i="3" s="1"/>
  <c r="AI49" i="3"/>
  <c r="AK49" i="3" s="1"/>
  <c r="AM49" i="3" s="1"/>
  <c r="AI48" i="3"/>
  <c r="AK48" i="3" s="1"/>
  <c r="AM48" i="3" s="1"/>
  <c r="AI47" i="3"/>
  <c r="AK47" i="3" s="1"/>
  <c r="AM47" i="3" s="1"/>
  <c r="AI46" i="3"/>
  <c r="AK46" i="3" s="1"/>
  <c r="AM46" i="3" s="1"/>
  <c r="AI45" i="3"/>
  <c r="AK45" i="3" s="1"/>
  <c r="AM45" i="3" s="1"/>
  <c r="AI44" i="3"/>
  <c r="AK44" i="3" s="1"/>
  <c r="AM44" i="3" s="1"/>
  <c r="AI43" i="3"/>
  <c r="AK43" i="3" s="1"/>
  <c r="AM43" i="3" s="1"/>
  <c r="AI42" i="3"/>
  <c r="AK42" i="3" s="1"/>
  <c r="AM42" i="3" s="1"/>
  <c r="AI41" i="3"/>
  <c r="AK41" i="3" s="1"/>
  <c r="AM41" i="3" s="1"/>
  <c r="AI40" i="3"/>
  <c r="AK40" i="3" s="1"/>
  <c r="AM40" i="3" s="1"/>
  <c r="AI39" i="3"/>
  <c r="AK39" i="3" s="1"/>
  <c r="AM39" i="3" s="1"/>
  <c r="AI38" i="3"/>
  <c r="AK38" i="3" s="1"/>
  <c r="AM38" i="3" s="1"/>
  <c r="AI37" i="3"/>
  <c r="AK37" i="3" s="1"/>
  <c r="AM37" i="3" s="1"/>
  <c r="AI36" i="3"/>
  <c r="AK36" i="3" s="1"/>
  <c r="AM36" i="3" s="1"/>
  <c r="AI35" i="3"/>
  <c r="AK35" i="3" s="1"/>
  <c r="AM35" i="3" s="1"/>
  <c r="AI34" i="3"/>
  <c r="AK34" i="3" s="1"/>
  <c r="AM34" i="3" s="1"/>
  <c r="AI33" i="3"/>
  <c r="AK33" i="3" s="1"/>
  <c r="AM33" i="3" s="1"/>
  <c r="AI32" i="3"/>
  <c r="AK32" i="3" s="1"/>
  <c r="AM32" i="3" s="1"/>
  <c r="AI31" i="3"/>
  <c r="AK31" i="3" s="1"/>
  <c r="AM31" i="3" s="1"/>
  <c r="AI30" i="3"/>
  <c r="AK30" i="3" s="1"/>
  <c r="AM30" i="3" s="1"/>
  <c r="AI29" i="3"/>
  <c r="AK29" i="3" s="1"/>
  <c r="AM29" i="3" s="1"/>
  <c r="AI28" i="3"/>
  <c r="AK28" i="3" s="1"/>
  <c r="AM28" i="3" s="1"/>
  <c r="AI27" i="3"/>
  <c r="AK27" i="3" s="1"/>
  <c r="AM27" i="3" s="1"/>
  <c r="AI26" i="3"/>
  <c r="AK26" i="3" s="1"/>
  <c r="AM26" i="3" s="1"/>
  <c r="AI25" i="3"/>
  <c r="AK25" i="3" s="1"/>
  <c r="AM25" i="3" s="1"/>
  <c r="AI24" i="3"/>
  <c r="AK24" i="3" s="1"/>
  <c r="AM24" i="3" s="1"/>
  <c r="AI23" i="3"/>
  <c r="AK23" i="3" s="1"/>
  <c r="AM23" i="3" s="1"/>
  <c r="AI22" i="3"/>
  <c r="AK22" i="3" s="1"/>
  <c r="AM22" i="3" s="1"/>
  <c r="AI21" i="3"/>
  <c r="AK21" i="3" s="1"/>
  <c r="AM21" i="3" s="1"/>
  <c r="AI20" i="3"/>
  <c r="AK20" i="3" s="1"/>
  <c r="AM20" i="3" s="1"/>
  <c r="AI19" i="3"/>
  <c r="AK19" i="3" s="1"/>
  <c r="AM19" i="3" s="1"/>
  <c r="AI18" i="3"/>
  <c r="AK18" i="3" s="1"/>
  <c r="AM18" i="3" s="1"/>
  <c r="AI17" i="3"/>
  <c r="AK17" i="3" s="1"/>
  <c r="AM17" i="3" s="1"/>
  <c r="AI16" i="3"/>
  <c r="AK16" i="3" s="1"/>
  <c r="AM16" i="3" s="1"/>
  <c r="AI15" i="3"/>
  <c r="AK15" i="3" s="1"/>
  <c r="AM15" i="3" s="1"/>
  <c r="AI14" i="3"/>
  <c r="AK14" i="3" s="1"/>
  <c r="AM14" i="3" s="1"/>
  <c r="AI13" i="3"/>
  <c r="AK13" i="3" s="1"/>
  <c r="AM13" i="3" s="1"/>
  <c r="AI12" i="3"/>
  <c r="AK12" i="3" s="1"/>
  <c r="AM12" i="3" s="1"/>
  <c r="AI11" i="3"/>
  <c r="AK11" i="3" s="1"/>
  <c r="AM11" i="3" s="1"/>
  <c r="AI10" i="3"/>
  <c r="AK10" i="3" s="1"/>
  <c r="AM10" i="3" s="1"/>
  <c r="AI9" i="3"/>
  <c r="AK9" i="3" s="1"/>
  <c r="AM9" i="3" s="1"/>
  <c r="AI8" i="3"/>
  <c r="AK8" i="3" s="1"/>
  <c r="AM8" i="3" s="1"/>
  <c r="AI7" i="3"/>
  <c r="AK7" i="3" s="1"/>
  <c r="AM7" i="3" s="1"/>
  <c r="AI6" i="3"/>
  <c r="AK6" i="3" s="1"/>
  <c r="AM6" i="3" s="1"/>
  <c r="AI5" i="3"/>
  <c r="AK5" i="3" s="1"/>
  <c r="AM5" i="3" s="1"/>
  <c r="AI4" i="3"/>
  <c r="AK4" i="3" s="1"/>
  <c r="AM4" i="3" s="1"/>
  <c r="Z22" i="3"/>
  <c r="AB22" i="3" s="1"/>
  <c r="AD22" i="3" s="1"/>
  <c r="Z21" i="3"/>
  <c r="AB21" i="3" s="1"/>
  <c r="AD21" i="3" s="1"/>
  <c r="Z20" i="3"/>
  <c r="AB20" i="3" s="1"/>
  <c r="AD20" i="3" s="1"/>
  <c r="Z19" i="3"/>
  <c r="AB19" i="3" s="1"/>
  <c r="AD19" i="3" s="1"/>
  <c r="Z18" i="3"/>
  <c r="AB18" i="3" s="1"/>
  <c r="AD18" i="3" s="1"/>
  <c r="Z17" i="3"/>
  <c r="AB17" i="3" s="1"/>
  <c r="AD17" i="3" s="1"/>
  <c r="Z16" i="3"/>
  <c r="AB16" i="3" s="1"/>
  <c r="AD16" i="3" s="1"/>
  <c r="Z15" i="3"/>
  <c r="AB15" i="3" s="1"/>
  <c r="AD15" i="3" s="1"/>
  <c r="Z14" i="3"/>
  <c r="AB14" i="3" s="1"/>
  <c r="AD14" i="3" s="1"/>
  <c r="Z13" i="3"/>
  <c r="AB13" i="3" s="1"/>
  <c r="AD13" i="3" s="1"/>
  <c r="Z12" i="3"/>
  <c r="AB12" i="3" s="1"/>
  <c r="AD12" i="3" s="1"/>
  <c r="Z11" i="3"/>
  <c r="AB11" i="3" s="1"/>
  <c r="AD11" i="3" s="1"/>
  <c r="Z10" i="3"/>
  <c r="AB10" i="3" s="1"/>
  <c r="AD10" i="3" s="1"/>
  <c r="Z9" i="3"/>
  <c r="AB9" i="3" s="1"/>
  <c r="AD9" i="3" s="1"/>
  <c r="Z8" i="3"/>
  <c r="AB8" i="3" s="1"/>
  <c r="AD8" i="3" s="1"/>
  <c r="Z7" i="3"/>
  <c r="AB7" i="3" s="1"/>
  <c r="AD7" i="3" s="1"/>
  <c r="Z6" i="3"/>
  <c r="AB6" i="3" s="1"/>
  <c r="AD6" i="3" s="1"/>
  <c r="Z5" i="3"/>
  <c r="AB5" i="3" s="1"/>
  <c r="AD5" i="3" s="1"/>
  <c r="Z4" i="3"/>
  <c r="AB4" i="3" s="1"/>
  <c r="AD4" i="3" s="1"/>
  <c r="Z3" i="3"/>
  <c r="AB3" i="3" s="1"/>
  <c r="AD3" i="3" s="1"/>
  <c r="T4" i="3"/>
  <c r="U4" i="3"/>
  <c r="V4" i="3"/>
  <c r="AE9" i="3" s="1"/>
  <c r="T5" i="3"/>
  <c r="AA7" i="3" s="1"/>
  <c r="U5" i="3"/>
  <c r="AC7" i="3" s="1"/>
  <c r="V5" i="3"/>
  <c r="AE7" i="3" s="1"/>
  <c r="T6" i="3"/>
  <c r="AA5" i="3" s="1"/>
  <c r="U6" i="3"/>
  <c r="AC5" i="3" s="1"/>
  <c r="V6" i="3"/>
  <c r="T2" i="3"/>
  <c r="Z2" i="3" s="1"/>
  <c r="U2" i="3"/>
  <c r="AK2" i="3" s="1"/>
  <c r="V2" i="3"/>
  <c r="AD2" i="3" s="1"/>
  <c r="S2" i="3"/>
  <c r="AG2" i="3" s="1"/>
  <c r="S6" i="3"/>
  <c r="Y5" i="3" s="1"/>
  <c r="S4" i="3"/>
  <c r="J3" i="3"/>
  <c r="J4" i="3"/>
  <c r="J2" i="3"/>
  <c r="E287" i="5"/>
  <c r="D49" i="5"/>
  <c r="E80" i="5"/>
  <c r="D422" i="5"/>
  <c r="E385" i="5"/>
  <c r="E254" i="5"/>
  <c r="D61" i="5"/>
  <c r="E379" i="5"/>
  <c r="E393" i="5"/>
  <c r="D141" i="5"/>
  <c r="D324" i="5"/>
  <c r="D90" i="5"/>
  <c r="D389" i="5"/>
  <c r="E102" i="5"/>
  <c r="E334" i="5"/>
  <c r="E64" i="5"/>
  <c r="E408" i="5"/>
  <c r="E176" i="5"/>
  <c r="E419" i="5"/>
  <c r="E91" i="5"/>
  <c r="E291" i="5"/>
  <c r="E305" i="5"/>
  <c r="E45" i="5"/>
  <c r="D78" i="5"/>
  <c r="E59" i="5"/>
  <c r="E395" i="5"/>
  <c r="D307" i="5"/>
  <c r="D393" i="5"/>
  <c r="E268" i="5"/>
  <c r="D368" i="5"/>
  <c r="E184" i="5"/>
  <c r="D135" i="5"/>
  <c r="E242" i="5"/>
  <c r="E231" i="5"/>
  <c r="E47" i="5"/>
  <c r="D298" i="5"/>
  <c r="D260" i="5"/>
  <c r="E311" i="5"/>
  <c r="E178" i="5"/>
  <c r="D349" i="5"/>
  <c r="E346" i="5"/>
  <c r="D287" i="5"/>
  <c r="E117" i="5"/>
  <c r="D401" i="5"/>
  <c r="E163" i="5"/>
  <c r="D121" i="5"/>
  <c r="D362" i="5"/>
  <c r="E207" i="5"/>
  <c r="E365" i="5"/>
  <c r="E292" i="5"/>
  <c r="D167" i="5"/>
  <c r="E33" i="5"/>
  <c r="D26" i="5"/>
  <c r="E209" i="5"/>
  <c r="E208" i="5"/>
  <c r="E270" i="5"/>
  <c r="D150" i="5"/>
  <c r="E93" i="5"/>
  <c r="D392" i="5"/>
  <c r="E194" i="5"/>
  <c r="E388" i="5"/>
  <c r="E69" i="5"/>
  <c r="E375" i="5"/>
  <c r="D385" i="5"/>
  <c r="D168" i="5"/>
  <c r="E391" i="5"/>
  <c r="D102" i="5"/>
  <c r="E323" i="5"/>
  <c r="D57" i="5"/>
  <c r="D286" i="5"/>
  <c r="E141" i="5"/>
  <c r="D137" i="5"/>
  <c r="E192" i="5"/>
  <c r="E133" i="5"/>
  <c r="D58" i="5"/>
  <c r="D202" i="5"/>
  <c r="E89" i="5"/>
  <c r="E41" i="5"/>
  <c r="D189" i="5"/>
  <c r="D83" i="5"/>
  <c r="D206" i="5"/>
  <c r="D230" i="5"/>
  <c r="E322" i="5"/>
  <c r="D294" i="5"/>
  <c r="D280" i="5"/>
  <c r="E360" i="5"/>
  <c r="E143" i="5"/>
  <c r="D182" i="5"/>
  <c r="E272" i="5"/>
  <c r="E350" i="5"/>
  <c r="E193" i="5"/>
  <c r="D364" i="5"/>
  <c r="E403" i="5"/>
  <c r="E211" i="5"/>
  <c r="D188" i="5"/>
  <c r="D98" i="5"/>
  <c r="D123" i="5"/>
  <c r="D44" i="5"/>
  <c r="D303" i="5"/>
  <c r="D113" i="5"/>
  <c r="D50" i="5"/>
  <c r="D403" i="5"/>
  <c r="D65" i="5"/>
  <c r="D332" i="5"/>
  <c r="E186" i="5"/>
  <c r="E132" i="5"/>
  <c r="D101" i="5"/>
  <c r="D152" i="5"/>
  <c r="E297" i="5"/>
  <c r="D272" i="5"/>
  <c r="E344" i="5"/>
  <c r="D56" i="5"/>
  <c r="D292" i="5"/>
  <c r="D302" i="5"/>
  <c r="D89" i="5"/>
  <c r="D404" i="5"/>
  <c r="E280" i="5"/>
  <c r="E347" i="5"/>
  <c r="D417" i="5"/>
  <c r="D225" i="5"/>
  <c r="E282" i="5"/>
  <c r="D377" i="5"/>
  <c r="D47" i="5"/>
  <c r="D109" i="5"/>
  <c r="E90" i="5"/>
  <c r="D414" i="5"/>
  <c r="D235" i="5"/>
  <c r="E191" i="5"/>
  <c r="D35" i="5"/>
  <c r="D232" i="5"/>
  <c r="D196" i="5"/>
  <c r="E136" i="5"/>
  <c r="E97" i="5"/>
  <c r="E398" i="5"/>
  <c r="D160" i="5"/>
  <c r="E202" i="5"/>
  <c r="E226" i="5"/>
  <c r="E275" i="5"/>
  <c r="D159" i="5"/>
  <c r="E103" i="5"/>
  <c r="D72" i="5"/>
  <c r="E212" i="5"/>
  <c r="E36" i="5"/>
  <c r="E320" i="5"/>
  <c r="D222" i="5"/>
  <c r="D127" i="5"/>
  <c r="E341" i="5"/>
  <c r="E40" i="5"/>
  <c r="D142" i="5"/>
  <c r="E262" i="5"/>
  <c r="E225" i="5"/>
  <c r="E356" i="5"/>
  <c r="D354" i="5"/>
  <c r="E276" i="5"/>
  <c r="E148" i="5"/>
  <c r="E181" i="5"/>
  <c r="D172" i="5"/>
  <c r="D352" i="5"/>
  <c r="D395" i="5"/>
  <c r="E228" i="5"/>
  <c r="D372" i="5"/>
  <c r="E306" i="5"/>
  <c r="D163" i="5"/>
  <c r="E394" i="5"/>
  <c r="D224" i="5"/>
  <c r="E406" i="5"/>
  <c r="D262" i="5"/>
  <c r="D129" i="5"/>
  <c r="E328" i="5"/>
  <c r="D321" i="5"/>
  <c r="E230" i="5"/>
  <c r="E274" i="5"/>
  <c r="D227" i="5"/>
  <c r="E66" i="5"/>
  <c r="E308" i="5"/>
  <c r="E153" i="5"/>
  <c r="D75" i="5"/>
  <c r="D406" i="5"/>
  <c r="D246" i="5"/>
  <c r="D218" i="5"/>
  <c r="E52" i="5"/>
  <c r="E335" i="5"/>
  <c r="D335" i="5"/>
  <c r="D253" i="5"/>
  <c r="E383" i="5"/>
  <c r="E257" i="5"/>
  <c r="D132" i="5"/>
  <c r="D122" i="5"/>
  <c r="E400" i="5"/>
  <c r="D355" i="5"/>
  <c r="E85" i="5"/>
  <c r="D311" i="5"/>
  <c r="E399" i="5"/>
  <c r="E57" i="5"/>
  <c r="D211" i="5"/>
  <c r="E213" i="5"/>
  <c r="D208" i="5"/>
  <c r="E220" i="5"/>
  <c r="D338" i="5"/>
  <c r="D288" i="5"/>
  <c r="D373" i="5"/>
  <c r="D366" i="5"/>
  <c r="E110" i="5"/>
  <c r="D84" i="5"/>
  <c r="D174" i="5"/>
  <c r="E367" i="5"/>
  <c r="D23" i="5"/>
  <c r="D212" i="5"/>
  <c r="D33" i="5"/>
  <c r="E217" i="5"/>
  <c r="E253" i="5"/>
  <c r="D170" i="5"/>
  <c r="D233" i="5"/>
  <c r="E313" i="5"/>
  <c r="D30" i="5"/>
  <c r="D42" i="5"/>
  <c r="E281" i="5"/>
  <c r="D62" i="5"/>
  <c r="D48" i="5"/>
  <c r="E224" i="5"/>
  <c r="E256" i="5"/>
  <c r="D192" i="5"/>
  <c r="D254" i="5"/>
  <c r="D216" i="5"/>
  <c r="E82" i="5"/>
  <c r="E302" i="5"/>
  <c r="E232" i="5"/>
  <c r="E145" i="5"/>
  <c r="E336" i="5"/>
  <c r="E196" i="5"/>
  <c r="D356" i="5"/>
  <c r="D397" i="5"/>
  <c r="E25" i="5"/>
  <c r="D325" i="5"/>
  <c r="E340" i="5"/>
  <c r="E363" i="5"/>
  <c r="D257" i="5"/>
  <c r="E414" i="5"/>
  <c r="D306" i="5"/>
  <c r="E243" i="5"/>
  <c r="E51" i="5"/>
  <c r="E88" i="5"/>
  <c r="E416" i="5"/>
  <c r="E303" i="5"/>
  <c r="E374" i="5"/>
  <c r="D178" i="5"/>
  <c r="D320" i="5"/>
  <c r="D378" i="5"/>
  <c r="D405" i="5"/>
  <c r="E75" i="5"/>
  <c r="E39" i="5"/>
  <c r="D228" i="5"/>
  <c r="D420" i="5"/>
  <c r="D36" i="5"/>
  <c r="D139" i="5"/>
  <c r="E263" i="5"/>
  <c r="D130" i="5"/>
  <c r="E415" i="5"/>
  <c r="D38" i="5"/>
  <c r="E165" i="5"/>
  <c r="D187" i="5"/>
  <c r="D148" i="5"/>
  <c r="E44" i="5"/>
  <c r="E34" i="5"/>
  <c r="D276" i="5"/>
  <c r="D369" i="5"/>
  <c r="E60" i="5"/>
  <c r="D80" i="5"/>
  <c r="D346" i="5"/>
  <c r="E337" i="5"/>
  <c r="E62" i="5"/>
  <c r="D416" i="5"/>
  <c r="E376" i="5"/>
  <c r="E198" i="5"/>
  <c r="E187" i="5"/>
  <c r="E68" i="5"/>
  <c r="D261" i="5"/>
  <c r="D134" i="5"/>
  <c r="E98" i="5"/>
  <c r="E373" i="5"/>
  <c r="D379" i="5"/>
  <c r="E269" i="5"/>
  <c r="E86" i="5"/>
  <c r="D145" i="5"/>
  <c r="D116" i="5"/>
  <c r="E418" i="5"/>
  <c r="E401" i="5"/>
  <c r="E107" i="5"/>
  <c r="E413" i="5"/>
  <c r="E76" i="5"/>
  <c r="E353" i="5"/>
  <c r="E382" i="5"/>
  <c r="D259" i="5"/>
  <c r="E325" i="5"/>
  <c r="D281" i="5"/>
  <c r="D388" i="5"/>
  <c r="D88" i="5"/>
  <c r="E246" i="5"/>
  <c r="E96" i="5"/>
  <c r="D87" i="5"/>
  <c r="E71" i="5"/>
  <c r="E307" i="5"/>
  <c r="E177" i="5"/>
  <c r="E56" i="5"/>
  <c r="E299" i="5"/>
  <c r="E410" i="5"/>
  <c r="E170" i="5"/>
  <c r="D329" i="5"/>
  <c r="E326" i="5"/>
  <c r="D200" i="5"/>
  <c r="E175" i="5"/>
  <c r="E149" i="5"/>
  <c r="D317" i="5"/>
  <c r="D173" i="5"/>
  <c r="D210" i="5"/>
  <c r="D204" i="5"/>
  <c r="E81" i="5"/>
  <c r="E404" i="5"/>
  <c r="D242" i="5"/>
  <c r="D157" i="5"/>
  <c r="D365" i="5"/>
  <c r="E111" i="5"/>
  <c r="D236" i="5"/>
  <c r="D343" i="5"/>
  <c r="E58" i="5"/>
  <c r="D96" i="5"/>
  <c r="E169" i="5"/>
  <c r="D277" i="5"/>
  <c r="E245" i="5"/>
  <c r="E362" i="5"/>
  <c r="D407" i="5"/>
  <c r="D151" i="5"/>
  <c r="D399" i="5"/>
  <c r="E31" i="5"/>
  <c r="D209" i="5"/>
  <c r="D110" i="5"/>
  <c r="D107" i="5"/>
  <c r="D119" i="5"/>
  <c r="E310" i="5"/>
  <c r="E204" i="5"/>
  <c r="D146" i="5"/>
  <c r="D396" i="5"/>
  <c r="D375" i="5"/>
  <c r="D106" i="5"/>
  <c r="E229" i="5"/>
  <c r="D197" i="5"/>
  <c r="D263" i="5"/>
  <c r="D184" i="5"/>
  <c r="D243" i="5"/>
  <c r="E122" i="5"/>
  <c r="E79" i="5"/>
  <c r="D180" i="5"/>
  <c r="E258" i="5"/>
  <c r="E200" i="5"/>
  <c r="E158" i="5"/>
  <c r="D138" i="5"/>
  <c r="E366" i="5"/>
  <c r="D215" i="5"/>
  <c r="E314" i="5"/>
  <c r="D60" i="5"/>
  <c r="E377" i="5"/>
  <c r="D409" i="5"/>
  <c r="E288" i="5"/>
  <c r="E185" i="5"/>
  <c r="D374" i="5"/>
  <c r="D336" i="5"/>
  <c r="E273" i="5"/>
  <c r="E329" i="5"/>
  <c r="D390" i="5"/>
  <c r="E296" i="5"/>
  <c r="D238" i="5"/>
  <c r="E348" i="5"/>
  <c r="D410" i="5"/>
  <c r="E331" i="5"/>
  <c r="D326" i="5"/>
  <c r="E422" i="5"/>
  <c r="D350" i="5"/>
  <c r="E351" i="5"/>
  <c r="E205" i="5"/>
  <c r="D359" i="5"/>
  <c r="D305" i="5"/>
  <c r="E271" i="5"/>
  <c r="D380" i="5"/>
  <c r="E221" i="5"/>
  <c r="D111" i="5"/>
  <c r="E301" i="5"/>
  <c r="D190" i="5"/>
  <c r="D334" i="5"/>
  <c r="E199" i="5"/>
  <c r="D341" i="5"/>
  <c r="D112" i="5"/>
  <c r="D205" i="5"/>
  <c r="D413" i="5"/>
  <c r="D312" i="5"/>
  <c r="D52" i="5"/>
  <c r="E28" i="5"/>
  <c r="E38" i="5"/>
  <c r="D40" i="5"/>
  <c r="E227" i="5"/>
  <c r="D291" i="5"/>
  <c r="D221" i="5"/>
  <c r="D415" i="5"/>
  <c r="E244" i="5"/>
  <c r="D293" i="5"/>
  <c r="D412" i="5"/>
  <c r="D114" i="5"/>
  <c r="D177" i="5"/>
  <c r="E138" i="5"/>
  <c r="D411" i="5"/>
  <c r="D100" i="5"/>
  <c r="E94" i="5"/>
  <c r="E83" i="5"/>
  <c r="E131" i="5"/>
  <c r="E109" i="5"/>
  <c r="E120" i="5"/>
  <c r="D161" i="5"/>
  <c r="E250" i="5"/>
  <c r="D105" i="5"/>
  <c r="E389" i="5"/>
  <c r="E121" i="5"/>
  <c r="D93" i="5"/>
  <c r="D115" i="5"/>
  <c r="D333" i="5"/>
  <c r="E218" i="5"/>
  <c r="D140" i="5"/>
  <c r="D73" i="5"/>
  <c r="E104" i="5"/>
  <c r="E116" i="5"/>
  <c r="D322" i="5"/>
  <c r="E95" i="5"/>
  <c r="D367" i="5"/>
  <c r="D95" i="5"/>
  <c r="E378" i="5"/>
  <c r="E140" i="5"/>
  <c r="E342" i="5"/>
  <c r="D274" i="5"/>
  <c r="E295" i="5"/>
  <c r="D382" i="5"/>
  <c r="E35" i="5"/>
  <c r="E92" i="5"/>
  <c r="D181" i="5"/>
  <c r="D171" i="5"/>
  <c r="E285" i="5"/>
  <c r="E152" i="5"/>
  <c r="D348" i="5"/>
  <c r="E84" i="5"/>
  <c r="E411" i="5"/>
  <c r="E223" i="5"/>
  <c r="D108" i="5"/>
  <c r="D239" i="5"/>
  <c r="D386" i="5"/>
  <c r="E37" i="5"/>
  <c r="E174" i="5"/>
  <c r="D191" i="5"/>
  <c r="E222" i="5"/>
  <c r="E251" i="5"/>
  <c r="E99" i="5"/>
  <c r="D351" i="5"/>
  <c r="E333" i="5"/>
  <c r="D318" i="5"/>
  <c r="D91" i="5"/>
  <c r="E72" i="5"/>
  <c r="E78" i="5"/>
  <c r="D79" i="5"/>
  <c r="D316" i="5"/>
  <c r="E180" i="5"/>
  <c r="D328" i="5"/>
  <c r="D295" i="5"/>
  <c r="E267" i="5"/>
  <c r="D273" i="5"/>
  <c r="D128" i="5"/>
  <c r="E49" i="5"/>
  <c r="D92" i="5"/>
  <c r="D207" i="5"/>
  <c r="D201" i="5"/>
  <c r="D97" i="5"/>
  <c r="D63" i="5"/>
  <c r="E147" i="5"/>
  <c r="D258" i="5"/>
  <c r="D256" i="5"/>
  <c r="D82" i="5"/>
  <c r="E54" i="5"/>
  <c r="D271" i="5"/>
  <c r="D249" i="5"/>
  <c r="E70" i="5"/>
  <c r="E278" i="5"/>
  <c r="E157" i="5"/>
  <c r="E50" i="5"/>
  <c r="D81" i="5"/>
  <c r="D131" i="5"/>
  <c r="E412" i="5"/>
  <c r="E216" i="5"/>
  <c r="D149" i="5"/>
  <c r="D387" i="5"/>
  <c r="D27" i="5"/>
  <c r="D300" i="5"/>
  <c r="E43" i="5"/>
  <c r="E293" i="5"/>
  <c r="E161" i="5"/>
  <c r="E361" i="5"/>
  <c r="D169" i="5"/>
  <c r="D234" i="5"/>
  <c r="E134" i="5"/>
  <c r="D147" i="5"/>
  <c r="D185" i="5"/>
  <c r="D284" i="5"/>
  <c r="D299" i="5"/>
  <c r="E319" i="5"/>
  <c r="E298" i="5"/>
  <c r="D285" i="5"/>
  <c r="D213" i="5"/>
  <c r="E87" i="5"/>
  <c r="D353" i="5"/>
  <c r="E290" i="5"/>
  <c r="D34" i="5"/>
  <c r="D268" i="5"/>
  <c r="D186" i="5"/>
  <c r="E219" i="5"/>
  <c r="E284" i="5"/>
  <c r="D267" i="5"/>
  <c r="E294" i="5"/>
  <c r="D264" i="5"/>
  <c r="E115" i="5"/>
  <c r="E65" i="5"/>
  <c r="D153" i="5"/>
  <c r="E358" i="5"/>
  <c r="E381" i="5"/>
  <c r="D319" i="5"/>
  <c r="E417" i="5"/>
  <c r="D309" i="5"/>
  <c r="D301" i="5"/>
  <c r="D297" i="5"/>
  <c r="D266" i="5"/>
  <c r="D166" i="5"/>
  <c r="D51" i="5"/>
  <c r="D419" i="5"/>
  <c r="D43" i="5"/>
  <c r="E130" i="5"/>
  <c r="E167" i="5"/>
  <c r="D252" i="5"/>
  <c r="E255" i="5"/>
  <c r="E261" i="5"/>
  <c r="E48" i="5"/>
  <c r="E129" i="5"/>
  <c r="E345" i="5"/>
  <c r="E142" i="5"/>
  <c r="E124" i="5"/>
  <c r="E151" i="5"/>
  <c r="D70" i="5"/>
  <c r="E46" i="5"/>
  <c r="E214" i="5"/>
  <c r="E420" i="5"/>
  <c r="E73" i="5"/>
  <c r="D179" i="5"/>
  <c r="E252" i="5"/>
  <c r="E371" i="5"/>
  <c r="E166" i="5"/>
  <c r="E380" i="5"/>
  <c r="E106" i="5"/>
  <c r="D59" i="5"/>
  <c r="E248" i="5"/>
  <c r="E318" i="5"/>
  <c r="D269" i="5"/>
  <c r="E210" i="5"/>
  <c r="E364" i="5"/>
  <c r="E386" i="5"/>
  <c r="E183" i="5"/>
  <c r="D279" i="5"/>
  <c r="D308" i="5"/>
  <c r="E172" i="5"/>
  <c r="E105" i="5"/>
  <c r="D347" i="5"/>
  <c r="E201" i="5"/>
  <c r="D241" i="5"/>
  <c r="D71" i="5"/>
  <c r="D55" i="5"/>
  <c r="D28" i="5"/>
  <c r="E407" i="5"/>
  <c r="D394" i="5"/>
  <c r="E173" i="5"/>
  <c r="D357" i="5"/>
  <c r="D194" i="5"/>
  <c r="E316" i="5"/>
  <c r="D53" i="5"/>
  <c r="E24" i="5"/>
  <c r="E387" i="5"/>
  <c r="E392" i="5"/>
  <c r="D240" i="5"/>
  <c r="E144" i="5"/>
  <c r="E309" i="5"/>
  <c r="E237" i="5"/>
  <c r="E197" i="5"/>
  <c r="D361" i="5"/>
  <c r="E164" i="5"/>
  <c r="E162" i="5"/>
  <c r="D214" i="5"/>
  <c r="D45" i="5"/>
  <c r="D304" i="5"/>
  <c r="E317" i="5"/>
  <c r="E108" i="5"/>
  <c r="D223" i="5"/>
  <c r="D54" i="5"/>
  <c r="D290" i="5"/>
  <c r="E247" i="5"/>
  <c r="D117" i="5"/>
  <c r="E182" i="5"/>
  <c r="D251" i="5"/>
  <c r="E53" i="5"/>
  <c r="D64" i="5"/>
  <c r="E236" i="5"/>
  <c r="E146" i="5"/>
  <c r="D158" i="5"/>
  <c r="D120" i="5"/>
  <c r="E155" i="5"/>
  <c r="D265" i="5"/>
  <c r="E359" i="5"/>
  <c r="D370" i="5"/>
  <c r="E321" i="5"/>
  <c r="D99" i="5"/>
  <c r="D156" i="5"/>
  <c r="D133" i="5"/>
  <c r="E100" i="5"/>
  <c r="D327" i="5"/>
  <c r="E421" i="5"/>
  <c r="E312" i="5"/>
  <c r="E215" i="5"/>
  <c r="D342" i="5"/>
  <c r="E352" i="5"/>
  <c r="D46" i="5"/>
  <c r="E235" i="5"/>
  <c r="D376" i="5"/>
  <c r="D360" i="5"/>
  <c r="D248" i="5"/>
  <c r="D371" i="5"/>
  <c r="E77" i="5"/>
  <c r="D77" i="5"/>
  <c r="E233" i="5"/>
  <c r="E188" i="5"/>
  <c r="E283" i="5"/>
  <c r="E264" i="5"/>
  <c r="E300" i="5"/>
  <c r="E277" i="5"/>
  <c r="E265" i="5"/>
  <c r="E125" i="5"/>
  <c r="E349" i="5"/>
  <c r="D282" i="5"/>
  <c r="D245" i="5"/>
  <c r="D136" i="5"/>
  <c r="E259" i="5"/>
  <c r="E126" i="5"/>
  <c r="D255" i="5"/>
  <c r="E234" i="5"/>
  <c r="E332" i="5"/>
  <c r="D398" i="5"/>
  <c r="D313" i="5"/>
  <c r="E402" i="5"/>
  <c r="D86" i="5"/>
  <c r="D203" i="5"/>
  <c r="D76" i="5"/>
  <c r="E397" i="5"/>
  <c r="E128" i="5"/>
  <c r="E369" i="5"/>
  <c r="D217" i="5"/>
  <c r="D125" i="5"/>
  <c r="D344" i="5"/>
  <c r="D104" i="5"/>
  <c r="D421" i="5"/>
  <c r="D195" i="5"/>
  <c r="D31" i="5"/>
  <c r="E168" i="5"/>
  <c r="D154" i="5"/>
  <c r="E156" i="5"/>
  <c r="D323" i="5"/>
  <c r="D69" i="5"/>
  <c r="D310" i="5"/>
  <c r="E266" i="5"/>
  <c r="E30" i="5"/>
  <c r="E118" i="5"/>
  <c r="D247" i="5"/>
  <c r="D283" i="5"/>
  <c r="E150" i="5"/>
  <c r="D275" i="5"/>
  <c r="E139" i="5"/>
  <c r="D314" i="5"/>
  <c r="D41" i="5"/>
  <c r="D340" i="5"/>
  <c r="E159" i="5"/>
  <c r="D381" i="5"/>
  <c r="D144" i="5"/>
  <c r="E74" i="5"/>
  <c r="E67" i="5"/>
  <c r="D85" i="5"/>
  <c r="E260" i="5"/>
  <c r="E370" i="5"/>
  <c r="E304" i="5"/>
  <c r="D384" i="5"/>
  <c r="D118" i="5"/>
  <c r="D363" i="5"/>
  <c r="E241" i="5"/>
  <c r="E249" i="5"/>
  <c r="D408" i="5"/>
  <c r="D296" i="5"/>
  <c r="D315" i="5"/>
  <c r="E26" i="5"/>
  <c r="E390" i="5"/>
  <c r="E123" i="5"/>
  <c r="D198" i="5"/>
  <c r="D39" i="5"/>
  <c r="E372" i="5"/>
  <c r="D94" i="5"/>
  <c r="E324" i="5"/>
  <c r="E119" i="5"/>
  <c r="D219" i="5"/>
  <c r="E368" i="5"/>
  <c r="D25" i="5"/>
  <c r="E189" i="5"/>
  <c r="E113" i="5"/>
  <c r="E238" i="5"/>
  <c r="D270" i="5"/>
  <c r="E135" i="5"/>
  <c r="E171" i="5"/>
  <c r="E355" i="5"/>
  <c r="D32" i="5"/>
  <c r="D250" i="5"/>
  <c r="E405" i="5"/>
  <c r="E240" i="5"/>
  <c r="D337" i="5"/>
  <c r="E203" i="5"/>
  <c r="D24" i="5"/>
  <c r="D183" i="5"/>
  <c r="E339" i="5"/>
  <c r="D165" i="5"/>
  <c r="D278" i="5"/>
  <c r="E357" i="5"/>
  <c r="D126" i="5"/>
  <c r="D74" i="5"/>
  <c r="D162" i="5"/>
  <c r="D66" i="5"/>
  <c r="D339" i="5"/>
  <c r="E315" i="5"/>
  <c r="E330" i="5"/>
  <c r="E286" i="5"/>
  <c r="E42" i="5"/>
  <c r="D164" i="5"/>
  <c r="E206" i="5"/>
  <c r="E384" i="5"/>
  <c r="D418" i="5"/>
  <c r="E239" i="5"/>
  <c r="D176" i="5"/>
  <c r="D244" i="5"/>
  <c r="E63" i="5"/>
  <c r="E137" i="5"/>
  <c r="D29" i="5"/>
  <c r="D143" i="5"/>
  <c r="E179" i="5"/>
  <c r="E279" i="5"/>
  <c r="E112" i="5"/>
  <c r="D155" i="5"/>
  <c r="E327" i="5"/>
  <c r="D402" i="5"/>
  <c r="D231" i="5"/>
  <c r="E409" i="5"/>
  <c r="D345" i="5"/>
  <c r="D237" i="5"/>
  <c r="D124" i="5"/>
  <c r="E195" i="5"/>
  <c r="E114" i="5"/>
  <c r="D391" i="5"/>
  <c r="E289" i="5"/>
  <c r="D289" i="5"/>
  <c r="D68" i="5"/>
  <c r="E27" i="5"/>
  <c r="E354" i="5"/>
  <c r="E23" i="5"/>
  <c r="D383" i="5"/>
  <c r="E32" i="5"/>
  <c r="D37" i="5"/>
  <c r="E61" i="5"/>
  <c r="E396" i="5"/>
  <c r="E101" i="5"/>
  <c r="D330" i="5"/>
  <c r="E55" i="5"/>
  <c r="E154" i="5"/>
  <c r="D220" i="5"/>
  <c r="E343" i="5"/>
  <c r="D199" i="5"/>
  <c r="D175" i="5"/>
  <c r="E160" i="5"/>
  <c r="D400" i="5"/>
  <c r="D358" i="5"/>
  <c r="E338" i="5"/>
  <c r="D226" i="5"/>
  <c r="E190" i="5"/>
  <c r="D229" i="5"/>
  <c r="D67" i="5"/>
  <c r="D193" i="5"/>
  <c r="D331" i="5"/>
  <c r="E29" i="5"/>
  <c r="D103" i="5"/>
  <c r="E127" i="5"/>
  <c r="S3" i="3" l="1" a="1"/>
  <c r="S3" i="3" s="1"/>
  <c r="Y11" i="3" s="1"/>
  <c r="Y13" i="3" s="1"/>
  <c r="Y14" i="3" s="1"/>
  <c r="V7" i="3" a="1"/>
  <c r="V7" i="3" s="1"/>
  <c r="AE3" i="3" s="1"/>
  <c r="AE4" i="3" s="1"/>
  <c r="D291" i="3"/>
  <c r="D323" i="3"/>
  <c r="D349" i="3"/>
  <c r="D365" i="3"/>
  <c r="D381" i="3"/>
  <c r="D397" i="3"/>
  <c r="D334" i="3"/>
  <c r="D318" i="3"/>
  <c r="D302" i="3"/>
  <c r="D286" i="3"/>
  <c r="D270" i="3"/>
  <c r="D254" i="3"/>
  <c r="D238" i="3"/>
  <c r="D222" i="3"/>
  <c r="D206" i="3"/>
  <c r="D190" i="3"/>
  <c r="D174" i="3"/>
  <c r="D158" i="3"/>
  <c r="D142" i="3"/>
  <c r="D126" i="3"/>
  <c r="D110" i="3"/>
  <c r="D257" i="3"/>
  <c r="D299" i="3"/>
  <c r="D331" i="3"/>
  <c r="D353" i="3"/>
  <c r="D369" i="3"/>
  <c r="D385" i="3"/>
  <c r="D401" i="3"/>
  <c r="D330" i="3"/>
  <c r="D314" i="3"/>
  <c r="D298" i="3"/>
  <c r="D282" i="3"/>
  <c r="D266" i="3"/>
  <c r="D250" i="3"/>
  <c r="D234" i="3"/>
  <c r="D218" i="3"/>
  <c r="D202" i="3"/>
  <c r="D273" i="3"/>
  <c r="D307" i="3"/>
  <c r="D339" i="3"/>
  <c r="D357" i="3"/>
  <c r="D373" i="3"/>
  <c r="D389" i="3"/>
  <c r="D342" i="3"/>
  <c r="D326" i="3"/>
  <c r="D310" i="3"/>
  <c r="D294" i="3"/>
  <c r="D278" i="3"/>
  <c r="D262" i="3"/>
  <c r="D246" i="3"/>
  <c r="D230" i="3"/>
  <c r="D214" i="3"/>
  <c r="D198" i="3"/>
  <c r="D182" i="3"/>
  <c r="D166" i="3"/>
  <c r="D150" i="3"/>
  <c r="D134" i="3"/>
  <c r="D118" i="3"/>
  <c r="D102" i="3"/>
  <c r="D86" i="3"/>
  <c r="D70" i="3"/>
  <c r="D54" i="3"/>
  <c r="D38" i="3"/>
  <c r="D22" i="3"/>
  <c r="D6" i="3"/>
  <c r="D241" i="3"/>
  <c r="D225" i="3"/>
  <c r="D209" i="3"/>
  <c r="D193" i="3"/>
  <c r="D177" i="3"/>
  <c r="D283" i="3"/>
  <c r="D315" i="3"/>
  <c r="D345" i="3"/>
  <c r="D361" i="3"/>
  <c r="D377" i="3"/>
  <c r="D393" i="3"/>
  <c r="D338" i="3"/>
  <c r="D322" i="3"/>
  <c r="D306" i="3"/>
  <c r="D290" i="3"/>
  <c r="D274" i="3"/>
  <c r="D258" i="3"/>
  <c r="D242" i="3"/>
  <c r="D226" i="3"/>
  <c r="D210" i="3"/>
  <c r="D194" i="3"/>
  <c r="D178" i="3"/>
  <c r="D94" i="3"/>
  <c r="D78" i="3"/>
  <c r="D62" i="3"/>
  <c r="D46" i="3"/>
  <c r="D30" i="3"/>
  <c r="D14" i="3"/>
  <c r="D249" i="3"/>
  <c r="D233" i="3"/>
  <c r="D217" i="3"/>
  <c r="D201" i="3"/>
  <c r="D185" i="3"/>
  <c r="D169" i="3"/>
  <c r="D153" i="3"/>
  <c r="D137" i="3"/>
  <c r="D121" i="3"/>
  <c r="D105" i="3"/>
  <c r="D89" i="3"/>
  <c r="D73" i="3"/>
  <c r="D57" i="3"/>
  <c r="D41" i="3"/>
  <c r="D25" i="3"/>
  <c r="D9" i="3"/>
  <c r="D332" i="3"/>
  <c r="D316" i="3"/>
  <c r="D300" i="3"/>
  <c r="D284" i="3"/>
  <c r="D268" i="3"/>
  <c r="D252" i="3"/>
  <c r="D236" i="3"/>
  <c r="D220" i="3"/>
  <c r="D204" i="3"/>
  <c r="D188" i="3"/>
  <c r="D172" i="3"/>
  <c r="D156" i="3"/>
  <c r="D140" i="3"/>
  <c r="D124" i="3"/>
  <c r="D108" i="3"/>
  <c r="D92" i="3"/>
  <c r="D76" i="3"/>
  <c r="D60" i="3"/>
  <c r="D44" i="3"/>
  <c r="D28" i="3"/>
  <c r="D12" i="3"/>
  <c r="D271" i="3"/>
  <c r="D255" i="3"/>
  <c r="D239" i="3"/>
  <c r="D223" i="3"/>
  <c r="D207" i="3"/>
  <c r="D191" i="3"/>
  <c r="D175" i="3"/>
  <c r="D159" i="3"/>
  <c r="D143" i="3"/>
  <c r="D127" i="3"/>
  <c r="D111" i="3"/>
  <c r="D95" i="3"/>
  <c r="D79" i="3"/>
  <c r="D63" i="3"/>
  <c r="D47" i="3"/>
  <c r="D31" i="3"/>
  <c r="D15" i="3"/>
  <c r="D277" i="3"/>
  <c r="D309" i="3"/>
  <c r="D341" i="3"/>
  <c r="D358" i="3"/>
  <c r="D374" i="3"/>
  <c r="D390" i="3"/>
  <c r="D279" i="3"/>
  <c r="D311" i="3"/>
  <c r="D343" i="3"/>
  <c r="D359" i="3"/>
  <c r="D375" i="3"/>
  <c r="D391" i="3"/>
  <c r="D281" i="3"/>
  <c r="D313" i="3"/>
  <c r="D344" i="3"/>
  <c r="D360" i="3"/>
  <c r="D376" i="3"/>
  <c r="D392" i="3"/>
  <c r="D186" i="3"/>
  <c r="D170" i="3"/>
  <c r="D154" i="3"/>
  <c r="D138" i="3"/>
  <c r="D122" i="3"/>
  <c r="D106" i="3"/>
  <c r="D90" i="3"/>
  <c r="D74" i="3"/>
  <c r="D58" i="3"/>
  <c r="D42" i="3"/>
  <c r="D26" i="3"/>
  <c r="D10" i="3"/>
  <c r="D245" i="3"/>
  <c r="D229" i="3"/>
  <c r="D213" i="3"/>
  <c r="D197" i="3"/>
  <c r="D181" i="3"/>
  <c r="D165" i="3"/>
  <c r="D149" i="3"/>
  <c r="D133" i="3"/>
  <c r="D117" i="3"/>
  <c r="D101" i="3"/>
  <c r="D85" i="3"/>
  <c r="D69" i="3"/>
  <c r="D53" i="3"/>
  <c r="D37" i="3"/>
  <c r="D21" i="3"/>
  <c r="D5" i="3"/>
  <c r="D328" i="3"/>
  <c r="D312" i="3"/>
  <c r="D296" i="3"/>
  <c r="D280" i="3"/>
  <c r="D264" i="3"/>
  <c r="D248" i="3"/>
  <c r="D232" i="3"/>
  <c r="D216" i="3"/>
  <c r="D200" i="3"/>
  <c r="D184" i="3"/>
  <c r="D168" i="3"/>
  <c r="D152" i="3"/>
  <c r="D136" i="3"/>
  <c r="D120" i="3"/>
  <c r="D104" i="3"/>
  <c r="D88" i="3"/>
  <c r="D72" i="3"/>
  <c r="D56" i="3"/>
  <c r="D40" i="3"/>
  <c r="D24" i="3"/>
  <c r="D8" i="3"/>
  <c r="D267" i="3"/>
  <c r="D251" i="3"/>
  <c r="D235" i="3"/>
  <c r="D219" i="3"/>
  <c r="D203" i="3"/>
  <c r="D187" i="3"/>
  <c r="D171" i="3"/>
  <c r="D155" i="3"/>
  <c r="D139" i="3"/>
  <c r="D123" i="3"/>
  <c r="D107" i="3"/>
  <c r="D91" i="3"/>
  <c r="D75" i="3"/>
  <c r="D59" i="3"/>
  <c r="D43" i="3"/>
  <c r="D27" i="3"/>
  <c r="D11" i="3"/>
  <c r="D285" i="3"/>
  <c r="D317" i="3"/>
  <c r="D346" i="3"/>
  <c r="D362" i="3"/>
  <c r="D378" i="3"/>
  <c r="D394" i="3"/>
  <c r="D287" i="3"/>
  <c r="D319" i="3"/>
  <c r="D347" i="3"/>
  <c r="D363" i="3"/>
  <c r="D379" i="3"/>
  <c r="D395" i="3"/>
  <c r="D289" i="3"/>
  <c r="D321" i="3"/>
  <c r="D348" i="3"/>
  <c r="D364" i="3"/>
  <c r="D380" i="3"/>
  <c r="D396" i="3"/>
  <c r="D261" i="3"/>
  <c r="D161" i="3"/>
  <c r="D145" i="3"/>
  <c r="D129" i="3"/>
  <c r="D113" i="3"/>
  <c r="D97" i="3"/>
  <c r="D81" i="3"/>
  <c r="D65" i="3"/>
  <c r="D49" i="3"/>
  <c r="D33" i="3"/>
  <c r="D17" i="3"/>
  <c r="D340" i="3"/>
  <c r="D324" i="3"/>
  <c r="D308" i="3"/>
  <c r="D292" i="3"/>
  <c r="D276" i="3"/>
  <c r="D260" i="3"/>
  <c r="D244" i="3"/>
  <c r="D228" i="3"/>
  <c r="D212" i="3"/>
  <c r="D196" i="3"/>
  <c r="D180" i="3"/>
  <c r="D164" i="3"/>
  <c r="D148" i="3"/>
  <c r="D132" i="3"/>
  <c r="D116" i="3"/>
  <c r="D100" i="3"/>
  <c r="D84" i="3"/>
  <c r="D68" i="3"/>
  <c r="D52" i="3"/>
  <c r="D36" i="3"/>
  <c r="D20" i="3"/>
  <c r="D4" i="3"/>
  <c r="D263" i="3"/>
  <c r="D247" i="3"/>
  <c r="D231" i="3"/>
  <c r="D215" i="3"/>
  <c r="D199" i="3"/>
  <c r="D183" i="3"/>
  <c r="D167" i="3"/>
  <c r="D151" i="3"/>
  <c r="D135" i="3"/>
  <c r="D119" i="3"/>
  <c r="D103" i="3"/>
  <c r="D87" i="3"/>
  <c r="D71" i="3"/>
  <c r="D55" i="3"/>
  <c r="D39" i="3"/>
  <c r="D23" i="3"/>
  <c r="D7" i="3"/>
  <c r="D293" i="3"/>
  <c r="D325" i="3"/>
  <c r="D350" i="3"/>
  <c r="D366" i="3"/>
  <c r="D382" i="3"/>
  <c r="D398" i="3"/>
  <c r="D295" i="3"/>
  <c r="D327" i="3"/>
  <c r="D351" i="3"/>
  <c r="D367" i="3"/>
  <c r="D383" i="3"/>
  <c r="D399" i="3"/>
  <c r="D297" i="3"/>
  <c r="D329" i="3"/>
  <c r="D352" i="3"/>
  <c r="D368" i="3"/>
  <c r="D384" i="3"/>
  <c r="D400" i="3"/>
  <c r="D162" i="3"/>
  <c r="D146" i="3"/>
  <c r="D130" i="3"/>
  <c r="D114" i="3"/>
  <c r="D98" i="3"/>
  <c r="D82" i="3"/>
  <c r="D66" i="3"/>
  <c r="D50" i="3"/>
  <c r="D34" i="3"/>
  <c r="D18" i="3"/>
  <c r="D253" i="3"/>
  <c r="D237" i="3"/>
  <c r="D221" i="3"/>
  <c r="D205" i="3"/>
  <c r="D189" i="3"/>
  <c r="D173" i="3"/>
  <c r="D157" i="3"/>
  <c r="D141" i="3"/>
  <c r="D125" i="3"/>
  <c r="D109" i="3"/>
  <c r="D93" i="3"/>
  <c r="D77" i="3"/>
  <c r="D61" i="3"/>
  <c r="D45" i="3"/>
  <c r="D29" i="3"/>
  <c r="D13" i="3"/>
  <c r="D336" i="3"/>
  <c r="D320" i="3"/>
  <c r="D304" i="3"/>
  <c r="D288" i="3"/>
  <c r="D272" i="3"/>
  <c r="D256" i="3"/>
  <c r="D240" i="3"/>
  <c r="D224" i="3"/>
  <c r="D208" i="3"/>
  <c r="D192" i="3"/>
  <c r="D176" i="3"/>
  <c r="D160" i="3"/>
  <c r="D144" i="3"/>
  <c r="D128" i="3"/>
  <c r="D112" i="3"/>
  <c r="D96" i="3"/>
  <c r="D80" i="3"/>
  <c r="D64" i="3"/>
  <c r="D48" i="3"/>
  <c r="D32" i="3"/>
  <c r="D16" i="3"/>
  <c r="D275" i="3"/>
  <c r="D259" i="3"/>
  <c r="D243" i="3"/>
  <c r="D227" i="3"/>
  <c r="D211" i="3"/>
  <c r="D195" i="3"/>
  <c r="D179" i="3"/>
  <c r="D163" i="3"/>
  <c r="D147" i="3"/>
  <c r="D131" i="3"/>
  <c r="D115" i="3"/>
  <c r="D99" i="3"/>
  <c r="D83" i="3"/>
  <c r="D67" i="3"/>
  <c r="D51" i="3"/>
  <c r="D35" i="3"/>
  <c r="D19" i="3"/>
  <c r="D3" i="3"/>
  <c r="D301" i="3"/>
  <c r="D333" i="3"/>
  <c r="D354" i="3"/>
  <c r="D370" i="3"/>
  <c r="D386" i="3"/>
  <c r="D265" i="3"/>
  <c r="D303" i="3"/>
  <c r="D335" i="3"/>
  <c r="D355" i="3"/>
  <c r="D371" i="3"/>
  <c r="D387" i="3"/>
  <c r="D269" i="3"/>
  <c r="D305" i="3"/>
  <c r="D337" i="3"/>
  <c r="D356" i="3"/>
  <c r="D372" i="3"/>
  <c r="D388" i="3"/>
  <c r="D2" i="3"/>
  <c r="C291" i="3"/>
  <c r="C323" i="3"/>
  <c r="C349" i="3"/>
  <c r="C365" i="3"/>
  <c r="C381" i="3"/>
  <c r="C397" i="3"/>
  <c r="C334" i="3"/>
  <c r="C318" i="3"/>
  <c r="C302" i="3"/>
  <c r="C286" i="3"/>
  <c r="C270" i="3"/>
  <c r="C254" i="3"/>
  <c r="C238" i="3"/>
  <c r="C222" i="3"/>
  <c r="C206" i="3"/>
  <c r="C190" i="3"/>
  <c r="C174" i="3"/>
  <c r="C158" i="3"/>
  <c r="C142" i="3"/>
  <c r="C126" i="3"/>
  <c r="C110" i="3"/>
  <c r="C94" i="3"/>
  <c r="C78" i="3"/>
  <c r="C62" i="3"/>
  <c r="C46" i="3"/>
  <c r="C30" i="3"/>
  <c r="C14" i="3"/>
  <c r="C249" i="3"/>
  <c r="C233" i="3"/>
  <c r="C217" i="3"/>
  <c r="C201" i="3"/>
  <c r="C185" i="3"/>
  <c r="C169" i="3"/>
  <c r="C153" i="3"/>
  <c r="C257" i="3"/>
  <c r="C299" i="3"/>
  <c r="C331" i="3"/>
  <c r="C353" i="3"/>
  <c r="C369" i="3"/>
  <c r="C385" i="3"/>
  <c r="C401" i="3"/>
  <c r="C330" i="3"/>
  <c r="C314" i="3"/>
  <c r="C298" i="3"/>
  <c r="C282" i="3"/>
  <c r="C266" i="3"/>
  <c r="C250" i="3"/>
  <c r="C234" i="3"/>
  <c r="C218" i="3"/>
  <c r="C202" i="3"/>
  <c r="C273" i="3"/>
  <c r="C307" i="3"/>
  <c r="C339" i="3"/>
  <c r="C357" i="3"/>
  <c r="C373" i="3"/>
  <c r="C389" i="3"/>
  <c r="C342" i="3"/>
  <c r="C326" i="3"/>
  <c r="C310" i="3"/>
  <c r="C294" i="3"/>
  <c r="C278" i="3"/>
  <c r="C262" i="3"/>
  <c r="C246" i="3"/>
  <c r="C230" i="3"/>
  <c r="C214" i="3"/>
  <c r="C198" i="3"/>
  <c r="C182" i="3"/>
  <c r="C166" i="3"/>
  <c r="C150" i="3"/>
  <c r="C134" i="3"/>
  <c r="C118" i="3"/>
  <c r="C102" i="3"/>
  <c r="C86" i="3"/>
  <c r="C283" i="3"/>
  <c r="C315" i="3"/>
  <c r="C345" i="3"/>
  <c r="C361" i="3"/>
  <c r="C377" i="3"/>
  <c r="C393" i="3"/>
  <c r="C338" i="3"/>
  <c r="C322" i="3"/>
  <c r="C306" i="3"/>
  <c r="C290" i="3"/>
  <c r="C274" i="3"/>
  <c r="C258" i="3"/>
  <c r="C242" i="3"/>
  <c r="C226" i="3"/>
  <c r="C210" i="3"/>
  <c r="C194" i="3"/>
  <c r="C178" i="3"/>
  <c r="C137" i="3"/>
  <c r="C121" i="3"/>
  <c r="C105" i="3"/>
  <c r="C89" i="3"/>
  <c r="C73" i="3"/>
  <c r="C57" i="3"/>
  <c r="C41" i="3"/>
  <c r="C25" i="3"/>
  <c r="C9" i="3"/>
  <c r="C332" i="3"/>
  <c r="C316" i="3"/>
  <c r="C300" i="3"/>
  <c r="C284" i="3"/>
  <c r="C268" i="3"/>
  <c r="C252" i="3"/>
  <c r="C236" i="3"/>
  <c r="C220" i="3"/>
  <c r="C204" i="3"/>
  <c r="C188" i="3"/>
  <c r="C172" i="3"/>
  <c r="C156" i="3"/>
  <c r="C140" i="3"/>
  <c r="C124" i="3"/>
  <c r="C108" i="3"/>
  <c r="C92" i="3"/>
  <c r="C76" i="3"/>
  <c r="C60" i="3"/>
  <c r="C44" i="3"/>
  <c r="C28" i="3"/>
  <c r="C12" i="3"/>
  <c r="C271" i="3"/>
  <c r="C255" i="3"/>
  <c r="C239" i="3"/>
  <c r="C223" i="3"/>
  <c r="C207" i="3"/>
  <c r="C191" i="3"/>
  <c r="C175" i="3"/>
  <c r="C159" i="3"/>
  <c r="C143" i="3"/>
  <c r="C127" i="3"/>
  <c r="C111" i="3"/>
  <c r="C95" i="3"/>
  <c r="C79" i="3"/>
  <c r="C63" i="3"/>
  <c r="C47" i="3"/>
  <c r="C31" i="3"/>
  <c r="C15" i="3"/>
  <c r="C277" i="3"/>
  <c r="C309" i="3"/>
  <c r="C341" i="3"/>
  <c r="C358" i="3"/>
  <c r="C374" i="3"/>
  <c r="C390" i="3"/>
  <c r="C279" i="3"/>
  <c r="C311" i="3"/>
  <c r="C343" i="3"/>
  <c r="C359" i="3"/>
  <c r="C375" i="3"/>
  <c r="C391" i="3"/>
  <c r="C281" i="3"/>
  <c r="C313" i="3"/>
  <c r="C344" i="3"/>
  <c r="C360" i="3"/>
  <c r="C376" i="3"/>
  <c r="C392" i="3"/>
  <c r="C186" i="3"/>
  <c r="C170" i="3"/>
  <c r="C154" i="3"/>
  <c r="C138" i="3"/>
  <c r="C122" i="3"/>
  <c r="C106" i="3"/>
  <c r="C90" i="3"/>
  <c r="C74" i="3"/>
  <c r="C58" i="3"/>
  <c r="C42" i="3"/>
  <c r="C26" i="3"/>
  <c r="C10" i="3"/>
  <c r="C245" i="3"/>
  <c r="C229" i="3"/>
  <c r="C213" i="3"/>
  <c r="C197" i="3"/>
  <c r="C181" i="3"/>
  <c r="C165" i="3"/>
  <c r="C149" i="3"/>
  <c r="C133" i="3"/>
  <c r="C117" i="3"/>
  <c r="C101" i="3"/>
  <c r="C85" i="3"/>
  <c r="C69" i="3"/>
  <c r="C53" i="3"/>
  <c r="C37" i="3"/>
  <c r="C21" i="3"/>
  <c r="C5" i="3"/>
  <c r="C328" i="3"/>
  <c r="C312" i="3"/>
  <c r="C296" i="3"/>
  <c r="C280" i="3"/>
  <c r="C264" i="3"/>
  <c r="C248" i="3"/>
  <c r="C232" i="3"/>
  <c r="C216" i="3"/>
  <c r="C200" i="3"/>
  <c r="C184" i="3"/>
  <c r="C168" i="3"/>
  <c r="C152" i="3"/>
  <c r="C136" i="3"/>
  <c r="C120" i="3"/>
  <c r="C104" i="3"/>
  <c r="C88" i="3"/>
  <c r="C72" i="3"/>
  <c r="C56" i="3"/>
  <c r="C40" i="3"/>
  <c r="C24" i="3"/>
  <c r="C8" i="3"/>
  <c r="C267" i="3"/>
  <c r="C251" i="3"/>
  <c r="C235" i="3"/>
  <c r="C219" i="3"/>
  <c r="C203" i="3"/>
  <c r="C187" i="3"/>
  <c r="C171" i="3"/>
  <c r="C155" i="3"/>
  <c r="C139" i="3"/>
  <c r="C123" i="3"/>
  <c r="C107" i="3"/>
  <c r="C91" i="3"/>
  <c r="C75" i="3"/>
  <c r="C59" i="3"/>
  <c r="C43" i="3"/>
  <c r="C27" i="3"/>
  <c r="C11" i="3"/>
  <c r="C285" i="3"/>
  <c r="C317" i="3"/>
  <c r="C346" i="3"/>
  <c r="C362" i="3"/>
  <c r="C378" i="3"/>
  <c r="C394" i="3"/>
  <c r="C287" i="3"/>
  <c r="C319" i="3"/>
  <c r="C347" i="3"/>
  <c r="C363" i="3"/>
  <c r="C379" i="3"/>
  <c r="C395" i="3"/>
  <c r="C289" i="3"/>
  <c r="C321" i="3"/>
  <c r="C348" i="3"/>
  <c r="C364" i="3"/>
  <c r="C380" i="3"/>
  <c r="C396" i="3"/>
  <c r="C261" i="3"/>
  <c r="C70" i="3"/>
  <c r="C54" i="3"/>
  <c r="C38" i="3"/>
  <c r="C22" i="3"/>
  <c r="C6" i="3"/>
  <c r="C241" i="3"/>
  <c r="C225" i="3"/>
  <c r="C209" i="3"/>
  <c r="C193" i="3"/>
  <c r="C177" i="3"/>
  <c r="C161" i="3"/>
  <c r="C145" i="3"/>
  <c r="C129" i="3"/>
  <c r="C113" i="3"/>
  <c r="C97" i="3"/>
  <c r="C81" i="3"/>
  <c r="C65" i="3"/>
  <c r="C49" i="3"/>
  <c r="C33" i="3"/>
  <c r="C17" i="3"/>
  <c r="C340" i="3"/>
  <c r="C324" i="3"/>
  <c r="C308" i="3"/>
  <c r="C292" i="3"/>
  <c r="C276" i="3"/>
  <c r="C260" i="3"/>
  <c r="C244" i="3"/>
  <c r="C228" i="3"/>
  <c r="C212" i="3"/>
  <c r="C196" i="3"/>
  <c r="C180" i="3"/>
  <c r="C164" i="3"/>
  <c r="C148" i="3"/>
  <c r="C132" i="3"/>
  <c r="C116" i="3"/>
  <c r="C100" i="3"/>
  <c r="C84" i="3"/>
  <c r="C68" i="3"/>
  <c r="C52" i="3"/>
  <c r="C36" i="3"/>
  <c r="C20" i="3"/>
  <c r="C4" i="3"/>
  <c r="C263" i="3"/>
  <c r="C247" i="3"/>
  <c r="C231" i="3"/>
  <c r="C215" i="3"/>
  <c r="C199" i="3"/>
  <c r="C183" i="3"/>
  <c r="C167" i="3"/>
  <c r="C151" i="3"/>
  <c r="C135" i="3"/>
  <c r="C119" i="3"/>
  <c r="C103" i="3"/>
  <c r="C87" i="3"/>
  <c r="C71" i="3"/>
  <c r="C55" i="3"/>
  <c r="C39" i="3"/>
  <c r="C23" i="3"/>
  <c r="C7" i="3"/>
  <c r="C293" i="3"/>
  <c r="C325" i="3"/>
  <c r="C350" i="3"/>
  <c r="C366" i="3"/>
  <c r="C382" i="3"/>
  <c r="C398" i="3"/>
  <c r="C295" i="3"/>
  <c r="C327" i="3"/>
  <c r="C351" i="3"/>
  <c r="C367" i="3"/>
  <c r="C383" i="3"/>
  <c r="C399" i="3"/>
  <c r="C297" i="3"/>
  <c r="C329" i="3"/>
  <c r="C352" i="3"/>
  <c r="C368" i="3"/>
  <c r="C384" i="3"/>
  <c r="C400" i="3"/>
  <c r="C162" i="3"/>
  <c r="C146" i="3"/>
  <c r="C130" i="3"/>
  <c r="C114" i="3"/>
  <c r="C98" i="3"/>
  <c r="C82" i="3"/>
  <c r="C66" i="3"/>
  <c r="C50" i="3"/>
  <c r="C34" i="3"/>
  <c r="C18" i="3"/>
  <c r="C253" i="3"/>
  <c r="C237" i="3"/>
  <c r="C221" i="3"/>
  <c r="C205" i="3"/>
  <c r="C189" i="3"/>
  <c r="C173" i="3"/>
  <c r="C157" i="3"/>
  <c r="C141" i="3"/>
  <c r="C125" i="3"/>
  <c r="C109" i="3"/>
  <c r="C93" i="3"/>
  <c r="C77" i="3"/>
  <c r="C61" i="3"/>
  <c r="C45" i="3"/>
  <c r="C29" i="3"/>
  <c r="C13" i="3"/>
  <c r="C336" i="3"/>
  <c r="C320" i="3"/>
  <c r="C304" i="3"/>
  <c r="C288" i="3"/>
  <c r="C272" i="3"/>
  <c r="C256" i="3"/>
  <c r="C240" i="3"/>
  <c r="C224" i="3"/>
  <c r="C208" i="3"/>
  <c r="C192" i="3"/>
  <c r="C176" i="3"/>
  <c r="C160" i="3"/>
  <c r="C144" i="3"/>
  <c r="C128" i="3"/>
  <c r="C112" i="3"/>
  <c r="C96" i="3"/>
  <c r="C80" i="3"/>
  <c r="C64" i="3"/>
  <c r="C48" i="3"/>
  <c r="C32" i="3"/>
  <c r="C16" i="3"/>
  <c r="C275" i="3"/>
  <c r="C259" i="3"/>
  <c r="C243" i="3"/>
  <c r="C227" i="3"/>
  <c r="C211" i="3"/>
  <c r="C195" i="3"/>
  <c r="C179" i="3"/>
  <c r="C163" i="3"/>
  <c r="C147" i="3"/>
  <c r="C131" i="3"/>
  <c r="C115" i="3"/>
  <c r="C99" i="3"/>
  <c r="C83" i="3"/>
  <c r="C67" i="3"/>
  <c r="C51" i="3"/>
  <c r="C35" i="3"/>
  <c r="C19" i="3"/>
  <c r="C3" i="3"/>
  <c r="C301" i="3"/>
  <c r="C333" i="3"/>
  <c r="C354" i="3"/>
  <c r="C370" i="3"/>
  <c r="C386" i="3"/>
  <c r="C265" i="3"/>
  <c r="C303" i="3"/>
  <c r="C335" i="3"/>
  <c r="C355" i="3"/>
  <c r="C371" i="3"/>
  <c r="C387" i="3"/>
  <c r="C269" i="3"/>
  <c r="C305" i="3"/>
  <c r="C337" i="3"/>
  <c r="C356" i="3"/>
  <c r="C372" i="3"/>
  <c r="C388" i="3"/>
  <c r="C2" i="3"/>
  <c r="C190" i="2"/>
  <c r="C174" i="2"/>
  <c r="C158" i="2"/>
  <c r="C142" i="2"/>
  <c r="C126" i="2"/>
  <c r="C110" i="2"/>
  <c r="C94" i="2"/>
  <c r="C78" i="2"/>
  <c r="C62" i="2"/>
  <c r="C46" i="2"/>
  <c r="C30" i="2"/>
  <c r="C14" i="2"/>
  <c r="C193" i="2"/>
  <c r="C177" i="2"/>
  <c r="C161" i="2"/>
  <c r="C145" i="2"/>
  <c r="C129" i="2"/>
  <c r="C113" i="2"/>
  <c r="C97" i="2"/>
  <c r="C81" i="2"/>
  <c r="C65" i="2"/>
  <c r="C49" i="2"/>
  <c r="C33" i="2"/>
  <c r="C17" i="2"/>
  <c r="C196" i="2"/>
  <c r="C180" i="2"/>
  <c r="C164" i="2"/>
  <c r="C148" i="2"/>
  <c r="C132" i="2"/>
  <c r="C116" i="2"/>
  <c r="C100" i="2"/>
  <c r="C84" i="2"/>
  <c r="C68" i="2"/>
  <c r="C52" i="2"/>
  <c r="C36" i="2"/>
  <c r="C20" i="2"/>
  <c r="C4" i="2"/>
  <c r="C191" i="2"/>
  <c r="C175" i="2"/>
  <c r="C159" i="2"/>
  <c r="C143" i="2"/>
  <c r="C127" i="2"/>
  <c r="C111" i="2"/>
  <c r="C95" i="2"/>
  <c r="C79" i="2"/>
  <c r="C63" i="2"/>
  <c r="C47" i="2"/>
  <c r="C31" i="2"/>
  <c r="C15" i="2"/>
  <c r="C186" i="2"/>
  <c r="C170" i="2"/>
  <c r="C154" i="2"/>
  <c r="C138" i="2"/>
  <c r="C122" i="2"/>
  <c r="C106" i="2"/>
  <c r="C90" i="2"/>
  <c r="C74" i="2"/>
  <c r="C58" i="2"/>
  <c r="C42" i="2"/>
  <c r="C26" i="2"/>
  <c r="C10" i="2"/>
  <c r="C189" i="2"/>
  <c r="C173" i="2"/>
  <c r="C157" i="2"/>
  <c r="C141" i="2"/>
  <c r="C125" i="2"/>
  <c r="C109" i="2"/>
  <c r="C93" i="2"/>
  <c r="C77" i="2"/>
  <c r="C61" i="2"/>
  <c r="C45" i="2"/>
  <c r="C29" i="2"/>
  <c r="C13" i="2"/>
  <c r="C192" i="2"/>
  <c r="C176" i="2"/>
  <c r="C160" i="2"/>
  <c r="C144" i="2"/>
  <c r="C128" i="2"/>
  <c r="C112" i="2"/>
  <c r="C96" i="2"/>
  <c r="C80" i="2"/>
  <c r="C64" i="2"/>
  <c r="C48" i="2"/>
  <c r="C32" i="2"/>
  <c r="C16" i="2"/>
  <c r="C187" i="2"/>
  <c r="C171" i="2"/>
  <c r="C155" i="2"/>
  <c r="C139" i="2"/>
  <c r="C123" i="2"/>
  <c r="C107" i="2"/>
  <c r="C91" i="2"/>
  <c r="C75" i="2"/>
  <c r="C59" i="2"/>
  <c r="C43" i="2"/>
  <c r="C27" i="2"/>
  <c r="C11" i="2"/>
  <c r="C198" i="2"/>
  <c r="C182" i="2"/>
  <c r="C166" i="2"/>
  <c r="C150" i="2"/>
  <c r="C134" i="2"/>
  <c r="C118" i="2"/>
  <c r="C102" i="2"/>
  <c r="C86" i="2"/>
  <c r="C70" i="2"/>
  <c r="C54" i="2"/>
  <c r="C38" i="2"/>
  <c r="C22" i="2"/>
  <c r="C6" i="2"/>
  <c r="C201" i="2"/>
  <c r="C185" i="2"/>
  <c r="C169" i="2"/>
  <c r="C153" i="2"/>
  <c r="C137" i="2"/>
  <c r="C121" i="2"/>
  <c r="C105" i="2"/>
  <c r="C89" i="2"/>
  <c r="C73" i="2"/>
  <c r="C57" i="2"/>
  <c r="C41" i="2"/>
  <c r="C25" i="2"/>
  <c r="C9" i="2"/>
  <c r="C188" i="2"/>
  <c r="C172" i="2"/>
  <c r="C156" i="2"/>
  <c r="C140" i="2"/>
  <c r="C124" i="2"/>
  <c r="C108" i="2"/>
  <c r="C92" i="2"/>
  <c r="C76" i="2"/>
  <c r="C60" i="2"/>
  <c r="C44" i="2"/>
  <c r="C28" i="2"/>
  <c r="C12" i="2"/>
  <c r="C199" i="2"/>
  <c r="C183" i="2"/>
  <c r="C167" i="2"/>
  <c r="C151" i="2"/>
  <c r="C135" i="2"/>
  <c r="C119" i="2"/>
  <c r="C103" i="2"/>
  <c r="C87" i="2"/>
  <c r="C71" i="2"/>
  <c r="C55" i="2"/>
  <c r="C39" i="2"/>
  <c r="C23" i="2"/>
  <c r="C7" i="2"/>
  <c r="C194" i="2"/>
  <c r="C178" i="2"/>
  <c r="C162" i="2"/>
  <c r="C146" i="2"/>
  <c r="C130" i="2"/>
  <c r="C114" i="2"/>
  <c r="C98" i="2"/>
  <c r="C82" i="2"/>
  <c r="C66" i="2"/>
  <c r="C50" i="2"/>
  <c r="C34" i="2"/>
  <c r="C18" i="2"/>
  <c r="C197" i="2"/>
  <c r="C181" i="2"/>
  <c r="C165" i="2"/>
  <c r="C149" i="2"/>
  <c r="C133" i="2"/>
  <c r="C117" i="2"/>
  <c r="C101" i="2"/>
  <c r="C85" i="2"/>
  <c r="C69" i="2"/>
  <c r="C53" i="2"/>
  <c r="C37" i="2"/>
  <c r="C21" i="2"/>
  <c r="C5" i="2"/>
  <c r="C200" i="2"/>
  <c r="C184" i="2"/>
  <c r="C168" i="2"/>
  <c r="C152" i="2"/>
  <c r="C136" i="2"/>
  <c r="C120" i="2"/>
  <c r="C104" i="2"/>
  <c r="C88" i="2"/>
  <c r="C72" i="2"/>
  <c r="C56" i="2"/>
  <c r="C40" i="2"/>
  <c r="C24" i="2"/>
  <c r="C8" i="2"/>
  <c r="C195" i="2"/>
  <c r="C179" i="2"/>
  <c r="C163" i="2"/>
  <c r="C147" i="2"/>
  <c r="C131" i="2"/>
  <c r="C115" i="2"/>
  <c r="C99" i="2"/>
  <c r="C83" i="2"/>
  <c r="C67" i="2"/>
  <c r="C51" i="2"/>
  <c r="C35" i="2"/>
  <c r="C19" i="2"/>
  <c r="C3" i="2"/>
  <c r="C2" i="2"/>
  <c r="U7" i="3" a="1"/>
  <c r="U7" i="3" s="1"/>
  <c r="AC3" i="3" s="1"/>
  <c r="AC21" i="3" s="1"/>
  <c r="AI2" i="3"/>
  <c r="AB2" i="3"/>
  <c r="AM2" i="3"/>
  <c r="X2" i="3"/>
  <c r="T7" i="3" a="1"/>
  <c r="T7" i="3" s="1"/>
  <c r="AA3" i="3" s="1"/>
  <c r="AA4" i="3" s="1"/>
  <c r="U3" i="3" a="1"/>
  <c r="U3" i="3" s="1"/>
  <c r="AE17" i="3"/>
  <c r="AE18" i="3" s="1"/>
  <c r="AE8" i="3"/>
  <c r="Y17" i="3"/>
  <c r="Y18" i="3" s="1"/>
  <c r="Y8" i="3"/>
  <c r="AC17" i="3"/>
  <c r="AC18" i="3" s="1"/>
  <c r="AC8" i="3"/>
  <c r="Y19" i="3"/>
  <c r="Y20" i="3" s="1"/>
  <c r="Y6" i="3"/>
  <c r="AC19" i="3"/>
  <c r="AC20" i="3" s="1"/>
  <c r="AC6" i="3"/>
  <c r="AA17" i="3"/>
  <c r="AA18" i="3" s="1"/>
  <c r="AA8" i="3"/>
  <c r="AA19" i="3"/>
  <c r="AA20" i="3" s="1"/>
  <c r="AA6" i="3"/>
  <c r="AE15" i="3"/>
  <c r="AE16" i="3" s="1"/>
  <c r="AE10" i="3"/>
  <c r="T3" i="3" a="1"/>
  <c r="T3" i="3" s="1"/>
  <c r="AE5" i="3"/>
  <c r="Y9" i="3"/>
  <c r="S7" i="3" a="1"/>
  <c r="S7" i="3" s="1"/>
  <c r="Y3" i="3" s="1"/>
  <c r="V3" i="3" a="1"/>
  <c r="V3" i="3" s="1"/>
  <c r="AA9" i="3"/>
  <c r="AC9" i="3"/>
  <c r="AD57" i="2"/>
  <c r="AF57" i="2" s="1"/>
  <c r="AD45" i="2"/>
  <c r="AF45" i="2" s="1"/>
  <c r="AB5" i="2"/>
  <c r="AD5" i="2" s="1"/>
  <c r="AF5" i="2" s="1"/>
  <c r="AB6" i="2"/>
  <c r="AD6" i="2" s="1"/>
  <c r="AF6" i="2" s="1"/>
  <c r="AB7" i="2"/>
  <c r="AD7" i="2" s="1"/>
  <c r="AF7" i="2" s="1"/>
  <c r="AB8" i="2"/>
  <c r="AD8" i="2" s="1"/>
  <c r="AF8" i="2" s="1"/>
  <c r="AB9" i="2"/>
  <c r="AD9" i="2" s="1"/>
  <c r="AF9" i="2" s="1"/>
  <c r="AB10" i="2"/>
  <c r="AD10" i="2" s="1"/>
  <c r="AF10" i="2" s="1"/>
  <c r="AB11" i="2"/>
  <c r="AD11" i="2" s="1"/>
  <c r="AF11" i="2" s="1"/>
  <c r="AB12" i="2"/>
  <c r="AD12" i="2" s="1"/>
  <c r="AF12" i="2" s="1"/>
  <c r="AB13" i="2"/>
  <c r="AD13" i="2" s="1"/>
  <c r="AF13" i="2" s="1"/>
  <c r="AB14" i="2"/>
  <c r="AD14" i="2" s="1"/>
  <c r="AF14" i="2" s="1"/>
  <c r="AB15" i="2"/>
  <c r="AD15" i="2" s="1"/>
  <c r="AF15" i="2" s="1"/>
  <c r="AB16" i="2"/>
  <c r="AD16" i="2" s="1"/>
  <c r="AF16" i="2" s="1"/>
  <c r="AB17" i="2"/>
  <c r="AD17" i="2" s="1"/>
  <c r="AF17" i="2" s="1"/>
  <c r="AB18" i="2"/>
  <c r="AD18" i="2" s="1"/>
  <c r="AF18" i="2" s="1"/>
  <c r="AB19" i="2"/>
  <c r="AD19" i="2" s="1"/>
  <c r="AF19" i="2" s="1"/>
  <c r="AB20" i="2"/>
  <c r="AD20" i="2" s="1"/>
  <c r="AF20" i="2" s="1"/>
  <c r="AB21" i="2"/>
  <c r="AD21" i="2" s="1"/>
  <c r="AF21" i="2" s="1"/>
  <c r="AB22" i="2"/>
  <c r="AD22" i="2" s="1"/>
  <c r="AF22" i="2" s="1"/>
  <c r="AB23" i="2"/>
  <c r="AD23" i="2" s="1"/>
  <c r="AF23" i="2" s="1"/>
  <c r="AB24" i="2"/>
  <c r="AD24" i="2" s="1"/>
  <c r="AF24" i="2" s="1"/>
  <c r="AB25" i="2"/>
  <c r="AD25" i="2" s="1"/>
  <c r="AF25" i="2" s="1"/>
  <c r="AB26" i="2"/>
  <c r="AD26" i="2" s="1"/>
  <c r="AF26" i="2" s="1"/>
  <c r="AB27" i="2"/>
  <c r="AD27" i="2" s="1"/>
  <c r="AF27" i="2" s="1"/>
  <c r="AB28" i="2"/>
  <c r="AD28" i="2" s="1"/>
  <c r="AF28" i="2" s="1"/>
  <c r="AB29" i="2"/>
  <c r="AD29" i="2" s="1"/>
  <c r="AF29" i="2" s="1"/>
  <c r="AB30" i="2"/>
  <c r="AD30" i="2" s="1"/>
  <c r="AF30" i="2" s="1"/>
  <c r="AB31" i="2"/>
  <c r="AD31" i="2" s="1"/>
  <c r="AF31" i="2" s="1"/>
  <c r="AB32" i="2"/>
  <c r="AD32" i="2" s="1"/>
  <c r="AF32" i="2" s="1"/>
  <c r="AB33" i="2"/>
  <c r="AD33" i="2" s="1"/>
  <c r="AF33" i="2" s="1"/>
  <c r="AB34" i="2"/>
  <c r="AD34" i="2" s="1"/>
  <c r="AF34" i="2" s="1"/>
  <c r="AB35" i="2"/>
  <c r="AD35" i="2" s="1"/>
  <c r="AF35" i="2" s="1"/>
  <c r="AB36" i="2"/>
  <c r="AD36" i="2" s="1"/>
  <c r="AF36" i="2" s="1"/>
  <c r="AB37" i="2"/>
  <c r="AD37" i="2" s="1"/>
  <c r="AF37" i="2" s="1"/>
  <c r="AB38" i="2"/>
  <c r="AD38" i="2" s="1"/>
  <c r="AF38" i="2" s="1"/>
  <c r="AB39" i="2"/>
  <c r="AD39" i="2" s="1"/>
  <c r="AF39" i="2" s="1"/>
  <c r="AB40" i="2"/>
  <c r="AD40" i="2" s="1"/>
  <c r="AF40" i="2" s="1"/>
  <c r="AB41" i="2"/>
  <c r="AD41" i="2" s="1"/>
  <c r="AF41" i="2" s="1"/>
  <c r="AB42" i="2"/>
  <c r="AD42" i="2" s="1"/>
  <c r="AF42" i="2" s="1"/>
  <c r="AB43" i="2"/>
  <c r="AD43" i="2" s="1"/>
  <c r="AF43" i="2" s="1"/>
  <c r="AB44" i="2"/>
  <c r="AD44" i="2" s="1"/>
  <c r="AF44" i="2" s="1"/>
  <c r="AB45" i="2"/>
  <c r="AB46" i="2"/>
  <c r="AD46" i="2" s="1"/>
  <c r="AF46" i="2" s="1"/>
  <c r="AB47" i="2"/>
  <c r="AD47" i="2" s="1"/>
  <c r="AF47" i="2" s="1"/>
  <c r="AB48" i="2"/>
  <c r="AD48" i="2" s="1"/>
  <c r="AF48" i="2" s="1"/>
  <c r="AB49" i="2"/>
  <c r="AD49" i="2" s="1"/>
  <c r="AF49" i="2" s="1"/>
  <c r="AB50" i="2"/>
  <c r="AD50" i="2" s="1"/>
  <c r="AF50" i="2" s="1"/>
  <c r="AB51" i="2"/>
  <c r="AD51" i="2" s="1"/>
  <c r="AF51" i="2" s="1"/>
  <c r="AB52" i="2"/>
  <c r="AD52" i="2" s="1"/>
  <c r="AF52" i="2" s="1"/>
  <c r="AB53" i="2"/>
  <c r="AD53" i="2" s="1"/>
  <c r="AF53" i="2" s="1"/>
  <c r="AB54" i="2"/>
  <c r="AD54" i="2" s="1"/>
  <c r="AF54" i="2" s="1"/>
  <c r="AB55" i="2"/>
  <c r="AD55" i="2" s="1"/>
  <c r="AF55" i="2" s="1"/>
  <c r="AB56" i="2"/>
  <c r="AD56" i="2" s="1"/>
  <c r="AF56" i="2" s="1"/>
  <c r="AB57" i="2"/>
  <c r="AB58" i="2"/>
  <c r="AD58" i="2" s="1"/>
  <c r="AF58" i="2" s="1"/>
  <c r="AB59" i="2"/>
  <c r="AD59" i="2" s="1"/>
  <c r="AF59" i="2" s="1"/>
  <c r="AB60" i="2"/>
  <c r="AD60" i="2" s="1"/>
  <c r="AF60" i="2" s="1"/>
  <c r="AB61" i="2"/>
  <c r="AD61" i="2" s="1"/>
  <c r="AF61" i="2" s="1"/>
  <c r="AB62" i="2"/>
  <c r="AD62" i="2" s="1"/>
  <c r="AF62" i="2" s="1"/>
  <c r="AB63" i="2"/>
  <c r="AD63" i="2" s="1"/>
  <c r="AF63" i="2" s="1"/>
  <c r="AB64" i="2"/>
  <c r="AD64" i="2" s="1"/>
  <c r="AF64" i="2" s="1"/>
  <c r="AB65" i="2"/>
  <c r="AD65" i="2" s="1"/>
  <c r="AF65" i="2" s="1"/>
  <c r="AB66" i="2"/>
  <c r="AD66" i="2" s="1"/>
  <c r="AF66" i="2" s="1"/>
  <c r="AB67" i="2"/>
  <c r="AD67" i="2" s="1"/>
  <c r="AF67" i="2" s="1"/>
  <c r="AB68" i="2"/>
  <c r="AD68" i="2" s="1"/>
  <c r="AF68" i="2" s="1"/>
  <c r="AB69" i="2"/>
  <c r="AD69" i="2" s="1"/>
  <c r="AF69" i="2" s="1"/>
  <c r="AB70" i="2"/>
  <c r="AD70" i="2" s="1"/>
  <c r="AF70" i="2" s="1"/>
  <c r="AB71" i="2"/>
  <c r="AD71" i="2" s="1"/>
  <c r="AF71" i="2" s="1"/>
  <c r="AB72" i="2"/>
  <c r="AD72" i="2" s="1"/>
  <c r="AF72" i="2" s="1"/>
  <c r="AB73" i="2"/>
  <c r="AD73" i="2" s="1"/>
  <c r="AF73" i="2" s="1"/>
  <c r="AB74" i="2"/>
  <c r="AD74" i="2" s="1"/>
  <c r="AF74" i="2" s="1"/>
  <c r="AB75" i="2"/>
  <c r="AD75" i="2" s="1"/>
  <c r="AF75" i="2" s="1"/>
  <c r="AB76" i="2"/>
  <c r="AD76" i="2" s="1"/>
  <c r="AF76" i="2" s="1"/>
  <c r="AB77" i="2"/>
  <c r="AD77" i="2" s="1"/>
  <c r="AF77" i="2" s="1"/>
  <c r="AB78" i="2"/>
  <c r="AD78" i="2" s="1"/>
  <c r="AF78" i="2" s="1"/>
  <c r="AB79" i="2"/>
  <c r="AD79" i="2" s="1"/>
  <c r="AF79" i="2" s="1"/>
  <c r="AB80" i="2"/>
  <c r="AD80" i="2" s="1"/>
  <c r="AF80" i="2" s="1"/>
  <c r="AB81" i="2"/>
  <c r="AD81" i="2" s="1"/>
  <c r="AF81" i="2" s="1"/>
  <c r="AB82" i="2"/>
  <c r="AD82" i="2" s="1"/>
  <c r="AF82" i="2" s="1"/>
  <c r="AB83" i="2"/>
  <c r="AD83" i="2" s="1"/>
  <c r="AF83" i="2" s="1"/>
  <c r="AB84" i="2"/>
  <c r="AD84" i="2" s="1"/>
  <c r="AF84" i="2" s="1"/>
  <c r="AB85" i="2"/>
  <c r="AD85" i="2" s="1"/>
  <c r="AF85" i="2" s="1"/>
  <c r="AB86" i="2"/>
  <c r="AD86" i="2" s="1"/>
  <c r="AF86" i="2" s="1"/>
  <c r="AB87" i="2"/>
  <c r="AD87" i="2" s="1"/>
  <c r="AF87" i="2" s="1"/>
  <c r="AB88" i="2"/>
  <c r="AD88" i="2" s="1"/>
  <c r="AF88" i="2" s="1"/>
  <c r="AB89" i="2"/>
  <c r="AD89" i="2" s="1"/>
  <c r="AF89" i="2" s="1"/>
  <c r="AB90" i="2"/>
  <c r="AD90" i="2" s="1"/>
  <c r="AF90" i="2" s="1"/>
  <c r="AB91" i="2"/>
  <c r="AD91" i="2" s="1"/>
  <c r="AF91" i="2" s="1"/>
  <c r="AB92" i="2"/>
  <c r="AD92" i="2" s="1"/>
  <c r="AF92" i="2" s="1"/>
  <c r="AB93" i="2"/>
  <c r="AD93" i="2" s="1"/>
  <c r="AF93" i="2" s="1"/>
  <c r="AB94" i="2"/>
  <c r="AD94" i="2" s="1"/>
  <c r="AF94" i="2" s="1"/>
  <c r="AB95" i="2"/>
  <c r="AD95" i="2" s="1"/>
  <c r="AF95" i="2" s="1"/>
  <c r="AB96" i="2"/>
  <c r="AD96" i="2" s="1"/>
  <c r="AF96" i="2" s="1"/>
  <c r="AB97" i="2"/>
  <c r="AD97" i="2" s="1"/>
  <c r="AF97" i="2" s="1"/>
  <c r="AB98" i="2"/>
  <c r="AD98" i="2" s="1"/>
  <c r="AF98" i="2" s="1"/>
  <c r="AB99" i="2"/>
  <c r="AD99" i="2" s="1"/>
  <c r="AF99" i="2" s="1"/>
  <c r="AB100" i="2"/>
  <c r="AD100" i="2" s="1"/>
  <c r="AF100" i="2" s="1"/>
  <c r="AB101" i="2"/>
  <c r="AD101" i="2" s="1"/>
  <c r="AF101" i="2" s="1"/>
  <c r="AB102" i="2"/>
  <c r="AD102" i="2" s="1"/>
  <c r="AF102" i="2" s="1"/>
  <c r="AB103" i="2"/>
  <c r="AD103" i="2" s="1"/>
  <c r="AF103" i="2" s="1"/>
  <c r="AB104" i="2"/>
  <c r="AD104" i="2" s="1"/>
  <c r="AF104" i="2" s="1"/>
  <c r="AB105" i="2"/>
  <c r="AD105" i="2" s="1"/>
  <c r="AF105" i="2" s="1"/>
  <c r="AB106" i="2"/>
  <c r="AD106" i="2" s="1"/>
  <c r="AF106" i="2" s="1"/>
  <c r="AB107" i="2"/>
  <c r="AD107" i="2" s="1"/>
  <c r="AF107" i="2" s="1"/>
  <c r="AB108" i="2"/>
  <c r="AD108" i="2" s="1"/>
  <c r="AF108" i="2" s="1"/>
  <c r="AB109" i="2"/>
  <c r="AD109" i="2" s="1"/>
  <c r="AF109" i="2" s="1"/>
  <c r="AB110" i="2"/>
  <c r="AD110" i="2" s="1"/>
  <c r="AF110" i="2" s="1"/>
  <c r="AB111" i="2"/>
  <c r="AD111" i="2" s="1"/>
  <c r="AF111" i="2" s="1"/>
  <c r="AB112" i="2"/>
  <c r="AD112" i="2" s="1"/>
  <c r="AF112" i="2" s="1"/>
  <c r="AB113" i="2"/>
  <c r="AD113" i="2" s="1"/>
  <c r="AF113" i="2" s="1"/>
  <c r="AB114" i="2"/>
  <c r="AD114" i="2" s="1"/>
  <c r="AF114" i="2" s="1"/>
  <c r="AB115" i="2"/>
  <c r="AD115" i="2" s="1"/>
  <c r="AF115" i="2" s="1"/>
  <c r="AB116" i="2"/>
  <c r="AD116" i="2" s="1"/>
  <c r="AF116" i="2" s="1"/>
  <c r="AB117" i="2"/>
  <c r="AD117" i="2" s="1"/>
  <c r="AF117" i="2" s="1"/>
  <c r="AB118" i="2"/>
  <c r="AD118" i="2" s="1"/>
  <c r="AF118" i="2" s="1"/>
  <c r="AB119" i="2"/>
  <c r="AD119" i="2" s="1"/>
  <c r="AF119" i="2" s="1"/>
  <c r="AB120" i="2"/>
  <c r="AD120" i="2" s="1"/>
  <c r="AF120" i="2" s="1"/>
  <c r="AB121" i="2"/>
  <c r="AD121" i="2" s="1"/>
  <c r="AF121" i="2" s="1"/>
  <c r="AB122" i="2"/>
  <c r="AD122" i="2" s="1"/>
  <c r="AF122" i="2" s="1"/>
  <c r="AB123" i="2"/>
  <c r="AD123" i="2" s="1"/>
  <c r="AF123" i="2" s="1"/>
  <c r="AB124" i="2"/>
  <c r="AD124" i="2" s="1"/>
  <c r="AF124" i="2" s="1"/>
  <c r="AB125" i="2"/>
  <c r="AD125" i="2" s="1"/>
  <c r="AF125" i="2" s="1"/>
  <c r="AB126" i="2"/>
  <c r="AD126" i="2" s="1"/>
  <c r="AF126" i="2" s="1"/>
  <c r="AB127" i="2"/>
  <c r="AD127" i="2" s="1"/>
  <c r="AF127" i="2" s="1"/>
  <c r="AB128" i="2"/>
  <c r="AD128" i="2" s="1"/>
  <c r="AF128" i="2" s="1"/>
  <c r="AB129" i="2"/>
  <c r="AD129" i="2" s="1"/>
  <c r="AF129" i="2" s="1"/>
  <c r="AB130" i="2"/>
  <c r="AD130" i="2" s="1"/>
  <c r="AF130" i="2" s="1"/>
  <c r="AB131" i="2"/>
  <c r="AD131" i="2" s="1"/>
  <c r="AF131" i="2" s="1"/>
  <c r="AB132" i="2"/>
  <c r="AD132" i="2" s="1"/>
  <c r="AF132" i="2" s="1"/>
  <c r="AB133" i="2"/>
  <c r="AD133" i="2" s="1"/>
  <c r="AF133" i="2" s="1"/>
  <c r="AB134" i="2"/>
  <c r="AD134" i="2" s="1"/>
  <c r="AF134" i="2" s="1"/>
  <c r="AB135" i="2"/>
  <c r="AD135" i="2" s="1"/>
  <c r="AF135" i="2" s="1"/>
  <c r="AB136" i="2"/>
  <c r="AD136" i="2" s="1"/>
  <c r="AF136" i="2" s="1"/>
  <c r="AB137" i="2"/>
  <c r="AD137" i="2" s="1"/>
  <c r="AF137" i="2" s="1"/>
  <c r="AB138" i="2"/>
  <c r="AD138" i="2" s="1"/>
  <c r="AF138" i="2" s="1"/>
  <c r="AB139" i="2"/>
  <c r="AD139" i="2" s="1"/>
  <c r="AF139" i="2" s="1"/>
  <c r="AB140" i="2"/>
  <c r="AD140" i="2" s="1"/>
  <c r="AF140" i="2" s="1"/>
  <c r="AB141" i="2"/>
  <c r="AD141" i="2" s="1"/>
  <c r="AF141" i="2" s="1"/>
  <c r="AB142" i="2"/>
  <c r="AD142" i="2" s="1"/>
  <c r="AF142" i="2" s="1"/>
  <c r="AB143" i="2"/>
  <c r="AD143" i="2" s="1"/>
  <c r="AF143" i="2" s="1"/>
  <c r="AB144" i="2"/>
  <c r="AD144" i="2" s="1"/>
  <c r="AF144" i="2" s="1"/>
  <c r="AB145" i="2"/>
  <c r="AD145" i="2" s="1"/>
  <c r="AF145" i="2" s="1"/>
  <c r="AB146" i="2"/>
  <c r="AD146" i="2" s="1"/>
  <c r="AF146" i="2" s="1"/>
  <c r="AB147" i="2"/>
  <c r="AD147" i="2" s="1"/>
  <c r="AF147" i="2" s="1"/>
  <c r="AB148" i="2"/>
  <c r="AD148" i="2" s="1"/>
  <c r="AF148" i="2" s="1"/>
  <c r="AB149" i="2"/>
  <c r="AD149" i="2" s="1"/>
  <c r="AF149" i="2" s="1"/>
  <c r="AB150" i="2"/>
  <c r="AD150" i="2" s="1"/>
  <c r="AF150" i="2" s="1"/>
  <c r="AB151" i="2"/>
  <c r="AD151" i="2" s="1"/>
  <c r="AF151" i="2" s="1"/>
  <c r="AB152" i="2"/>
  <c r="AD152" i="2" s="1"/>
  <c r="AF152" i="2" s="1"/>
  <c r="AB153" i="2"/>
  <c r="AD153" i="2" s="1"/>
  <c r="AF153" i="2" s="1"/>
  <c r="AB154" i="2"/>
  <c r="AD154" i="2" s="1"/>
  <c r="AF154" i="2" s="1"/>
  <c r="AB155" i="2"/>
  <c r="AD155" i="2" s="1"/>
  <c r="AF155" i="2" s="1"/>
  <c r="AB156" i="2"/>
  <c r="AD156" i="2" s="1"/>
  <c r="AF156" i="2" s="1"/>
  <c r="AB157" i="2"/>
  <c r="AD157" i="2" s="1"/>
  <c r="AF157" i="2" s="1"/>
  <c r="AB158" i="2"/>
  <c r="AD158" i="2" s="1"/>
  <c r="AF158" i="2" s="1"/>
  <c r="AB159" i="2"/>
  <c r="AD159" i="2" s="1"/>
  <c r="AF159" i="2" s="1"/>
  <c r="AB160" i="2"/>
  <c r="AD160" i="2" s="1"/>
  <c r="AF160" i="2" s="1"/>
  <c r="AB161" i="2"/>
  <c r="AD161" i="2" s="1"/>
  <c r="AF161" i="2" s="1"/>
  <c r="AB162" i="2"/>
  <c r="AD162" i="2" s="1"/>
  <c r="AF162" i="2" s="1"/>
  <c r="AB163" i="2"/>
  <c r="AD163" i="2" s="1"/>
  <c r="AF163" i="2" s="1"/>
  <c r="AB164" i="2"/>
  <c r="AD164" i="2" s="1"/>
  <c r="AF164" i="2" s="1"/>
  <c r="AB165" i="2"/>
  <c r="AD165" i="2" s="1"/>
  <c r="AF165" i="2" s="1"/>
  <c r="AB166" i="2"/>
  <c r="AD166" i="2" s="1"/>
  <c r="AF166" i="2" s="1"/>
  <c r="AB167" i="2"/>
  <c r="AD167" i="2" s="1"/>
  <c r="AF167" i="2" s="1"/>
  <c r="AB168" i="2"/>
  <c r="AD168" i="2" s="1"/>
  <c r="AF168" i="2" s="1"/>
  <c r="AB169" i="2"/>
  <c r="AD169" i="2" s="1"/>
  <c r="AF169" i="2" s="1"/>
  <c r="AB170" i="2"/>
  <c r="AD170" i="2" s="1"/>
  <c r="AF170" i="2" s="1"/>
  <c r="AB171" i="2"/>
  <c r="AD171" i="2" s="1"/>
  <c r="AF171" i="2" s="1"/>
  <c r="AB172" i="2"/>
  <c r="AD172" i="2" s="1"/>
  <c r="AF172" i="2" s="1"/>
  <c r="AB173" i="2"/>
  <c r="AD173" i="2" s="1"/>
  <c r="AF173" i="2" s="1"/>
  <c r="AB174" i="2"/>
  <c r="AD174" i="2" s="1"/>
  <c r="AF174" i="2" s="1"/>
  <c r="AB175" i="2"/>
  <c r="AD175" i="2" s="1"/>
  <c r="AF175" i="2" s="1"/>
  <c r="AB176" i="2"/>
  <c r="AD176" i="2" s="1"/>
  <c r="AF176" i="2" s="1"/>
  <c r="AB177" i="2"/>
  <c r="AD177" i="2" s="1"/>
  <c r="AF177" i="2" s="1"/>
  <c r="AB178" i="2"/>
  <c r="AD178" i="2" s="1"/>
  <c r="AF178" i="2" s="1"/>
  <c r="AB179" i="2"/>
  <c r="AD179" i="2" s="1"/>
  <c r="AF179" i="2" s="1"/>
  <c r="AB180" i="2"/>
  <c r="AD180" i="2" s="1"/>
  <c r="AF180" i="2" s="1"/>
  <c r="AB181" i="2"/>
  <c r="AD181" i="2" s="1"/>
  <c r="AF181" i="2" s="1"/>
  <c r="AB182" i="2"/>
  <c r="AD182" i="2" s="1"/>
  <c r="AF182" i="2" s="1"/>
  <c r="AB183" i="2"/>
  <c r="AD183" i="2" s="1"/>
  <c r="AF183" i="2" s="1"/>
  <c r="AB184" i="2"/>
  <c r="AD184" i="2" s="1"/>
  <c r="AF184" i="2" s="1"/>
  <c r="AB185" i="2"/>
  <c r="AD185" i="2" s="1"/>
  <c r="AF185" i="2" s="1"/>
  <c r="AB186" i="2"/>
  <c r="AD186" i="2" s="1"/>
  <c r="AF186" i="2" s="1"/>
  <c r="AB187" i="2"/>
  <c r="AD187" i="2" s="1"/>
  <c r="AF187" i="2" s="1"/>
  <c r="AB188" i="2"/>
  <c r="AD188" i="2" s="1"/>
  <c r="AF188" i="2" s="1"/>
  <c r="AB189" i="2"/>
  <c r="AD189" i="2" s="1"/>
  <c r="AF189" i="2" s="1"/>
  <c r="AB190" i="2"/>
  <c r="AD190" i="2" s="1"/>
  <c r="AF190" i="2" s="1"/>
  <c r="AB191" i="2"/>
  <c r="AD191" i="2" s="1"/>
  <c r="AF191" i="2" s="1"/>
  <c r="AB192" i="2"/>
  <c r="AD192" i="2" s="1"/>
  <c r="AF192" i="2" s="1"/>
  <c r="AB193" i="2"/>
  <c r="AD193" i="2" s="1"/>
  <c r="AF193" i="2" s="1"/>
  <c r="AB194" i="2"/>
  <c r="AD194" i="2" s="1"/>
  <c r="AF194" i="2" s="1"/>
  <c r="AB195" i="2"/>
  <c r="AD195" i="2" s="1"/>
  <c r="AF195" i="2" s="1"/>
  <c r="AB196" i="2"/>
  <c r="AD196" i="2" s="1"/>
  <c r="AF196" i="2" s="1"/>
  <c r="AB197" i="2"/>
  <c r="AD197" i="2" s="1"/>
  <c r="AF197" i="2" s="1"/>
  <c r="AB198" i="2"/>
  <c r="AD198" i="2" s="1"/>
  <c r="AF198" i="2" s="1"/>
  <c r="AB199" i="2"/>
  <c r="AD199" i="2" s="1"/>
  <c r="AF199" i="2" s="1"/>
  <c r="AB200" i="2"/>
  <c r="AD200" i="2" s="1"/>
  <c r="AF200" i="2" s="1"/>
  <c r="AB201" i="2"/>
  <c r="AD201" i="2" s="1"/>
  <c r="AF201" i="2" s="1"/>
  <c r="AB202" i="2"/>
  <c r="AD202" i="2" s="1"/>
  <c r="AF202" i="2" s="1"/>
  <c r="AB203" i="2"/>
  <c r="AD203" i="2" s="1"/>
  <c r="AF203" i="2" s="1"/>
  <c r="AB204" i="2"/>
  <c r="AD204" i="2" s="1"/>
  <c r="AF204" i="2" s="1"/>
  <c r="AB205" i="2"/>
  <c r="AD205" i="2" s="1"/>
  <c r="AF205" i="2" s="1"/>
  <c r="AB206" i="2"/>
  <c r="AD206" i="2" s="1"/>
  <c r="AF206" i="2" s="1"/>
  <c r="AB207" i="2"/>
  <c r="AD207" i="2" s="1"/>
  <c r="AF207" i="2" s="1"/>
  <c r="AB208" i="2"/>
  <c r="AD208" i="2" s="1"/>
  <c r="AF208" i="2" s="1"/>
  <c r="AB209" i="2"/>
  <c r="AD209" i="2" s="1"/>
  <c r="AF209" i="2" s="1"/>
  <c r="AB210" i="2"/>
  <c r="AD210" i="2" s="1"/>
  <c r="AF210" i="2" s="1"/>
  <c r="AB211" i="2"/>
  <c r="AD211" i="2" s="1"/>
  <c r="AF211" i="2" s="1"/>
  <c r="AB212" i="2"/>
  <c r="AD212" i="2" s="1"/>
  <c r="AF212" i="2" s="1"/>
  <c r="AB213" i="2"/>
  <c r="AD213" i="2" s="1"/>
  <c r="AF213" i="2" s="1"/>
  <c r="AB214" i="2"/>
  <c r="AD214" i="2" s="1"/>
  <c r="AF214" i="2" s="1"/>
  <c r="AB215" i="2"/>
  <c r="AD215" i="2" s="1"/>
  <c r="AF215" i="2" s="1"/>
  <c r="AB216" i="2"/>
  <c r="AD216" i="2" s="1"/>
  <c r="AF216" i="2" s="1"/>
  <c r="AB217" i="2"/>
  <c r="AD217" i="2" s="1"/>
  <c r="AF217" i="2" s="1"/>
  <c r="AB218" i="2"/>
  <c r="AD218" i="2" s="1"/>
  <c r="AF218" i="2" s="1"/>
  <c r="AB219" i="2"/>
  <c r="AD219" i="2" s="1"/>
  <c r="AF219" i="2" s="1"/>
  <c r="AB220" i="2"/>
  <c r="AD220" i="2" s="1"/>
  <c r="AF220" i="2" s="1"/>
  <c r="AB221" i="2"/>
  <c r="AD221" i="2" s="1"/>
  <c r="AF221" i="2" s="1"/>
  <c r="AB222" i="2"/>
  <c r="AD222" i="2" s="1"/>
  <c r="AF222" i="2" s="1"/>
  <c r="AB223" i="2"/>
  <c r="AD223" i="2" s="1"/>
  <c r="AF223" i="2" s="1"/>
  <c r="AB224" i="2"/>
  <c r="AD224" i="2" s="1"/>
  <c r="AF224" i="2" s="1"/>
  <c r="AB225" i="2"/>
  <c r="AD225" i="2" s="1"/>
  <c r="AF225" i="2" s="1"/>
  <c r="AB226" i="2"/>
  <c r="AD226" i="2" s="1"/>
  <c r="AF226" i="2" s="1"/>
  <c r="AB227" i="2"/>
  <c r="AD227" i="2" s="1"/>
  <c r="AF227" i="2" s="1"/>
  <c r="AB228" i="2"/>
  <c r="AD228" i="2" s="1"/>
  <c r="AF228" i="2" s="1"/>
  <c r="AB229" i="2"/>
  <c r="AD229" i="2" s="1"/>
  <c r="AF229" i="2" s="1"/>
  <c r="AB230" i="2"/>
  <c r="AD230" i="2" s="1"/>
  <c r="AF230" i="2" s="1"/>
  <c r="AB231" i="2"/>
  <c r="AD231" i="2" s="1"/>
  <c r="AF231" i="2" s="1"/>
  <c r="AB232" i="2"/>
  <c r="AD232" i="2" s="1"/>
  <c r="AF232" i="2" s="1"/>
  <c r="AB233" i="2"/>
  <c r="AD233" i="2" s="1"/>
  <c r="AF233" i="2" s="1"/>
  <c r="AB234" i="2"/>
  <c r="AD234" i="2" s="1"/>
  <c r="AF234" i="2" s="1"/>
  <c r="AB235" i="2"/>
  <c r="AD235" i="2" s="1"/>
  <c r="AF235" i="2" s="1"/>
  <c r="AB236" i="2"/>
  <c r="AD236" i="2" s="1"/>
  <c r="AF236" i="2" s="1"/>
  <c r="AB237" i="2"/>
  <c r="AD237" i="2" s="1"/>
  <c r="AF237" i="2" s="1"/>
  <c r="AB238" i="2"/>
  <c r="AD238" i="2" s="1"/>
  <c r="AF238" i="2" s="1"/>
  <c r="AB239" i="2"/>
  <c r="AD239" i="2" s="1"/>
  <c r="AF239" i="2" s="1"/>
  <c r="AB240" i="2"/>
  <c r="AD240" i="2" s="1"/>
  <c r="AF240" i="2" s="1"/>
  <c r="AB241" i="2"/>
  <c r="AD241" i="2" s="1"/>
  <c r="AF241" i="2" s="1"/>
  <c r="AB242" i="2"/>
  <c r="AD242" i="2" s="1"/>
  <c r="AF242" i="2" s="1"/>
  <c r="AB243" i="2"/>
  <c r="AD243" i="2" s="1"/>
  <c r="AF243" i="2" s="1"/>
  <c r="AB244" i="2"/>
  <c r="AD244" i="2" s="1"/>
  <c r="AF244" i="2" s="1"/>
  <c r="AB245" i="2"/>
  <c r="AD245" i="2" s="1"/>
  <c r="AF245" i="2" s="1"/>
  <c r="AB246" i="2"/>
  <c r="AD246" i="2" s="1"/>
  <c r="AF246" i="2" s="1"/>
  <c r="AB247" i="2"/>
  <c r="AD247" i="2" s="1"/>
  <c r="AF247" i="2" s="1"/>
  <c r="AB248" i="2"/>
  <c r="AD248" i="2" s="1"/>
  <c r="AF248" i="2" s="1"/>
  <c r="AB249" i="2"/>
  <c r="AD249" i="2" s="1"/>
  <c r="AF249" i="2" s="1"/>
  <c r="AB250" i="2"/>
  <c r="AD250" i="2" s="1"/>
  <c r="AF250" i="2" s="1"/>
  <c r="AB251" i="2"/>
  <c r="AD251" i="2" s="1"/>
  <c r="AF251" i="2" s="1"/>
  <c r="AB252" i="2"/>
  <c r="AD252" i="2" s="1"/>
  <c r="AF252" i="2" s="1"/>
  <c r="AB253" i="2"/>
  <c r="AD253" i="2" s="1"/>
  <c r="AF253" i="2" s="1"/>
  <c r="AB254" i="2"/>
  <c r="AD254" i="2" s="1"/>
  <c r="AF254" i="2" s="1"/>
  <c r="AB255" i="2"/>
  <c r="AD255" i="2" s="1"/>
  <c r="AF255" i="2" s="1"/>
  <c r="AB256" i="2"/>
  <c r="AD256" i="2" s="1"/>
  <c r="AF256" i="2" s="1"/>
  <c r="AB257" i="2"/>
  <c r="AD257" i="2" s="1"/>
  <c r="AF257" i="2" s="1"/>
  <c r="AB258" i="2"/>
  <c r="AD258" i="2" s="1"/>
  <c r="AF258" i="2" s="1"/>
  <c r="AB259" i="2"/>
  <c r="AD259" i="2" s="1"/>
  <c r="AF259" i="2" s="1"/>
  <c r="AB260" i="2"/>
  <c r="AD260" i="2" s="1"/>
  <c r="AF260" i="2" s="1"/>
  <c r="AB261" i="2"/>
  <c r="AD261" i="2" s="1"/>
  <c r="AF261" i="2" s="1"/>
  <c r="AB262" i="2"/>
  <c r="AD262" i="2" s="1"/>
  <c r="AF262" i="2" s="1"/>
  <c r="AB263" i="2"/>
  <c r="AD263" i="2" s="1"/>
  <c r="AF263" i="2" s="1"/>
  <c r="AB264" i="2"/>
  <c r="AD264" i="2" s="1"/>
  <c r="AF264" i="2" s="1"/>
  <c r="AB265" i="2"/>
  <c r="AD265" i="2" s="1"/>
  <c r="AF265" i="2" s="1"/>
  <c r="AB266" i="2"/>
  <c r="AD266" i="2" s="1"/>
  <c r="AF266" i="2" s="1"/>
  <c r="AB267" i="2"/>
  <c r="AD267" i="2" s="1"/>
  <c r="AF267" i="2" s="1"/>
  <c r="AB268" i="2"/>
  <c r="AD268" i="2" s="1"/>
  <c r="AF268" i="2" s="1"/>
  <c r="AB269" i="2"/>
  <c r="AD269" i="2" s="1"/>
  <c r="AF269" i="2" s="1"/>
  <c r="AB270" i="2"/>
  <c r="AD270" i="2" s="1"/>
  <c r="AF270" i="2" s="1"/>
  <c r="AB271" i="2"/>
  <c r="AD271" i="2" s="1"/>
  <c r="AF271" i="2" s="1"/>
  <c r="AB272" i="2"/>
  <c r="AD272" i="2" s="1"/>
  <c r="AF272" i="2" s="1"/>
  <c r="AB273" i="2"/>
  <c r="AD273" i="2" s="1"/>
  <c r="AF273" i="2" s="1"/>
  <c r="AB274" i="2"/>
  <c r="AD274" i="2" s="1"/>
  <c r="AF274" i="2" s="1"/>
  <c r="AB275" i="2"/>
  <c r="AD275" i="2" s="1"/>
  <c r="AF275" i="2" s="1"/>
  <c r="AB276" i="2"/>
  <c r="AD276" i="2" s="1"/>
  <c r="AF276" i="2" s="1"/>
  <c r="AB277" i="2"/>
  <c r="AD277" i="2" s="1"/>
  <c r="AF277" i="2" s="1"/>
  <c r="AB278" i="2"/>
  <c r="AD278" i="2" s="1"/>
  <c r="AF278" i="2" s="1"/>
  <c r="AB279" i="2"/>
  <c r="AD279" i="2" s="1"/>
  <c r="AF279" i="2" s="1"/>
  <c r="AB280" i="2"/>
  <c r="AD280" i="2" s="1"/>
  <c r="AF280" i="2" s="1"/>
  <c r="AB281" i="2"/>
  <c r="AD281" i="2" s="1"/>
  <c r="AF281" i="2" s="1"/>
  <c r="AB282" i="2"/>
  <c r="AD282" i="2" s="1"/>
  <c r="AF282" i="2" s="1"/>
  <c r="AB283" i="2"/>
  <c r="AD283" i="2" s="1"/>
  <c r="AF283" i="2" s="1"/>
  <c r="AB284" i="2"/>
  <c r="AD284" i="2" s="1"/>
  <c r="AF284" i="2" s="1"/>
  <c r="AB285" i="2"/>
  <c r="AD285" i="2" s="1"/>
  <c r="AF285" i="2" s="1"/>
  <c r="AB286" i="2"/>
  <c r="AD286" i="2" s="1"/>
  <c r="AF286" i="2" s="1"/>
  <c r="AB287" i="2"/>
  <c r="AD287" i="2" s="1"/>
  <c r="AF287" i="2" s="1"/>
  <c r="AB288" i="2"/>
  <c r="AD288" i="2" s="1"/>
  <c r="AF288" i="2" s="1"/>
  <c r="AB289" i="2"/>
  <c r="AD289" i="2" s="1"/>
  <c r="AF289" i="2" s="1"/>
  <c r="AB290" i="2"/>
  <c r="AD290" i="2" s="1"/>
  <c r="AF290" i="2" s="1"/>
  <c r="AB291" i="2"/>
  <c r="AD291" i="2" s="1"/>
  <c r="AF291" i="2" s="1"/>
  <c r="AB292" i="2"/>
  <c r="AD292" i="2" s="1"/>
  <c r="AF292" i="2" s="1"/>
  <c r="AB293" i="2"/>
  <c r="AD293" i="2" s="1"/>
  <c r="AF293" i="2" s="1"/>
  <c r="AB294" i="2"/>
  <c r="AD294" i="2" s="1"/>
  <c r="AF294" i="2" s="1"/>
  <c r="AB295" i="2"/>
  <c r="AD295" i="2" s="1"/>
  <c r="AF295" i="2" s="1"/>
  <c r="AB296" i="2"/>
  <c r="AD296" i="2" s="1"/>
  <c r="AF296" i="2" s="1"/>
  <c r="AB297" i="2"/>
  <c r="AD297" i="2" s="1"/>
  <c r="AF297" i="2" s="1"/>
  <c r="AB298" i="2"/>
  <c r="AD298" i="2" s="1"/>
  <c r="AF298" i="2" s="1"/>
  <c r="AB299" i="2"/>
  <c r="AD299" i="2" s="1"/>
  <c r="AF299" i="2" s="1"/>
  <c r="AB300" i="2"/>
  <c r="AD300" i="2" s="1"/>
  <c r="AF300" i="2" s="1"/>
  <c r="AB301" i="2"/>
  <c r="AD301" i="2" s="1"/>
  <c r="AF301" i="2" s="1"/>
  <c r="AB302" i="2"/>
  <c r="AD302" i="2" s="1"/>
  <c r="AF302" i="2" s="1"/>
  <c r="AB303" i="2"/>
  <c r="AD303" i="2" s="1"/>
  <c r="AF303" i="2" s="1"/>
  <c r="AB304" i="2"/>
  <c r="AD304" i="2" s="1"/>
  <c r="AF304" i="2" s="1"/>
  <c r="AB305" i="2"/>
  <c r="AD305" i="2" s="1"/>
  <c r="AF305" i="2" s="1"/>
  <c r="AB306" i="2"/>
  <c r="AD306" i="2" s="1"/>
  <c r="AF306" i="2" s="1"/>
  <c r="AB307" i="2"/>
  <c r="AD307" i="2" s="1"/>
  <c r="AF307" i="2" s="1"/>
  <c r="AB308" i="2"/>
  <c r="AD308" i="2" s="1"/>
  <c r="AF308" i="2" s="1"/>
  <c r="AB309" i="2"/>
  <c r="AD309" i="2" s="1"/>
  <c r="AF309" i="2" s="1"/>
  <c r="AB310" i="2"/>
  <c r="AD310" i="2" s="1"/>
  <c r="AF310" i="2" s="1"/>
  <c r="AB311" i="2"/>
  <c r="AD311" i="2" s="1"/>
  <c r="AF311" i="2" s="1"/>
  <c r="AB312" i="2"/>
  <c r="AD312" i="2" s="1"/>
  <c r="AF312" i="2" s="1"/>
  <c r="AB313" i="2"/>
  <c r="AD313" i="2" s="1"/>
  <c r="AF313" i="2" s="1"/>
  <c r="AB314" i="2"/>
  <c r="AD314" i="2" s="1"/>
  <c r="AF314" i="2" s="1"/>
  <c r="AB315" i="2"/>
  <c r="AD315" i="2" s="1"/>
  <c r="AF315" i="2" s="1"/>
  <c r="AB316" i="2"/>
  <c r="AD316" i="2" s="1"/>
  <c r="AF316" i="2" s="1"/>
  <c r="AB317" i="2"/>
  <c r="AD317" i="2" s="1"/>
  <c r="AF317" i="2" s="1"/>
  <c r="AB318" i="2"/>
  <c r="AD318" i="2" s="1"/>
  <c r="AF318" i="2" s="1"/>
  <c r="AB319" i="2"/>
  <c r="AD319" i="2" s="1"/>
  <c r="AF319" i="2" s="1"/>
  <c r="AB320" i="2"/>
  <c r="AD320" i="2" s="1"/>
  <c r="AF320" i="2" s="1"/>
  <c r="AB321" i="2"/>
  <c r="AD321" i="2" s="1"/>
  <c r="AF321" i="2" s="1"/>
  <c r="AB322" i="2"/>
  <c r="AD322" i="2" s="1"/>
  <c r="AF322" i="2" s="1"/>
  <c r="AB323" i="2"/>
  <c r="AD323" i="2" s="1"/>
  <c r="AF323" i="2" s="1"/>
  <c r="AB324" i="2"/>
  <c r="AD324" i="2" s="1"/>
  <c r="AF324" i="2" s="1"/>
  <c r="AB325" i="2"/>
  <c r="AD325" i="2" s="1"/>
  <c r="AF325" i="2" s="1"/>
  <c r="AB326" i="2"/>
  <c r="AD326" i="2" s="1"/>
  <c r="AF326" i="2" s="1"/>
  <c r="AB327" i="2"/>
  <c r="AD327" i="2" s="1"/>
  <c r="AF327" i="2" s="1"/>
  <c r="AB328" i="2"/>
  <c r="AD328" i="2" s="1"/>
  <c r="AF328" i="2" s="1"/>
  <c r="AB329" i="2"/>
  <c r="AD329" i="2" s="1"/>
  <c r="AF329" i="2" s="1"/>
  <c r="AB330" i="2"/>
  <c r="AD330" i="2" s="1"/>
  <c r="AF330" i="2" s="1"/>
  <c r="AB331" i="2"/>
  <c r="AD331" i="2" s="1"/>
  <c r="AF331" i="2" s="1"/>
  <c r="AB332" i="2"/>
  <c r="AD332" i="2" s="1"/>
  <c r="AF332" i="2" s="1"/>
  <c r="AB333" i="2"/>
  <c r="AD333" i="2" s="1"/>
  <c r="AF333" i="2" s="1"/>
  <c r="AB334" i="2"/>
  <c r="AD334" i="2" s="1"/>
  <c r="AF334" i="2" s="1"/>
  <c r="AB335" i="2"/>
  <c r="AD335" i="2" s="1"/>
  <c r="AF335" i="2" s="1"/>
  <c r="AB336" i="2"/>
  <c r="AD336" i="2" s="1"/>
  <c r="AF336" i="2" s="1"/>
  <c r="AB337" i="2"/>
  <c r="AD337" i="2" s="1"/>
  <c r="AF337" i="2" s="1"/>
  <c r="AB338" i="2"/>
  <c r="AD338" i="2" s="1"/>
  <c r="AF338" i="2" s="1"/>
  <c r="AB339" i="2"/>
  <c r="AD339" i="2" s="1"/>
  <c r="AF339" i="2" s="1"/>
  <c r="AB340" i="2"/>
  <c r="AD340" i="2" s="1"/>
  <c r="AF340" i="2" s="1"/>
  <c r="AB341" i="2"/>
  <c r="AD341" i="2" s="1"/>
  <c r="AF341" i="2" s="1"/>
  <c r="AB342" i="2"/>
  <c r="AD342" i="2" s="1"/>
  <c r="AF342" i="2" s="1"/>
  <c r="AB343" i="2"/>
  <c r="AD343" i="2" s="1"/>
  <c r="AF343" i="2" s="1"/>
  <c r="AB344" i="2"/>
  <c r="AD344" i="2" s="1"/>
  <c r="AF344" i="2" s="1"/>
  <c r="AB345" i="2"/>
  <c r="AD345" i="2" s="1"/>
  <c r="AF345" i="2" s="1"/>
  <c r="AB346" i="2"/>
  <c r="AD346" i="2" s="1"/>
  <c r="AF346" i="2" s="1"/>
  <c r="AB347" i="2"/>
  <c r="AD347" i="2" s="1"/>
  <c r="AF347" i="2" s="1"/>
  <c r="AB348" i="2"/>
  <c r="AD348" i="2" s="1"/>
  <c r="AF348" i="2" s="1"/>
  <c r="AB349" i="2"/>
  <c r="AD349" i="2" s="1"/>
  <c r="AF349" i="2" s="1"/>
  <c r="AB350" i="2"/>
  <c r="AD350" i="2" s="1"/>
  <c r="AF350" i="2" s="1"/>
  <c r="AB351" i="2"/>
  <c r="AD351" i="2" s="1"/>
  <c r="AF351" i="2" s="1"/>
  <c r="AB352" i="2"/>
  <c r="AD352" i="2" s="1"/>
  <c r="AF352" i="2" s="1"/>
  <c r="AB353" i="2"/>
  <c r="AD353" i="2" s="1"/>
  <c r="AF353" i="2" s="1"/>
  <c r="AB354" i="2"/>
  <c r="AD354" i="2" s="1"/>
  <c r="AF354" i="2" s="1"/>
  <c r="AB355" i="2"/>
  <c r="AD355" i="2" s="1"/>
  <c r="AF355" i="2" s="1"/>
  <c r="AB356" i="2"/>
  <c r="AD356" i="2" s="1"/>
  <c r="AF356" i="2" s="1"/>
  <c r="AB357" i="2"/>
  <c r="AD357" i="2" s="1"/>
  <c r="AF357" i="2" s="1"/>
  <c r="AB358" i="2"/>
  <c r="AD358" i="2" s="1"/>
  <c r="AF358" i="2" s="1"/>
  <c r="AB359" i="2"/>
  <c r="AD359" i="2" s="1"/>
  <c r="AF359" i="2" s="1"/>
  <c r="AB360" i="2"/>
  <c r="AD360" i="2" s="1"/>
  <c r="AF360" i="2" s="1"/>
  <c r="AB361" i="2"/>
  <c r="AD361" i="2" s="1"/>
  <c r="AF361" i="2" s="1"/>
  <c r="AB362" i="2"/>
  <c r="AD362" i="2" s="1"/>
  <c r="AF362" i="2" s="1"/>
  <c r="AB363" i="2"/>
  <c r="AD363" i="2" s="1"/>
  <c r="AF363" i="2" s="1"/>
  <c r="AB364" i="2"/>
  <c r="AD364" i="2" s="1"/>
  <c r="AF364" i="2" s="1"/>
  <c r="AB365" i="2"/>
  <c r="AD365" i="2" s="1"/>
  <c r="AF365" i="2" s="1"/>
  <c r="AB366" i="2"/>
  <c r="AD366" i="2" s="1"/>
  <c r="AF366" i="2" s="1"/>
  <c r="AB367" i="2"/>
  <c r="AD367" i="2" s="1"/>
  <c r="AF367" i="2" s="1"/>
  <c r="AB368" i="2"/>
  <c r="AD368" i="2" s="1"/>
  <c r="AF368" i="2" s="1"/>
  <c r="AB369" i="2"/>
  <c r="AD369" i="2" s="1"/>
  <c r="AF369" i="2" s="1"/>
  <c r="AB370" i="2"/>
  <c r="AD370" i="2" s="1"/>
  <c r="AF370" i="2" s="1"/>
  <c r="AB371" i="2"/>
  <c r="AD371" i="2" s="1"/>
  <c r="AF371" i="2" s="1"/>
  <c r="AB372" i="2"/>
  <c r="AD372" i="2" s="1"/>
  <c r="AF372" i="2" s="1"/>
  <c r="AB373" i="2"/>
  <c r="AD373" i="2" s="1"/>
  <c r="AF373" i="2" s="1"/>
  <c r="AB374" i="2"/>
  <c r="AD374" i="2" s="1"/>
  <c r="AF374" i="2" s="1"/>
  <c r="AB375" i="2"/>
  <c r="AD375" i="2" s="1"/>
  <c r="AF375" i="2" s="1"/>
  <c r="AB376" i="2"/>
  <c r="AD376" i="2" s="1"/>
  <c r="AF376" i="2" s="1"/>
  <c r="AB377" i="2"/>
  <c r="AD377" i="2" s="1"/>
  <c r="AF377" i="2" s="1"/>
  <c r="AB378" i="2"/>
  <c r="AD378" i="2" s="1"/>
  <c r="AF378" i="2" s="1"/>
  <c r="AB379" i="2"/>
  <c r="AD379" i="2" s="1"/>
  <c r="AF379" i="2" s="1"/>
  <c r="AB380" i="2"/>
  <c r="AD380" i="2" s="1"/>
  <c r="AF380" i="2" s="1"/>
  <c r="AB381" i="2"/>
  <c r="AD381" i="2" s="1"/>
  <c r="AF381" i="2" s="1"/>
  <c r="AB382" i="2"/>
  <c r="AD382" i="2" s="1"/>
  <c r="AF382" i="2" s="1"/>
  <c r="AB383" i="2"/>
  <c r="AD383" i="2" s="1"/>
  <c r="AF383" i="2" s="1"/>
  <c r="AB384" i="2"/>
  <c r="AD384" i="2" s="1"/>
  <c r="AF384" i="2" s="1"/>
  <c r="AB385" i="2"/>
  <c r="AD385" i="2" s="1"/>
  <c r="AF385" i="2" s="1"/>
  <c r="AB386" i="2"/>
  <c r="AD386" i="2" s="1"/>
  <c r="AF386" i="2" s="1"/>
  <c r="AB387" i="2"/>
  <c r="AD387" i="2" s="1"/>
  <c r="AF387" i="2" s="1"/>
  <c r="AB388" i="2"/>
  <c r="AD388" i="2" s="1"/>
  <c r="AF388" i="2" s="1"/>
  <c r="AB389" i="2"/>
  <c r="AD389" i="2" s="1"/>
  <c r="AF389" i="2" s="1"/>
  <c r="AB390" i="2"/>
  <c r="AD390" i="2" s="1"/>
  <c r="AF390" i="2" s="1"/>
  <c r="AB391" i="2"/>
  <c r="AD391" i="2" s="1"/>
  <c r="AF391" i="2" s="1"/>
  <c r="AB392" i="2"/>
  <c r="AD392" i="2" s="1"/>
  <c r="AF392" i="2" s="1"/>
  <c r="AB393" i="2"/>
  <c r="AD393" i="2" s="1"/>
  <c r="AF393" i="2" s="1"/>
  <c r="AB394" i="2"/>
  <c r="AD394" i="2" s="1"/>
  <c r="AF394" i="2" s="1"/>
  <c r="AB395" i="2"/>
  <c r="AD395" i="2" s="1"/>
  <c r="AF395" i="2" s="1"/>
  <c r="AB396" i="2"/>
  <c r="AD396" i="2" s="1"/>
  <c r="AF396" i="2" s="1"/>
  <c r="AB397" i="2"/>
  <c r="AD397" i="2" s="1"/>
  <c r="AF397" i="2" s="1"/>
  <c r="AB398" i="2"/>
  <c r="AD398" i="2" s="1"/>
  <c r="AF398" i="2" s="1"/>
  <c r="AB399" i="2"/>
  <c r="AD399" i="2" s="1"/>
  <c r="AF399" i="2" s="1"/>
  <c r="AB400" i="2"/>
  <c r="AD400" i="2" s="1"/>
  <c r="AF400" i="2" s="1"/>
  <c r="AB401" i="2"/>
  <c r="AD401" i="2" s="1"/>
  <c r="AF401" i="2" s="1"/>
  <c r="AB402" i="2"/>
  <c r="AD402" i="2" s="1"/>
  <c r="AF402" i="2" s="1"/>
  <c r="AB403" i="2"/>
  <c r="AD403" i="2" s="1"/>
  <c r="AF403" i="2" s="1"/>
  <c r="AB404" i="2"/>
  <c r="AD404" i="2" s="1"/>
  <c r="AF404" i="2" s="1"/>
  <c r="AB405" i="2"/>
  <c r="AD405" i="2" s="1"/>
  <c r="AF405" i="2" s="1"/>
  <c r="AB406" i="2"/>
  <c r="AD406" i="2" s="1"/>
  <c r="AF406" i="2" s="1"/>
  <c r="AB407" i="2"/>
  <c r="AD407" i="2" s="1"/>
  <c r="AF407" i="2" s="1"/>
  <c r="AB408" i="2"/>
  <c r="AD408" i="2" s="1"/>
  <c r="AF408" i="2" s="1"/>
  <c r="AB409" i="2"/>
  <c r="AD409" i="2" s="1"/>
  <c r="AF409" i="2" s="1"/>
  <c r="AB410" i="2"/>
  <c r="AD410" i="2" s="1"/>
  <c r="AF410" i="2" s="1"/>
  <c r="AB411" i="2"/>
  <c r="AD411" i="2" s="1"/>
  <c r="AF411" i="2" s="1"/>
  <c r="AB412" i="2"/>
  <c r="AD412" i="2" s="1"/>
  <c r="AF412" i="2" s="1"/>
  <c r="AB413" i="2"/>
  <c r="AD413" i="2" s="1"/>
  <c r="AF413" i="2" s="1"/>
  <c r="AB414" i="2"/>
  <c r="AD414" i="2" s="1"/>
  <c r="AF414" i="2" s="1"/>
  <c r="AB415" i="2"/>
  <c r="AD415" i="2" s="1"/>
  <c r="AF415" i="2" s="1"/>
  <c r="AB416" i="2"/>
  <c r="AD416" i="2" s="1"/>
  <c r="AF416" i="2" s="1"/>
  <c r="AB417" i="2"/>
  <c r="AD417" i="2" s="1"/>
  <c r="AF417" i="2" s="1"/>
  <c r="AB418" i="2"/>
  <c r="AD418" i="2" s="1"/>
  <c r="AF418" i="2" s="1"/>
  <c r="AB419" i="2"/>
  <c r="AD419" i="2" s="1"/>
  <c r="AF419" i="2" s="1"/>
  <c r="AB420" i="2"/>
  <c r="AD420" i="2" s="1"/>
  <c r="AF420" i="2" s="1"/>
  <c r="AB421" i="2"/>
  <c r="AD421" i="2" s="1"/>
  <c r="AF421" i="2" s="1"/>
  <c r="AB422" i="2"/>
  <c r="AD422" i="2" s="1"/>
  <c r="AF422" i="2" s="1"/>
  <c r="AB423" i="2"/>
  <c r="AD423" i="2" s="1"/>
  <c r="AF423" i="2" s="1"/>
  <c r="AB424" i="2"/>
  <c r="AD424" i="2" s="1"/>
  <c r="AF424" i="2" s="1"/>
  <c r="AB425" i="2"/>
  <c r="AD425" i="2" s="1"/>
  <c r="AF425" i="2" s="1"/>
  <c r="AB426" i="2"/>
  <c r="AD426" i="2" s="1"/>
  <c r="AF426" i="2" s="1"/>
  <c r="AB427" i="2"/>
  <c r="AD427" i="2" s="1"/>
  <c r="AF427" i="2" s="1"/>
  <c r="AB428" i="2"/>
  <c r="AD428" i="2" s="1"/>
  <c r="AF428" i="2" s="1"/>
  <c r="AB429" i="2"/>
  <c r="AD429" i="2" s="1"/>
  <c r="AF429" i="2" s="1"/>
  <c r="AB430" i="2"/>
  <c r="AD430" i="2" s="1"/>
  <c r="AF430" i="2" s="1"/>
  <c r="AB431" i="2"/>
  <c r="AD431" i="2" s="1"/>
  <c r="AF431" i="2" s="1"/>
  <c r="AB432" i="2"/>
  <c r="AD432" i="2" s="1"/>
  <c r="AF432" i="2" s="1"/>
  <c r="AB433" i="2"/>
  <c r="AD433" i="2" s="1"/>
  <c r="AF433" i="2" s="1"/>
  <c r="AB434" i="2"/>
  <c r="AD434" i="2" s="1"/>
  <c r="AF434" i="2" s="1"/>
  <c r="AB435" i="2"/>
  <c r="AD435" i="2" s="1"/>
  <c r="AF435" i="2" s="1"/>
  <c r="AB436" i="2"/>
  <c r="AD436" i="2" s="1"/>
  <c r="AF436" i="2" s="1"/>
  <c r="AB437" i="2"/>
  <c r="AD437" i="2" s="1"/>
  <c r="AF437" i="2" s="1"/>
  <c r="AB438" i="2"/>
  <c r="AD438" i="2" s="1"/>
  <c r="AF438" i="2" s="1"/>
  <c r="AB439" i="2"/>
  <c r="AD439" i="2" s="1"/>
  <c r="AF439" i="2" s="1"/>
  <c r="AB440" i="2"/>
  <c r="AD440" i="2" s="1"/>
  <c r="AF440" i="2" s="1"/>
  <c r="AB441" i="2"/>
  <c r="AD441" i="2" s="1"/>
  <c r="AF441" i="2" s="1"/>
  <c r="AB442" i="2"/>
  <c r="AD442" i="2" s="1"/>
  <c r="AF442" i="2" s="1"/>
  <c r="AB443" i="2"/>
  <c r="AD443" i="2" s="1"/>
  <c r="AF443" i="2" s="1"/>
  <c r="AB444" i="2"/>
  <c r="AD444" i="2" s="1"/>
  <c r="AF444" i="2" s="1"/>
  <c r="AB445" i="2"/>
  <c r="AD445" i="2" s="1"/>
  <c r="AF445" i="2" s="1"/>
  <c r="AB446" i="2"/>
  <c r="AD446" i="2" s="1"/>
  <c r="AF446" i="2" s="1"/>
  <c r="AB447" i="2"/>
  <c r="AD447" i="2" s="1"/>
  <c r="AF447" i="2" s="1"/>
  <c r="AB448" i="2"/>
  <c r="AD448" i="2" s="1"/>
  <c r="AF448" i="2" s="1"/>
  <c r="AB449" i="2"/>
  <c r="AD449" i="2" s="1"/>
  <c r="AF449" i="2" s="1"/>
  <c r="AB450" i="2"/>
  <c r="AD450" i="2" s="1"/>
  <c r="AF450" i="2" s="1"/>
  <c r="AB451" i="2"/>
  <c r="AD451" i="2" s="1"/>
  <c r="AF451" i="2" s="1"/>
  <c r="AB452" i="2"/>
  <c r="AD452" i="2" s="1"/>
  <c r="AF452" i="2" s="1"/>
  <c r="AB453" i="2"/>
  <c r="AD453" i="2" s="1"/>
  <c r="AF453" i="2" s="1"/>
  <c r="AB454" i="2"/>
  <c r="AD454" i="2" s="1"/>
  <c r="AF454" i="2" s="1"/>
  <c r="AB455" i="2"/>
  <c r="AD455" i="2" s="1"/>
  <c r="AF455" i="2" s="1"/>
  <c r="AB456" i="2"/>
  <c r="AD456" i="2" s="1"/>
  <c r="AF456" i="2" s="1"/>
  <c r="AB457" i="2"/>
  <c r="AD457" i="2" s="1"/>
  <c r="AF457" i="2" s="1"/>
  <c r="AB458" i="2"/>
  <c r="AD458" i="2" s="1"/>
  <c r="AF458" i="2" s="1"/>
  <c r="AB459" i="2"/>
  <c r="AD459" i="2" s="1"/>
  <c r="AF459" i="2" s="1"/>
  <c r="AB460" i="2"/>
  <c r="AD460" i="2" s="1"/>
  <c r="AF460" i="2" s="1"/>
  <c r="AB461" i="2"/>
  <c r="AD461" i="2" s="1"/>
  <c r="AF461" i="2" s="1"/>
  <c r="AB462" i="2"/>
  <c r="AD462" i="2" s="1"/>
  <c r="AF462" i="2" s="1"/>
  <c r="AB463" i="2"/>
  <c r="AD463" i="2" s="1"/>
  <c r="AF463" i="2" s="1"/>
  <c r="AB464" i="2"/>
  <c r="AD464" i="2" s="1"/>
  <c r="AF464" i="2" s="1"/>
  <c r="AB465" i="2"/>
  <c r="AD465" i="2" s="1"/>
  <c r="AF465" i="2" s="1"/>
  <c r="AB466" i="2"/>
  <c r="AD466" i="2" s="1"/>
  <c r="AF466" i="2" s="1"/>
  <c r="AB467" i="2"/>
  <c r="AD467" i="2" s="1"/>
  <c r="AF467" i="2" s="1"/>
  <c r="AB468" i="2"/>
  <c r="AD468" i="2" s="1"/>
  <c r="AF468" i="2" s="1"/>
  <c r="AB469" i="2"/>
  <c r="AD469" i="2" s="1"/>
  <c r="AF469" i="2" s="1"/>
  <c r="AB470" i="2"/>
  <c r="AD470" i="2" s="1"/>
  <c r="AF470" i="2" s="1"/>
  <c r="AB471" i="2"/>
  <c r="AD471" i="2" s="1"/>
  <c r="AF471" i="2" s="1"/>
  <c r="AB472" i="2"/>
  <c r="AD472" i="2" s="1"/>
  <c r="AF472" i="2" s="1"/>
  <c r="AB473" i="2"/>
  <c r="AD473" i="2" s="1"/>
  <c r="AF473" i="2" s="1"/>
  <c r="AB474" i="2"/>
  <c r="AD474" i="2" s="1"/>
  <c r="AF474" i="2" s="1"/>
  <c r="AB475" i="2"/>
  <c r="AD475" i="2" s="1"/>
  <c r="AF475" i="2" s="1"/>
  <c r="AB476" i="2"/>
  <c r="AD476" i="2" s="1"/>
  <c r="AF476" i="2" s="1"/>
  <c r="AB477" i="2"/>
  <c r="AD477" i="2" s="1"/>
  <c r="AF477" i="2" s="1"/>
  <c r="AB478" i="2"/>
  <c r="AD478" i="2" s="1"/>
  <c r="AF478" i="2" s="1"/>
  <c r="AB479" i="2"/>
  <c r="AD479" i="2" s="1"/>
  <c r="AF479" i="2" s="1"/>
  <c r="AB480" i="2"/>
  <c r="AD480" i="2" s="1"/>
  <c r="AF480" i="2" s="1"/>
  <c r="AB481" i="2"/>
  <c r="AD481" i="2" s="1"/>
  <c r="AF481" i="2" s="1"/>
  <c r="AB482" i="2"/>
  <c r="AD482" i="2" s="1"/>
  <c r="AF482" i="2" s="1"/>
  <c r="AB483" i="2"/>
  <c r="AD483" i="2" s="1"/>
  <c r="AF483" i="2" s="1"/>
  <c r="AB484" i="2"/>
  <c r="AD484" i="2" s="1"/>
  <c r="AF484" i="2" s="1"/>
  <c r="AB485" i="2"/>
  <c r="AD485" i="2" s="1"/>
  <c r="AF485" i="2" s="1"/>
  <c r="AB486" i="2"/>
  <c r="AD486" i="2" s="1"/>
  <c r="AF486" i="2" s="1"/>
  <c r="AB487" i="2"/>
  <c r="AD487" i="2" s="1"/>
  <c r="AF487" i="2" s="1"/>
  <c r="AB488" i="2"/>
  <c r="AD488" i="2" s="1"/>
  <c r="AF488" i="2" s="1"/>
  <c r="AB489" i="2"/>
  <c r="AD489" i="2" s="1"/>
  <c r="AF489" i="2" s="1"/>
  <c r="AB490" i="2"/>
  <c r="AD490" i="2" s="1"/>
  <c r="AF490" i="2" s="1"/>
  <c r="AB491" i="2"/>
  <c r="AD491" i="2" s="1"/>
  <c r="AF491" i="2" s="1"/>
  <c r="AB492" i="2"/>
  <c r="AD492" i="2" s="1"/>
  <c r="AF492" i="2" s="1"/>
  <c r="AB493" i="2"/>
  <c r="AD493" i="2" s="1"/>
  <c r="AF493" i="2" s="1"/>
  <c r="AB494" i="2"/>
  <c r="AD494" i="2" s="1"/>
  <c r="AF494" i="2" s="1"/>
  <c r="AB495" i="2"/>
  <c r="AD495" i="2" s="1"/>
  <c r="AF495" i="2" s="1"/>
  <c r="AB496" i="2"/>
  <c r="AD496" i="2" s="1"/>
  <c r="AF496" i="2" s="1"/>
  <c r="AB497" i="2"/>
  <c r="AD497" i="2" s="1"/>
  <c r="AF497" i="2" s="1"/>
  <c r="AB498" i="2"/>
  <c r="AD498" i="2" s="1"/>
  <c r="AF498" i="2" s="1"/>
  <c r="AB499" i="2"/>
  <c r="AD499" i="2" s="1"/>
  <c r="AF499" i="2" s="1"/>
  <c r="AB500" i="2"/>
  <c r="AD500" i="2" s="1"/>
  <c r="AF500" i="2" s="1"/>
  <c r="AB501" i="2"/>
  <c r="AD501" i="2" s="1"/>
  <c r="AF501" i="2" s="1"/>
  <c r="AB502" i="2"/>
  <c r="AD502" i="2" s="1"/>
  <c r="AF502" i="2" s="1"/>
  <c r="AB503" i="2"/>
  <c r="AD503" i="2" s="1"/>
  <c r="AF503" i="2" s="1"/>
  <c r="AB504" i="2"/>
  <c r="AD504" i="2" s="1"/>
  <c r="AF504" i="2" s="1"/>
  <c r="AB505" i="2"/>
  <c r="AD505" i="2" s="1"/>
  <c r="AF505" i="2" s="1"/>
  <c r="AB506" i="2"/>
  <c r="AD506" i="2" s="1"/>
  <c r="AF506" i="2" s="1"/>
  <c r="AB507" i="2"/>
  <c r="AD507" i="2" s="1"/>
  <c r="AF507" i="2" s="1"/>
  <c r="AB508" i="2"/>
  <c r="AD508" i="2" s="1"/>
  <c r="AF508" i="2" s="1"/>
  <c r="AB509" i="2"/>
  <c r="AD509" i="2" s="1"/>
  <c r="AF509" i="2" s="1"/>
  <c r="AB510" i="2"/>
  <c r="AD510" i="2" s="1"/>
  <c r="AF510" i="2" s="1"/>
  <c r="AB511" i="2"/>
  <c r="AD511" i="2" s="1"/>
  <c r="AF511" i="2" s="1"/>
  <c r="AB512" i="2"/>
  <c r="AD512" i="2" s="1"/>
  <c r="AF512" i="2" s="1"/>
  <c r="AB513" i="2"/>
  <c r="AD513" i="2" s="1"/>
  <c r="AF513" i="2" s="1"/>
  <c r="AB514" i="2"/>
  <c r="AD514" i="2" s="1"/>
  <c r="AF514" i="2" s="1"/>
  <c r="AB515" i="2"/>
  <c r="AD515" i="2" s="1"/>
  <c r="AF515" i="2" s="1"/>
  <c r="AB516" i="2"/>
  <c r="AD516" i="2" s="1"/>
  <c r="AF516" i="2" s="1"/>
  <c r="AB517" i="2"/>
  <c r="AD517" i="2" s="1"/>
  <c r="AF517" i="2" s="1"/>
  <c r="AB518" i="2"/>
  <c r="AD518" i="2" s="1"/>
  <c r="AF518" i="2" s="1"/>
  <c r="AB519" i="2"/>
  <c r="AD519" i="2" s="1"/>
  <c r="AF519" i="2" s="1"/>
  <c r="AB520" i="2"/>
  <c r="AD520" i="2" s="1"/>
  <c r="AF520" i="2" s="1"/>
  <c r="AB521" i="2"/>
  <c r="AD521" i="2" s="1"/>
  <c r="AF521" i="2" s="1"/>
  <c r="AB522" i="2"/>
  <c r="AD522" i="2" s="1"/>
  <c r="AF522" i="2" s="1"/>
  <c r="AB523" i="2"/>
  <c r="AD523" i="2" s="1"/>
  <c r="AF523" i="2" s="1"/>
  <c r="AB524" i="2"/>
  <c r="AD524" i="2" s="1"/>
  <c r="AF524" i="2" s="1"/>
  <c r="AB525" i="2"/>
  <c r="AD525" i="2" s="1"/>
  <c r="AF525" i="2" s="1"/>
  <c r="AB526" i="2"/>
  <c r="AD526" i="2" s="1"/>
  <c r="AF526" i="2" s="1"/>
  <c r="AB527" i="2"/>
  <c r="AD527" i="2" s="1"/>
  <c r="AF527" i="2" s="1"/>
  <c r="AB528" i="2"/>
  <c r="AD528" i="2" s="1"/>
  <c r="AF528" i="2" s="1"/>
  <c r="AB529" i="2"/>
  <c r="AD529" i="2" s="1"/>
  <c r="AF529" i="2" s="1"/>
  <c r="AB530" i="2"/>
  <c r="AD530" i="2" s="1"/>
  <c r="AF530" i="2" s="1"/>
  <c r="AB531" i="2"/>
  <c r="AD531" i="2" s="1"/>
  <c r="AF531" i="2" s="1"/>
  <c r="AB532" i="2"/>
  <c r="AD532" i="2" s="1"/>
  <c r="AF532" i="2" s="1"/>
  <c r="AB533" i="2"/>
  <c r="AD533" i="2" s="1"/>
  <c r="AF533" i="2" s="1"/>
  <c r="AB534" i="2"/>
  <c r="AD534" i="2" s="1"/>
  <c r="AF534" i="2" s="1"/>
  <c r="AB535" i="2"/>
  <c r="AD535" i="2" s="1"/>
  <c r="AF535" i="2" s="1"/>
  <c r="AB536" i="2"/>
  <c r="AD536" i="2" s="1"/>
  <c r="AF536" i="2" s="1"/>
  <c r="AB537" i="2"/>
  <c r="AD537" i="2" s="1"/>
  <c r="AF537" i="2" s="1"/>
  <c r="AB538" i="2"/>
  <c r="AD538" i="2" s="1"/>
  <c r="AF538" i="2" s="1"/>
  <c r="AB539" i="2"/>
  <c r="AD539" i="2" s="1"/>
  <c r="AF539" i="2" s="1"/>
  <c r="AB540" i="2"/>
  <c r="AD540" i="2" s="1"/>
  <c r="AF540" i="2" s="1"/>
  <c r="AB541" i="2"/>
  <c r="AD541" i="2" s="1"/>
  <c r="AF541" i="2" s="1"/>
  <c r="AB542" i="2"/>
  <c r="AD542" i="2" s="1"/>
  <c r="AF542" i="2" s="1"/>
  <c r="AB543" i="2"/>
  <c r="AD543" i="2" s="1"/>
  <c r="AF543" i="2" s="1"/>
  <c r="AB544" i="2"/>
  <c r="AD544" i="2" s="1"/>
  <c r="AF544" i="2" s="1"/>
  <c r="AB545" i="2"/>
  <c r="AD545" i="2" s="1"/>
  <c r="AF545" i="2" s="1"/>
  <c r="AB546" i="2"/>
  <c r="AD546" i="2" s="1"/>
  <c r="AF546" i="2" s="1"/>
  <c r="AB547" i="2"/>
  <c r="AD547" i="2" s="1"/>
  <c r="AF547" i="2" s="1"/>
  <c r="AB548" i="2"/>
  <c r="AD548" i="2" s="1"/>
  <c r="AF548" i="2" s="1"/>
  <c r="AB549" i="2"/>
  <c r="AD549" i="2" s="1"/>
  <c r="AF549" i="2" s="1"/>
  <c r="AB550" i="2"/>
  <c r="AD550" i="2" s="1"/>
  <c r="AF550" i="2" s="1"/>
  <c r="AB551" i="2"/>
  <c r="AD551" i="2" s="1"/>
  <c r="AF551" i="2" s="1"/>
  <c r="AB552" i="2"/>
  <c r="AD552" i="2" s="1"/>
  <c r="AF552" i="2" s="1"/>
  <c r="AB553" i="2"/>
  <c r="AD553" i="2" s="1"/>
  <c r="AF553" i="2" s="1"/>
  <c r="AB554" i="2"/>
  <c r="AD554" i="2" s="1"/>
  <c r="AF554" i="2" s="1"/>
  <c r="AB555" i="2"/>
  <c r="AD555" i="2" s="1"/>
  <c r="AF555" i="2" s="1"/>
  <c r="AB556" i="2"/>
  <c r="AD556" i="2" s="1"/>
  <c r="AF556" i="2" s="1"/>
  <c r="AB557" i="2"/>
  <c r="AD557" i="2" s="1"/>
  <c r="AF557" i="2" s="1"/>
  <c r="AB558" i="2"/>
  <c r="AD558" i="2" s="1"/>
  <c r="AF558" i="2" s="1"/>
  <c r="AB559" i="2"/>
  <c r="AD559" i="2" s="1"/>
  <c r="AF559" i="2" s="1"/>
  <c r="AB560" i="2"/>
  <c r="AD560" i="2" s="1"/>
  <c r="AF560" i="2" s="1"/>
  <c r="AB561" i="2"/>
  <c r="AD561" i="2" s="1"/>
  <c r="AF561" i="2" s="1"/>
  <c r="AB562" i="2"/>
  <c r="AD562" i="2" s="1"/>
  <c r="AF562" i="2" s="1"/>
  <c r="AB563" i="2"/>
  <c r="AD563" i="2" s="1"/>
  <c r="AF563" i="2" s="1"/>
  <c r="AB564" i="2"/>
  <c r="AD564" i="2" s="1"/>
  <c r="AF564" i="2" s="1"/>
  <c r="AB565" i="2"/>
  <c r="AD565" i="2" s="1"/>
  <c r="AF565" i="2" s="1"/>
  <c r="AB566" i="2"/>
  <c r="AD566" i="2" s="1"/>
  <c r="AF566" i="2" s="1"/>
  <c r="AB567" i="2"/>
  <c r="AD567" i="2" s="1"/>
  <c r="AF567" i="2" s="1"/>
  <c r="AB568" i="2"/>
  <c r="AD568" i="2" s="1"/>
  <c r="AF568" i="2" s="1"/>
  <c r="AB569" i="2"/>
  <c r="AD569" i="2" s="1"/>
  <c r="AF569" i="2" s="1"/>
  <c r="AB570" i="2"/>
  <c r="AD570" i="2" s="1"/>
  <c r="AF570" i="2" s="1"/>
  <c r="AB571" i="2"/>
  <c r="AD571" i="2" s="1"/>
  <c r="AF571" i="2" s="1"/>
  <c r="AB572" i="2"/>
  <c r="AD572" i="2" s="1"/>
  <c r="AF572" i="2" s="1"/>
  <c r="AB573" i="2"/>
  <c r="AD573" i="2" s="1"/>
  <c r="AF573" i="2" s="1"/>
  <c r="AB574" i="2"/>
  <c r="AD574" i="2" s="1"/>
  <c r="AF574" i="2" s="1"/>
  <c r="AB575" i="2"/>
  <c r="AD575" i="2" s="1"/>
  <c r="AF575" i="2" s="1"/>
  <c r="AB576" i="2"/>
  <c r="AD576" i="2" s="1"/>
  <c r="AF576" i="2" s="1"/>
  <c r="AB577" i="2"/>
  <c r="AD577" i="2" s="1"/>
  <c r="AF577" i="2" s="1"/>
  <c r="AB578" i="2"/>
  <c r="AD578" i="2" s="1"/>
  <c r="AF578" i="2" s="1"/>
  <c r="AB579" i="2"/>
  <c r="AD579" i="2" s="1"/>
  <c r="AF579" i="2" s="1"/>
  <c r="AB580" i="2"/>
  <c r="AD580" i="2" s="1"/>
  <c r="AF580" i="2" s="1"/>
  <c r="AB581" i="2"/>
  <c r="AD581" i="2" s="1"/>
  <c r="AF581" i="2" s="1"/>
  <c r="AB582" i="2"/>
  <c r="AD582" i="2" s="1"/>
  <c r="AF582" i="2" s="1"/>
  <c r="AB583" i="2"/>
  <c r="AD583" i="2" s="1"/>
  <c r="AF583" i="2" s="1"/>
  <c r="AB584" i="2"/>
  <c r="AD584" i="2" s="1"/>
  <c r="AF584" i="2" s="1"/>
  <c r="AB585" i="2"/>
  <c r="AD585" i="2" s="1"/>
  <c r="AF585" i="2" s="1"/>
  <c r="AB586" i="2"/>
  <c r="AD586" i="2" s="1"/>
  <c r="AF586" i="2" s="1"/>
  <c r="AB587" i="2"/>
  <c r="AD587" i="2" s="1"/>
  <c r="AF587" i="2" s="1"/>
  <c r="AB588" i="2"/>
  <c r="AD588" i="2" s="1"/>
  <c r="AF588" i="2" s="1"/>
  <c r="AB589" i="2"/>
  <c r="AD589" i="2" s="1"/>
  <c r="AF589" i="2" s="1"/>
  <c r="AB590" i="2"/>
  <c r="AD590" i="2" s="1"/>
  <c r="AF590" i="2" s="1"/>
  <c r="AB591" i="2"/>
  <c r="AD591" i="2" s="1"/>
  <c r="AF591" i="2" s="1"/>
  <c r="AB592" i="2"/>
  <c r="AD592" i="2" s="1"/>
  <c r="AF592" i="2" s="1"/>
  <c r="AB593" i="2"/>
  <c r="AD593" i="2" s="1"/>
  <c r="AF593" i="2" s="1"/>
  <c r="AB594" i="2"/>
  <c r="AD594" i="2" s="1"/>
  <c r="AF594" i="2" s="1"/>
  <c r="AB595" i="2"/>
  <c r="AD595" i="2" s="1"/>
  <c r="AF595" i="2" s="1"/>
  <c r="AB596" i="2"/>
  <c r="AD596" i="2" s="1"/>
  <c r="AF596" i="2" s="1"/>
  <c r="AB597" i="2"/>
  <c r="AD597" i="2" s="1"/>
  <c r="AF597" i="2" s="1"/>
  <c r="AB598" i="2"/>
  <c r="AD598" i="2" s="1"/>
  <c r="AF598" i="2" s="1"/>
  <c r="AB599" i="2"/>
  <c r="AD599" i="2" s="1"/>
  <c r="AF599" i="2" s="1"/>
  <c r="AB600" i="2"/>
  <c r="AD600" i="2" s="1"/>
  <c r="AF600" i="2" s="1"/>
  <c r="AB601" i="2"/>
  <c r="AD601" i="2" s="1"/>
  <c r="AF601" i="2" s="1"/>
  <c r="AB602" i="2"/>
  <c r="AD602" i="2" s="1"/>
  <c r="AF602" i="2" s="1"/>
  <c r="AB603" i="2"/>
  <c r="AD603" i="2" s="1"/>
  <c r="AF603" i="2" s="1"/>
  <c r="AB604" i="2"/>
  <c r="AD604" i="2" s="1"/>
  <c r="AF604" i="2" s="1"/>
  <c r="AB605" i="2"/>
  <c r="AD605" i="2" s="1"/>
  <c r="AF605" i="2" s="1"/>
  <c r="AB606" i="2"/>
  <c r="AD606" i="2" s="1"/>
  <c r="AF606" i="2" s="1"/>
  <c r="AB607" i="2"/>
  <c r="AD607" i="2" s="1"/>
  <c r="AF607" i="2" s="1"/>
  <c r="AB608" i="2"/>
  <c r="AD608" i="2" s="1"/>
  <c r="AF608" i="2" s="1"/>
  <c r="AB609" i="2"/>
  <c r="AD609" i="2" s="1"/>
  <c r="AF609" i="2" s="1"/>
  <c r="AB610" i="2"/>
  <c r="AD610" i="2" s="1"/>
  <c r="AF610" i="2" s="1"/>
  <c r="AB611" i="2"/>
  <c r="AD611" i="2" s="1"/>
  <c r="AF611" i="2" s="1"/>
  <c r="AB612" i="2"/>
  <c r="AD612" i="2" s="1"/>
  <c r="AF612" i="2" s="1"/>
  <c r="AB613" i="2"/>
  <c r="AD613" i="2" s="1"/>
  <c r="AF613" i="2" s="1"/>
  <c r="AB614" i="2"/>
  <c r="AD614" i="2" s="1"/>
  <c r="AF614" i="2" s="1"/>
  <c r="AB615" i="2"/>
  <c r="AD615" i="2" s="1"/>
  <c r="AF615" i="2" s="1"/>
  <c r="AB616" i="2"/>
  <c r="AD616" i="2" s="1"/>
  <c r="AF616" i="2" s="1"/>
  <c r="AB617" i="2"/>
  <c r="AD617" i="2" s="1"/>
  <c r="AF617" i="2" s="1"/>
  <c r="AB618" i="2"/>
  <c r="AD618" i="2" s="1"/>
  <c r="AF618" i="2" s="1"/>
  <c r="AB619" i="2"/>
  <c r="AD619" i="2" s="1"/>
  <c r="AF619" i="2" s="1"/>
  <c r="AB620" i="2"/>
  <c r="AD620" i="2" s="1"/>
  <c r="AF620" i="2" s="1"/>
  <c r="AB621" i="2"/>
  <c r="AD621" i="2" s="1"/>
  <c r="AF621" i="2" s="1"/>
  <c r="AB622" i="2"/>
  <c r="AD622" i="2" s="1"/>
  <c r="AF622" i="2" s="1"/>
  <c r="AB623" i="2"/>
  <c r="AD623" i="2" s="1"/>
  <c r="AF623" i="2" s="1"/>
  <c r="AB624" i="2"/>
  <c r="AD624" i="2" s="1"/>
  <c r="AF624" i="2" s="1"/>
  <c r="AB625" i="2"/>
  <c r="AD625" i="2" s="1"/>
  <c r="AF625" i="2" s="1"/>
  <c r="AB626" i="2"/>
  <c r="AD626" i="2" s="1"/>
  <c r="AF626" i="2" s="1"/>
  <c r="AB627" i="2"/>
  <c r="AD627" i="2" s="1"/>
  <c r="AF627" i="2" s="1"/>
  <c r="AB628" i="2"/>
  <c r="AD628" i="2" s="1"/>
  <c r="AF628" i="2" s="1"/>
  <c r="AB629" i="2"/>
  <c r="AD629" i="2" s="1"/>
  <c r="AF629" i="2" s="1"/>
  <c r="AB630" i="2"/>
  <c r="AD630" i="2" s="1"/>
  <c r="AF630" i="2" s="1"/>
  <c r="AB631" i="2"/>
  <c r="AD631" i="2" s="1"/>
  <c r="AF631" i="2" s="1"/>
  <c r="AB632" i="2"/>
  <c r="AD632" i="2" s="1"/>
  <c r="AF632" i="2" s="1"/>
  <c r="AB633" i="2"/>
  <c r="AD633" i="2" s="1"/>
  <c r="AF633" i="2" s="1"/>
  <c r="AB634" i="2"/>
  <c r="AD634" i="2" s="1"/>
  <c r="AF634" i="2" s="1"/>
  <c r="AB635" i="2"/>
  <c r="AD635" i="2" s="1"/>
  <c r="AF635" i="2" s="1"/>
  <c r="AB636" i="2"/>
  <c r="AD636" i="2" s="1"/>
  <c r="AF636" i="2" s="1"/>
  <c r="AB637" i="2"/>
  <c r="AD637" i="2" s="1"/>
  <c r="AF637" i="2" s="1"/>
  <c r="AB638" i="2"/>
  <c r="AD638" i="2" s="1"/>
  <c r="AF638" i="2" s="1"/>
  <c r="AB639" i="2"/>
  <c r="AD639" i="2" s="1"/>
  <c r="AF639" i="2" s="1"/>
  <c r="AB640" i="2"/>
  <c r="AD640" i="2" s="1"/>
  <c r="AF640" i="2" s="1"/>
  <c r="AB641" i="2"/>
  <c r="AD641" i="2" s="1"/>
  <c r="AF641" i="2" s="1"/>
  <c r="AB642" i="2"/>
  <c r="AD642" i="2" s="1"/>
  <c r="AF642" i="2" s="1"/>
  <c r="AB643" i="2"/>
  <c r="AD643" i="2" s="1"/>
  <c r="AF643" i="2" s="1"/>
  <c r="AB644" i="2"/>
  <c r="AD644" i="2" s="1"/>
  <c r="AF644" i="2" s="1"/>
  <c r="AB645" i="2"/>
  <c r="AD645" i="2" s="1"/>
  <c r="AF645" i="2" s="1"/>
  <c r="AB646" i="2"/>
  <c r="AD646" i="2" s="1"/>
  <c r="AF646" i="2" s="1"/>
  <c r="AB647" i="2"/>
  <c r="AD647" i="2" s="1"/>
  <c r="AF647" i="2" s="1"/>
  <c r="AB648" i="2"/>
  <c r="AD648" i="2" s="1"/>
  <c r="AF648" i="2" s="1"/>
  <c r="AB649" i="2"/>
  <c r="AD649" i="2" s="1"/>
  <c r="AF649" i="2" s="1"/>
  <c r="AB650" i="2"/>
  <c r="AD650" i="2" s="1"/>
  <c r="AF650" i="2" s="1"/>
  <c r="AB651" i="2"/>
  <c r="AD651" i="2" s="1"/>
  <c r="AF651" i="2" s="1"/>
  <c r="AB652" i="2"/>
  <c r="AD652" i="2" s="1"/>
  <c r="AF652" i="2" s="1"/>
  <c r="AB653" i="2"/>
  <c r="AD653" i="2" s="1"/>
  <c r="AF653" i="2" s="1"/>
  <c r="AB654" i="2"/>
  <c r="AD654" i="2" s="1"/>
  <c r="AF654" i="2" s="1"/>
  <c r="AB655" i="2"/>
  <c r="AD655" i="2" s="1"/>
  <c r="AF655" i="2" s="1"/>
  <c r="AB656" i="2"/>
  <c r="AD656" i="2" s="1"/>
  <c r="AF656" i="2" s="1"/>
  <c r="AB657" i="2"/>
  <c r="AD657" i="2" s="1"/>
  <c r="AF657" i="2" s="1"/>
  <c r="AB658" i="2"/>
  <c r="AD658" i="2" s="1"/>
  <c r="AF658" i="2" s="1"/>
  <c r="AB659" i="2"/>
  <c r="AD659" i="2" s="1"/>
  <c r="AF659" i="2" s="1"/>
  <c r="AB660" i="2"/>
  <c r="AD660" i="2" s="1"/>
  <c r="AF660" i="2" s="1"/>
  <c r="AB661" i="2"/>
  <c r="AD661" i="2" s="1"/>
  <c r="AF661" i="2" s="1"/>
  <c r="AB662" i="2"/>
  <c r="AD662" i="2" s="1"/>
  <c r="AF662" i="2" s="1"/>
  <c r="AB663" i="2"/>
  <c r="AD663" i="2" s="1"/>
  <c r="AF663" i="2" s="1"/>
  <c r="AB664" i="2"/>
  <c r="AD664" i="2" s="1"/>
  <c r="AF664" i="2" s="1"/>
  <c r="AB665" i="2"/>
  <c r="AD665" i="2" s="1"/>
  <c r="AF665" i="2" s="1"/>
  <c r="AB666" i="2"/>
  <c r="AD666" i="2" s="1"/>
  <c r="AF666" i="2" s="1"/>
  <c r="AB667" i="2"/>
  <c r="AD667" i="2" s="1"/>
  <c r="AF667" i="2" s="1"/>
  <c r="AB668" i="2"/>
  <c r="AD668" i="2" s="1"/>
  <c r="AF668" i="2" s="1"/>
  <c r="AB669" i="2"/>
  <c r="AD669" i="2" s="1"/>
  <c r="AF669" i="2" s="1"/>
  <c r="AB670" i="2"/>
  <c r="AD670" i="2" s="1"/>
  <c r="AF670" i="2" s="1"/>
  <c r="AB671" i="2"/>
  <c r="AD671" i="2" s="1"/>
  <c r="AF671" i="2" s="1"/>
  <c r="AB672" i="2"/>
  <c r="AD672" i="2" s="1"/>
  <c r="AF672" i="2" s="1"/>
  <c r="AB673" i="2"/>
  <c r="AD673" i="2" s="1"/>
  <c r="AF673" i="2" s="1"/>
  <c r="AB674" i="2"/>
  <c r="AD674" i="2" s="1"/>
  <c r="AF674" i="2" s="1"/>
  <c r="AB675" i="2"/>
  <c r="AD675" i="2" s="1"/>
  <c r="AF675" i="2" s="1"/>
  <c r="AB676" i="2"/>
  <c r="AD676" i="2" s="1"/>
  <c r="AF676" i="2" s="1"/>
  <c r="AB677" i="2"/>
  <c r="AD677" i="2" s="1"/>
  <c r="AF677" i="2" s="1"/>
  <c r="AB678" i="2"/>
  <c r="AD678" i="2" s="1"/>
  <c r="AF678" i="2" s="1"/>
  <c r="AB679" i="2"/>
  <c r="AD679" i="2" s="1"/>
  <c r="AF679" i="2" s="1"/>
  <c r="AB680" i="2"/>
  <c r="AD680" i="2" s="1"/>
  <c r="AF680" i="2" s="1"/>
  <c r="AB681" i="2"/>
  <c r="AD681" i="2" s="1"/>
  <c r="AF681" i="2" s="1"/>
  <c r="AB682" i="2"/>
  <c r="AD682" i="2" s="1"/>
  <c r="AF682" i="2" s="1"/>
  <c r="AB683" i="2"/>
  <c r="AD683" i="2" s="1"/>
  <c r="AF683" i="2" s="1"/>
  <c r="AB684" i="2"/>
  <c r="AD684" i="2" s="1"/>
  <c r="AF684" i="2" s="1"/>
  <c r="AB685" i="2"/>
  <c r="AD685" i="2" s="1"/>
  <c r="AF685" i="2" s="1"/>
  <c r="AB686" i="2"/>
  <c r="AD686" i="2" s="1"/>
  <c r="AF686" i="2" s="1"/>
  <c r="AB687" i="2"/>
  <c r="AD687" i="2" s="1"/>
  <c r="AF687" i="2" s="1"/>
  <c r="AB688" i="2"/>
  <c r="AD688" i="2" s="1"/>
  <c r="AF688" i="2" s="1"/>
  <c r="AB689" i="2"/>
  <c r="AD689" i="2" s="1"/>
  <c r="AF689" i="2" s="1"/>
  <c r="AB690" i="2"/>
  <c r="AD690" i="2" s="1"/>
  <c r="AF690" i="2" s="1"/>
  <c r="AB691" i="2"/>
  <c r="AD691" i="2" s="1"/>
  <c r="AF691" i="2" s="1"/>
  <c r="AB692" i="2"/>
  <c r="AD692" i="2" s="1"/>
  <c r="AF692" i="2" s="1"/>
  <c r="AB693" i="2"/>
  <c r="AD693" i="2" s="1"/>
  <c r="AF693" i="2" s="1"/>
  <c r="AB694" i="2"/>
  <c r="AD694" i="2" s="1"/>
  <c r="AF694" i="2" s="1"/>
  <c r="AB695" i="2"/>
  <c r="AD695" i="2" s="1"/>
  <c r="AF695" i="2" s="1"/>
  <c r="AB696" i="2"/>
  <c r="AD696" i="2" s="1"/>
  <c r="AF696" i="2" s="1"/>
  <c r="AB697" i="2"/>
  <c r="AD697" i="2" s="1"/>
  <c r="AF697" i="2" s="1"/>
  <c r="AB698" i="2"/>
  <c r="AD698" i="2" s="1"/>
  <c r="AF698" i="2" s="1"/>
  <c r="AB699" i="2"/>
  <c r="AD699" i="2" s="1"/>
  <c r="AF699" i="2" s="1"/>
  <c r="AB700" i="2"/>
  <c r="AD700" i="2" s="1"/>
  <c r="AF700" i="2" s="1"/>
  <c r="AB701" i="2"/>
  <c r="AD701" i="2" s="1"/>
  <c r="AF701" i="2" s="1"/>
  <c r="AB702" i="2"/>
  <c r="AD702" i="2" s="1"/>
  <c r="AF702" i="2" s="1"/>
  <c r="AB703" i="2"/>
  <c r="AD703" i="2" s="1"/>
  <c r="AF703" i="2" s="1"/>
  <c r="AB704" i="2"/>
  <c r="AD704" i="2" s="1"/>
  <c r="AF704" i="2" s="1"/>
  <c r="AB705" i="2"/>
  <c r="AD705" i="2" s="1"/>
  <c r="AF705" i="2" s="1"/>
  <c r="AB706" i="2"/>
  <c r="AD706" i="2" s="1"/>
  <c r="AF706" i="2" s="1"/>
  <c r="AB707" i="2"/>
  <c r="AD707" i="2" s="1"/>
  <c r="AF707" i="2" s="1"/>
  <c r="AB708" i="2"/>
  <c r="AD708" i="2" s="1"/>
  <c r="AF708" i="2" s="1"/>
  <c r="AB709" i="2"/>
  <c r="AD709" i="2" s="1"/>
  <c r="AF709" i="2" s="1"/>
  <c r="AB710" i="2"/>
  <c r="AD710" i="2" s="1"/>
  <c r="AF710" i="2" s="1"/>
  <c r="AB711" i="2"/>
  <c r="AD711" i="2" s="1"/>
  <c r="AF711" i="2" s="1"/>
  <c r="AB712" i="2"/>
  <c r="AD712" i="2" s="1"/>
  <c r="AF712" i="2" s="1"/>
  <c r="AB713" i="2"/>
  <c r="AD713" i="2" s="1"/>
  <c r="AF713" i="2" s="1"/>
  <c r="AB714" i="2"/>
  <c r="AD714" i="2" s="1"/>
  <c r="AF714" i="2" s="1"/>
  <c r="AB715" i="2"/>
  <c r="AD715" i="2" s="1"/>
  <c r="AF715" i="2" s="1"/>
  <c r="AB716" i="2"/>
  <c r="AD716" i="2" s="1"/>
  <c r="AF716" i="2" s="1"/>
  <c r="AB717" i="2"/>
  <c r="AD717" i="2" s="1"/>
  <c r="AF717" i="2" s="1"/>
  <c r="AB718" i="2"/>
  <c r="AD718" i="2" s="1"/>
  <c r="AF718" i="2" s="1"/>
  <c r="AB719" i="2"/>
  <c r="AD719" i="2" s="1"/>
  <c r="AF719" i="2" s="1"/>
  <c r="AB720" i="2"/>
  <c r="AD720" i="2" s="1"/>
  <c r="AF720" i="2" s="1"/>
  <c r="AB721" i="2"/>
  <c r="AD721" i="2" s="1"/>
  <c r="AF721" i="2" s="1"/>
  <c r="AB722" i="2"/>
  <c r="AD722" i="2" s="1"/>
  <c r="AF722" i="2" s="1"/>
  <c r="AB723" i="2"/>
  <c r="AD723" i="2" s="1"/>
  <c r="AF723" i="2" s="1"/>
  <c r="AB724" i="2"/>
  <c r="AD724" i="2" s="1"/>
  <c r="AF724" i="2" s="1"/>
  <c r="AB725" i="2"/>
  <c r="AD725" i="2" s="1"/>
  <c r="AF725" i="2" s="1"/>
  <c r="AB726" i="2"/>
  <c r="AD726" i="2" s="1"/>
  <c r="AF726" i="2" s="1"/>
  <c r="AB727" i="2"/>
  <c r="AD727" i="2" s="1"/>
  <c r="AF727" i="2" s="1"/>
  <c r="AB728" i="2"/>
  <c r="AD728" i="2" s="1"/>
  <c r="AF728" i="2" s="1"/>
  <c r="AB729" i="2"/>
  <c r="AD729" i="2" s="1"/>
  <c r="AF729" i="2" s="1"/>
  <c r="AB730" i="2"/>
  <c r="AD730" i="2" s="1"/>
  <c r="AF730" i="2" s="1"/>
  <c r="AB731" i="2"/>
  <c r="AD731" i="2" s="1"/>
  <c r="AF731" i="2" s="1"/>
  <c r="AB732" i="2"/>
  <c r="AD732" i="2" s="1"/>
  <c r="AF732" i="2" s="1"/>
  <c r="AB733" i="2"/>
  <c r="AD733" i="2" s="1"/>
  <c r="AF733" i="2" s="1"/>
  <c r="AB734" i="2"/>
  <c r="AD734" i="2" s="1"/>
  <c r="AF734" i="2" s="1"/>
  <c r="AB735" i="2"/>
  <c r="AD735" i="2" s="1"/>
  <c r="AF735" i="2" s="1"/>
  <c r="AB736" i="2"/>
  <c r="AD736" i="2" s="1"/>
  <c r="AF736" i="2" s="1"/>
  <c r="AB737" i="2"/>
  <c r="AD737" i="2" s="1"/>
  <c r="AF737" i="2" s="1"/>
  <c r="AB738" i="2"/>
  <c r="AD738" i="2" s="1"/>
  <c r="AF738" i="2" s="1"/>
  <c r="AB739" i="2"/>
  <c r="AD739" i="2" s="1"/>
  <c r="AF739" i="2" s="1"/>
  <c r="AB740" i="2"/>
  <c r="AD740" i="2" s="1"/>
  <c r="AF740" i="2" s="1"/>
  <c r="AB741" i="2"/>
  <c r="AD741" i="2" s="1"/>
  <c r="AF741" i="2" s="1"/>
  <c r="AB742" i="2"/>
  <c r="AD742" i="2" s="1"/>
  <c r="AF742" i="2" s="1"/>
  <c r="AB743" i="2"/>
  <c r="AD743" i="2" s="1"/>
  <c r="AF743" i="2" s="1"/>
  <c r="AB744" i="2"/>
  <c r="AD744" i="2" s="1"/>
  <c r="AF744" i="2" s="1"/>
  <c r="AB745" i="2"/>
  <c r="AD745" i="2" s="1"/>
  <c r="AF745" i="2" s="1"/>
  <c r="AB746" i="2"/>
  <c r="AD746" i="2" s="1"/>
  <c r="AF746" i="2" s="1"/>
  <c r="AB747" i="2"/>
  <c r="AD747" i="2" s="1"/>
  <c r="AF747" i="2" s="1"/>
  <c r="AB748" i="2"/>
  <c r="AD748" i="2" s="1"/>
  <c r="AF748" i="2" s="1"/>
  <c r="AB749" i="2"/>
  <c r="AD749" i="2" s="1"/>
  <c r="AF749" i="2" s="1"/>
  <c r="AB750" i="2"/>
  <c r="AD750" i="2" s="1"/>
  <c r="AF750" i="2" s="1"/>
  <c r="AB751" i="2"/>
  <c r="AD751" i="2" s="1"/>
  <c r="AF751" i="2" s="1"/>
  <c r="AB752" i="2"/>
  <c r="AD752" i="2" s="1"/>
  <c r="AF752" i="2" s="1"/>
  <c r="AB753" i="2"/>
  <c r="AD753" i="2" s="1"/>
  <c r="AF753" i="2" s="1"/>
  <c r="AB754" i="2"/>
  <c r="AD754" i="2" s="1"/>
  <c r="AF754" i="2" s="1"/>
  <c r="AB755" i="2"/>
  <c r="AD755" i="2" s="1"/>
  <c r="AF755" i="2" s="1"/>
  <c r="AB756" i="2"/>
  <c r="AD756" i="2" s="1"/>
  <c r="AF756" i="2" s="1"/>
  <c r="AB757" i="2"/>
  <c r="AD757" i="2" s="1"/>
  <c r="AF757" i="2" s="1"/>
  <c r="AB758" i="2"/>
  <c r="AD758" i="2" s="1"/>
  <c r="AF758" i="2" s="1"/>
  <c r="AB759" i="2"/>
  <c r="AD759" i="2" s="1"/>
  <c r="AF759" i="2" s="1"/>
  <c r="AB760" i="2"/>
  <c r="AD760" i="2" s="1"/>
  <c r="AF760" i="2" s="1"/>
  <c r="AB761" i="2"/>
  <c r="AD761" i="2" s="1"/>
  <c r="AF761" i="2" s="1"/>
  <c r="AB762" i="2"/>
  <c r="AD762" i="2" s="1"/>
  <c r="AF762" i="2" s="1"/>
  <c r="AB763" i="2"/>
  <c r="AD763" i="2" s="1"/>
  <c r="AF763" i="2" s="1"/>
  <c r="AB764" i="2"/>
  <c r="AD764" i="2" s="1"/>
  <c r="AF764" i="2" s="1"/>
  <c r="AB765" i="2"/>
  <c r="AD765" i="2" s="1"/>
  <c r="AF765" i="2" s="1"/>
  <c r="AB766" i="2"/>
  <c r="AD766" i="2" s="1"/>
  <c r="AF766" i="2" s="1"/>
  <c r="AB767" i="2"/>
  <c r="AD767" i="2" s="1"/>
  <c r="AF767" i="2" s="1"/>
  <c r="AB768" i="2"/>
  <c r="AD768" i="2" s="1"/>
  <c r="AF768" i="2" s="1"/>
  <c r="AB769" i="2"/>
  <c r="AD769" i="2" s="1"/>
  <c r="AF769" i="2" s="1"/>
  <c r="AB770" i="2"/>
  <c r="AD770" i="2" s="1"/>
  <c r="AF770" i="2" s="1"/>
  <c r="AB771" i="2"/>
  <c r="AD771" i="2" s="1"/>
  <c r="AF771" i="2" s="1"/>
  <c r="AB772" i="2"/>
  <c r="AD772" i="2" s="1"/>
  <c r="AF772" i="2" s="1"/>
  <c r="AB773" i="2"/>
  <c r="AD773" i="2" s="1"/>
  <c r="AF773" i="2" s="1"/>
  <c r="AB774" i="2"/>
  <c r="AD774" i="2" s="1"/>
  <c r="AF774" i="2" s="1"/>
  <c r="AB775" i="2"/>
  <c r="AD775" i="2" s="1"/>
  <c r="AF775" i="2" s="1"/>
  <c r="AB776" i="2"/>
  <c r="AD776" i="2" s="1"/>
  <c r="AF776" i="2" s="1"/>
  <c r="AB777" i="2"/>
  <c r="AD777" i="2" s="1"/>
  <c r="AF777" i="2" s="1"/>
  <c r="AB778" i="2"/>
  <c r="AD778" i="2" s="1"/>
  <c r="AF778" i="2" s="1"/>
  <c r="AB779" i="2"/>
  <c r="AD779" i="2" s="1"/>
  <c r="AF779" i="2" s="1"/>
  <c r="AB780" i="2"/>
  <c r="AD780" i="2" s="1"/>
  <c r="AF780" i="2" s="1"/>
  <c r="AB781" i="2"/>
  <c r="AD781" i="2" s="1"/>
  <c r="AF781" i="2" s="1"/>
  <c r="AB782" i="2"/>
  <c r="AD782" i="2" s="1"/>
  <c r="AF782" i="2" s="1"/>
  <c r="AB783" i="2"/>
  <c r="AD783" i="2" s="1"/>
  <c r="AF783" i="2" s="1"/>
  <c r="AB784" i="2"/>
  <c r="AD784" i="2" s="1"/>
  <c r="AF784" i="2" s="1"/>
  <c r="AB785" i="2"/>
  <c r="AD785" i="2" s="1"/>
  <c r="AF785" i="2" s="1"/>
  <c r="AB786" i="2"/>
  <c r="AD786" i="2" s="1"/>
  <c r="AF786" i="2" s="1"/>
  <c r="AB787" i="2"/>
  <c r="AD787" i="2" s="1"/>
  <c r="AF787" i="2" s="1"/>
  <c r="AB788" i="2"/>
  <c r="AD788" i="2" s="1"/>
  <c r="AF788" i="2" s="1"/>
  <c r="AB789" i="2"/>
  <c r="AD789" i="2" s="1"/>
  <c r="AF789" i="2" s="1"/>
  <c r="AB790" i="2"/>
  <c r="AD790" i="2" s="1"/>
  <c r="AF790" i="2" s="1"/>
  <c r="AB791" i="2"/>
  <c r="AD791" i="2" s="1"/>
  <c r="AF791" i="2" s="1"/>
  <c r="AB792" i="2"/>
  <c r="AD792" i="2" s="1"/>
  <c r="AF792" i="2" s="1"/>
  <c r="AB793" i="2"/>
  <c r="AD793" i="2" s="1"/>
  <c r="AF793" i="2" s="1"/>
  <c r="AB794" i="2"/>
  <c r="AD794" i="2" s="1"/>
  <c r="AF794" i="2" s="1"/>
  <c r="AB795" i="2"/>
  <c r="AD795" i="2" s="1"/>
  <c r="AF795" i="2" s="1"/>
  <c r="AB796" i="2"/>
  <c r="AD796" i="2" s="1"/>
  <c r="AF796" i="2" s="1"/>
  <c r="AB797" i="2"/>
  <c r="AD797" i="2" s="1"/>
  <c r="AF797" i="2" s="1"/>
  <c r="AB798" i="2"/>
  <c r="AD798" i="2" s="1"/>
  <c r="AF798" i="2" s="1"/>
  <c r="AB799" i="2"/>
  <c r="AD799" i="2" s="1"/>
  <c r="AF799" i="2" s="1"/>
  <c r="AB800" i="2"/>
  <c r="AD800" i="2" s="1"/>
  <c r="AF800" i="2" s="1"/>
  <c r="AB801" i="2"/>
  <c r="AD801" i="2" s="1"/>
  <c r="AF801" i="2" s="1"/>
  <c r="AB802" i="2"/>
  <c r="AD802" i="2" s="1"/>
  <c r="AF802" i="2" s="1"/>
  <c r="AB803" i="2"/>
  <c r="AD803" i="2" s="1"/>
  <c r="AF803" i="2" s="1"/>
  <c r="AB804" i="2"/>
  <c r="AD804" i="2" s="1"/>
  <c r="AF804" i="2" s="1"/>
  <c r="AB805" i="2"/>
  <c r="AD805" i="2" s="1"/>
  <c r="AF805" i="2" s="1"/>
  <c r="AB806" i="2"/>
  <c r="AD806" i="2" s="1"/>
  <c r="AF806" i="2" s="1"/>
  <c r="AB807" i="2"/>
  <c r="AD807" i="2" s="1"/>
  <c r="AF807" i="2" s="1"/>
  <c r="AB808" i="2"/>
  <c r="AD808" i="2" s="1"/>
  <c r="AF808" i="2" s="1"/>
  <c r="AB809" i="2"/>
  <c r="AD809" i="2" s="1"/>
  <c r="AF809" i="2" s="1"/>
  <c r="AB810" i="2"/>
  <c r="AD810" i="2" s="1"/>
  <c r="AF810" i="2" s="1"/>
  <c r="AB811" i="2"/>
  <c r="AD811" i="2" s="1"/>
  <c r="AF811" i="2" s="1"/>
  <c r="AB812" i="2"/>
  <c r="AD812" i="2" s="1"/>
  <c r="AF812" i="2" s="1"/>
  <c r="AB813" i="2"/>
  <c r="AD813" i="2" s="1"/>
  <c r="AF813" i="2" s="1"/>
  <c r="AB814" i="2"/>
  <c r="AD814" i="2" s="1"/>
  <c r="AF814" i="2" s="1"/>
  <c r="AB815" i="2"/>
  <c r="AD815" i="2" s="1"/>
  <c r="AF815" i="2" s="1"/>
  <c r="AB816" i="2"/>
  <c r="AD816" i="2" s="1"/>
  <c r="AF816" i="2" s="1"/>
  <c r="AB817" i="2"/>
  <c r="AD817" i="2" s="1"/>
  <c r="AF817" i="2" s="1"/>
  <c r="AB818" i="2"/>
  <c r="AD818" i="2" s="1"/>
  <c r="AF818" i="2" s="1"/>
  <c r="AB819" i="2"/>
  <c r="AD819" i="2" s="1"/>
  <c r="AF819" i="2" s="1"/>
  <c r="AB820" i="2"/>
  <c r="AD820" i="2" s="1"/>
  <c r="AF820" i="2" s="1"/>
  <c r="AB821" i="2"/>
  <c r="AD821" i="2" s="1"/>
  <c r="AF821" i="2" s="1"/>
  <c r="AB822" i="2"/>
  <c r="AD822" i="2" s="1"/>
  <c r="AF822" i="2" s="1"/>
  <c r="AB823" i="2"/>
  <c r="AD823" i="2" s="1"/>
  <c r="AF823" i="2" s="1"/>
  <c r="AB824" i="2"/>
  <c r="AD824" i="2" s="1"/>
  <c r="AF824" i="2" s="1"/>
  <c r="AB825" i="2"/>
  <c r="AD825" i="2" s="1"/>
  <c r="AF825" i="2" s="1"/>
  <c r="AB826" i="2"/>
  <c r="AD826" i="2" s="1"/>
  <c r="AF826" i="2" s="1"/>
  <c r="AB827" i="2"/>
  <c r="AD827" i="2" s="1"/>
  <c r="AF827" i="2" s="1"/>
  <c r="AB828" i="2"/>
  <c r="AD828" i="2" s="1"/>
  <c r="AF828" i="2" s="1"/>
  <c r="AB829" i="2"/>
  <c r="AD829" i="2" s="1"/>
  <c r="AF829" i="2" s="1"/>
  <c r="AB830" i="2"/>
  <c r="AD830" i="2" s="1"/>
  <c r="AF830" i="2" s="1"/>
  <c r="AB831" i="2"/>
  <c r="AD831" i="2" s="1"/>
  <c r="AF831" i="2" s="1"/>
  <c r="AB832" i="2"/>
  <c r="AD832" i="2" s="1"/>
  <c r="AF832" i="2" s="1"/>
  <c r="AB833" i="2"/>
  <c r="AD833" i="2" s="1"/>
  <c r="AF833" i="2" s="1"/>
  <c r="AB834" i="2"/>
  <c r="AD834" i="2" s="1"/>
  <c r="AF834" i="2" s="1"/>
  <c r="AB835" i="2"/>
  <c r="AD835" i="2" s="1"/>
  <c r="AF835" i="2" s="1"/>
  <c r="AB836" i="2"/>
  <c r="AD836" i="2" s="1"/>
  <c r="AF836" i="2" s="1"/>
  <c r="AB837" i="2"/>
  <c r="AD837" i="2" s="1"/>
  <c r="AF837" i="2" s="1"/>
  <c r="AB838" i="2"/>
  <c r="AD838" i="2" s="1"/>
  <c r="AF838" i="2" s="1"/>
  <c r="AB839" i="2"/>
  <c r="AD839" i="2" s="1"/>
  <c r="AF839" i="2" s="1"/>
  <c r="AB840" i="2"/>
  <c r="AD840" i="2" s="1"/>
  <c r="AF840" i="2" s="1"/>
  <c r="AB841" i="2"/>
  <c r="AD841" i="2" s="1"/>
  <c r="AF841" i="2" s="1"/>
  <c r="AB842" i="2"/>
  <c r="AD842" i="2" s="1"/>
  <c r="AF842" i="2" s="1"/>
  <c r="AB843" i="2"/>
  <c r="AD843" i="2" s="1"/>
  <c r="AF843" i="2" s="1"/>
  <c r="AB844" i="2"/>
  <c r="AD844" i="2" s="1"/>
  <c r="AF844" i="2" s="1"/>
  <c r="AB845" i="2"/>
  <c r="AD845" i="2" s="1"/>
  <c r="AF845" i="2" s="1"/>
  <c r="AB846" i="2"/>
  <c r="AD846" i="2" s="1"/>
  <c r="AF846" i="2" s="1"/>
  <c r="AB847" i="2"/>
  <c r="AD847" i="2" s="1"/>
  <c r="AF847" i="2" s="1"/>
  <c r="AB848" i="2"/>
  <c r="AD848" i="2" s="1"/>
  <c r="AF848" i="2" s="1"/>
  <c r="AB849" i="2"/>
  <c r="AD849" i="2" s="1"/>
  <c r="AF849" i="2" s="1"/>
  <c r="AB850" i="2"/>
  <c r="AD850" i="2" s="1"/>
  <c r="AF850" i="2" s="1"/>
  <c r="AB851" i="2"/>
  <c r="AD851" i="2" s="1"/>
  <c r="AF851" i="2" s="1"/>
  <c r="AB852" i="2"/>
  <c r="AD852" i="2" s="1"/>
  <c r="AF852" i="2" s="1"/>
  <c r="AB853" i="2"/>
  <c r="AD853" i="2" s="1"/>
  <c r="AF853" i="2" s="1"/>
  <c r="AB854" i="2"/>
  <c r="AD854" i="2" s="1"/>
  <c r="AF854" i="2" s="1"/>
  <c r="AB855" i="2"/>
  <c r="AD855" i="2" s="1"/>
  <c r="AF855" i="2" s="1"/>
  <c r="AB856" i="2"/>
  <c r="AD856" i="2" s="1"/>
  <c r="AF856" i="2" s="1"/>
  <c r="AB857" i="2"/>
  <c r="AD857" i="2" s="1"/>
  <c r="AF857" i="2" s="1"/>
  <c r="AB858" i="2"/>
  <c r="AD858" i="2" s="1"/>
  <c r="AF858" i="2" s="1"/>
  <c r="AB859" i="2"/>
  <c r="AD859" i="2" s="1"/>
  <c r="AF859" i="2" s="1"/>
  <c r="AB860" i="2"/>
  <c r="AD860" i="2" s="1"/>
  <c r="AF860" i="2" s="1"/>
  <c r="AB861" i="2"/>
  <c r="AD861" i="2" s="1"/>
  <c r="AF861" i="2" s="1"/>
  <c r="AB862" i="2"/>
  <c r="AD862" i="2" s="1"/>
  <c r="AF862" i="2" s="1"/>
  <c r="AB863" i="2"/>
  <c r="AD863" i="2" s="1"/>
  <c r="AF863" i="2" s="1"/>
  <c r="AB864" i="2"/>
  <c r="AD864" i="2" s="1"/>
  <c r="AF864" i="2" s="1"/>
  <c r="AB865" i="2"/>
  <c r="AD865" i="2" s="1"/>
  <c r="AF865" i="2" s="1"/>
  <c r="AB866" i="2"/>
  <c r="AD866" i="2" s="1"/>
  <c r="AF866" i="2" s="1"/>
  <c r="AB867" i="2"/>
  <c r="AD867" i="2" s="1"/>
  <c r="AF867" i="2" s="1"/>
  <c r="AB868" i="2"/>
  <c r="AD868" i="2" s="1"/>
  <c r="AF868" i="2" s="1"/>
  <c r="AB869" i="2"/>
  <c r="AD869" i="2" s="1"/>
  <c r="AF869" i="2" s="1"/>
  <c r="AB870" i="2"/>
  <c r="AD870" i="2" s="1"/>
  <c r="AF870" i="2" s="1"/>
  <c r="AB871" i="2"/>
  <c r="AD871" i="2" s="1"/>
  <c r="AF871" i="2" s="1"/>
  <c r="AB872" i="2"/>
  <c r="AD872" i="2" s="1"/>
  <c r="AF872" i="2" s="1"/>
  <c r="AB873" i="2"/>
  <c r="AD873" i="2" s="1"/>
  <c r="AF873" i="2" s="1"/>
  <c r="AB874" i="2"/>
  <c r="AD874" i="2" s="1"/>
  <c r="AF874" i="2" s="1"/>
  <c r="AB875" i="2"/>
  <c r="AD875" i="2" s="1"/>
  <c r="AF875" i="2" s="1"/>
  <c r="AB876" i="2"/>
  <c r="AD876" i="2" s="1"/>
  <c r="AF876" i="2" s="1"/>
  <c r="AB877" i="2"/>
  <c r="AD877" i="2" s="1"/>
  <c r="AF877" i="2" s="1"/>
  <c r="AB878" i="2"/>
  <c r="AD878" i="2" s="1"/>
  <c r="AF878" i="2" s="1"/>
  <c r="AB879" i="2"/>
  <c r="AD879" i="2" s="1"/>
  <c r="AF879" i="2" s="1"/>
  <c r="AB880" i="2"/>
  <c r="AD880" i="2" s="1"/>
  <c r="AF880" i="2" s="1"/>
  <c r="AB881" i="2"/>
  <c r="AD881" i="2" s="1"/>
  <c r="AF881" i="2" s="1"/>
  <c r="AB882" i="2"/>
  <c r="AD882" i="2" s="1"/>
  <c r="AF882" i="2" s="1"/>
  <c r="AB883" i="2"/>
  <c r="AD883" i="2" s="1"/>
  <c r="AF883" i="2" s="1"/>
  <c r="AB884" i="2"/>
  <c r="AD884" i="2" s="1"/>
  <c r="AF884" i="2" s="1"/>
  <c r="AB885" i="2"/>
  <c r="AD885" i="2" s="1"/>
  <c r="AF885" i="2" s="1"/>
  <c r="AB886" i="2"/>
  <c r="AD886" i="2" s="1"/>
  <c r="AF886" i="2" s="1"/>
  <c r="AB887" i="2"/>
  <c r="AD887" i="2" s="1"/>
  <c r="AF887" i="2" s="1"/>
  <c r="AB888" i="2"/>
  <c r="AD888" i="2" s="1"/>
  <c r="AF888" i="2" s="1"/>
  <c r="AB889" i="2"/>
  <c r="AD889" i="2" s="1"/>
  <c r="AF889" i="2" s="1"/>
  <c r="AB890" i="2"/>
  <c r="AD890" i="2" s="1"/>
  <c r="AF890" i="2" s="1"/>
  <c r="AB891" i="2"/>
  <c r="AD891" i="2" s="1"/>
  <c r="AF891" i="2" s="1"/>
  <c r="AB892" i="2"/>
  <c r="AD892" i="2" s="1"/>
  <c r="AF892" i="2" s="1"/>
  <c r="AB893" i="2"/>
  <c r="AD893" i="2" s="1"/>
  <c r="AF893" i="2" s="1"/>
  <c r="AB894" i="2"/>
  <c r="AD894" i="2" s="1"/>
  <c r="AF894" i="2" s="1"/>
  <c r="AB895" i="2"/>
  <c r="AD895" i="2" s="1"/>
  <c r="AF895" i="2" s="1"/>
  <c r="AB896" i="2"/>
  <c r="AD896" i="2" s="1"/>
  <c r="AF896" i="2" s="1"/>
  <c r="AB897" i="2"/>
  <c r="AD897" i="2" s="1"/>
  <c r="AF897" i="2" s="1"/>
  <c r="AB898" i="2"/>
  <c r="AD898" i="2" s="1"/>
  <c r="AF898" i="2" s="1"/>
  <c r="AB899" i="2"/>
  <c r="AD899" i="2" s="1"/>
  <c r="AF899" i="2" s="1"/>
  <c r="AB900" i="2"/>
  <c r="AD900" i="2" s="1"/>
  <c r="AF900" i="2" s="1"/>
  <c r="AB901" i="2"/>
  <c r="AD901" i="2" s="1"/>
  <c r="AF901" i="2" s="1"/>
  <c r="AB902" i="2"/>
  <c r="AD902" i="2" s="1"/>
  <c r="AF902" i="2" s="1"/>
  <c r="AB903" i="2"/>
  <c r="AD903" i="2" s="1"/>
  <c r="AF903" i="2" s="1"/>
  <c r="AB904" i="2"/>
  <c r="AD904" i="2" s="1"/>
  <c r="AF904" i="2" s="1"/>
  <c r="AB905" i="2"/>
  <c r="AD905" i="2" s="1"/>
  <c r="AF905" i="2" s="1"/>
  <c r="AB906" i="2"/>
  <c r="AD906" i="2" s="1"/>
  <c r="AF906" i="2" s="1"/>
  <c r="AB907" i="2"/>
  <c r="AD907" i="2" s="1"/>
  <c r="AF907" i="2" s="1"/>
  <c r="AB908" i="2"/>
  <c r="AD908" i="2" s="1"/>
  <c r="AF908" i="2" s="1"/>
  <c r="AB909" i="2"/>
  <c r="AD909" i="2" s="1"/>
  <c r="AF909" i="2" s="1"/>
  <c r="AB910" i="2"/>
  <c r="AD910" i="2" s="1"/>
  <c r="AF910" i="2" s="1"/>
  <c r="AB911" i="2"/>
  <c r="AD911" i="2" s="1"/>
  <c r="AF911" i="2" s="1"/>
  <c r="AB912" i="2"/>
  <c r="AD912" i="2" s="1"/>
  <c r="AF912" i="2" s="1"/>
  <c r="AB913" i="2"/>
  <c r="AD913" i="2" s="1"/>
  <c r="AF913" i="2" s="1"/>
  <c r="AB914" i="2"/>
  <c r="AD914" i="2" s="1"/>
  <c r="AF914" i="2" s="1"/>
  <c r="AB915" i="2"/>
  <c r="AD915" i="2" s="1"/>
  <c r="AF915" i="2" s="1"/>
  <c r="AB916" i="2"/>
  <c r="AD916" i="2" s="1"/>
  <c r="AF916" i="2" s="1"/>
  <c r="AB917" i="2"/>
  <c r="AD917" i="2" s="1"/>
  <c r="AF917" i="2" s="1"/>
  <c r="AB918" i="2"/>
  <c r="AD918" i="2" s="1"/>
  <c r="AF918" i="2" s="1"/>
  <c r="AB919" i="2"/>
  <c r="AD919" i="2" s="1"/>
  <c r="AF919" i="2" s="1"/>
  <c r="AB920" i="2"/>
  <c r="AD920" i="2" s="1"/>
  <c r="AF920" i="2" s="1"/>
  <c r="AB921" i="2"/>
  <c r="AD921" i="2" s="1"/>
  <c r="AF921" i="2" s="1"/>
  <c r="AB922" i="2"/>
  <c r="AD922" i="2" s="1"/>
  <c r="AF922" i="2" s="1"/>
  <c r="AB923" i="2"/>
  <c r="AD923" i="2" s="1"/>
  <c r="AF923" i="2" s="1"/>
  <c r="AB924" i="2"/>
  <c r="AD924" i="2" s="1"/>
  <c r="AF924" i="2" s="1"/>
  <c r="AB925" i="2"/>
  <c r="AD925" i="2" s="1"/>
  <c r="AF925" i="2" s="1"/>
  <c r="AB926" i="2"/>
  <c r="AD926" i="2" s="1"/>
  <c r="AF926" i="2" s="1"/>
  <c r="AB927" i="2"/>
  <c r="AD927" i="2" s="1"/>
  <c r="AF927" i="2" s="1"/>
  <c r="AB928" i="2"/>
  <c r="AD928" i="2" s="1"/>
  <c r="AF928" i="2" s="1"/>
  <c r="AB929" i="2"/>
  <c r="AD929" i="2" s="1"/>
  <c r="AF929" i="2" s="1"/>
  <c r="AB930" i="2"/>
  <c r="AD930" i="2" s="1"/>
  <c r="AF930" i="2" s="1"/>
  <c r="AB931" i="2"/>
  <c r="AD931" i="2" s="1"/>
  <c r="AF931" i="2" s="1"/>
  <c r="AB932" i="2"/>
  <c r="AD932" i="2" s="1"/>
  <c r="AF932" i="2" s="1"/>
  <c r="AB933" i="2"/>
  <c r="AD933" i="2" s="1"/>
  <c r="AF933" i="2" s="1"/>
  <c r="AB934" i="2"/>
  <c r="AD934" i="2" s="1"/>
  <c r="AF934" i="2" s="1"/>
  <c r="AB935" i="2"/>
  <c r="AD935" i="2" s="1"/>
  <c r="AF935" i="2" s="1"/>
  <c r="AB936" i="2"/>
  <c r="AD936" i="2" s="1"/>
  <c r="AF936" i="2" s="1"/>
  <c r="AB937" i="2"/>
  <c r="AD937" i="2" s="1"/>
  <c r="AF937" i="2" s="1"/>
  <c r="AB938" i="2"/>
  <c r="AD938" i="2" s="1"/>
  <c r="AF938" i="2" s="1"/>
  <c r="AB939" i="2"/>
  <c r="AD939" i="2" s="1"/>
  <c r="AF939" i="2" s="1"/>
  <c r="AB940" i="2"/>
  <c r="AD940" i="2" s="1"/>
  <c r="AF940" i="2" s="1"/>
  <c r="AB941" i="2"/>
  <c r="AD941" i="2" s="1"/>
  <c r="AF941" i="2" s="1"/>
  <c r="AB942" i="2"/>
  <c r="AD942" i="2" s="1"/>
  <c r="AF942" i="2" s="1"/>
  <c r="AB943" i="2"/>
  <c r="AD943" i="2" s="1"/>
  <c r="AF943" i="2" s="1"/>
  <c r="AB944" i="2"/>
  <c r="AD944" i="2" s="1"/>
  <c r="AF944" i="2" s="1"/>
  <c r="AB945" i="2"/>
  <c r="AD945" i="2" s="1"/>
  <c r="AF945" i="2" s="1"/>
  <c r="AB946" i="2"/>
  <c r="AD946" i="2" s="1"/>
  <c r="AF946" i="2" s="1"/>
  <c r="AB947" i="2"/>
  <c r="AD947" i="2" s="1"/>
  <c r="AF947" i="2" s="1"/>
  <c r="AB948" i="2"/>
  <c r="AD948" i="2" s="1"/>
  <c r="AF948" i="2" s="1"/>
  <c r="AB949" i="2"/>
  <c r="AD949" i="2" s="1"/>
  <c r="AF949" i="2" s="1"/>
  <c r="AB950" i="2"/>
  <c r="AD950" i="2" s="1"/>
  <c r="AF950" i="2" s="1"/>
  <c r="AB951" i="2"/>
  <c r="AD951" i="2" s="1"/>
  <c r="AF951" i="2" s="1"/>
  <c r="AB952" i="2"/>
  <c r="AD952" i="2" s="1"/>
  <c r="AF952" i="2" s="1"/>
  <c r="AB953" i="2"/>
  <c r="AD953" i="2" s="1"/>
  <c r="AF953" i="2" s="1"/>
  <c r="AB954" i="2"/>
  <c r="AD954" i="2" s="1"/>
  <c r="AF954" i="2" s="1"/>
  <c r="AB955" i="2"/>
  <c r="AD955" i="2" s="1"/>
  <c r="AF955" i="2" s="1"/>
  <c r="AB956" i="2"/>
  <c r="AD956" i="2" s="1"/>
  <c r="AF956" i="2" s="1"/>
  <c r="AB957" i="2"/>
  <c r="AD957" i="2" s="1"/>
  <c r="AF957" i="2" s="1"/>
  <c r="AB958" i="2"/>
  <c r="AD958" i="2" s="1"/>
  <c r="AF958" i="2" s="1"/>
  <c r="AB959" i="2"/>
  <c r="AD959" i="2" s="1"/>
  <c r="AF959" i="2" s="1"/>
  <c r="AB960" i="2"/>
  <c r="AD960" i="2" s="1"/>
  <c r="AF960" i="2" s="1"/>
  <c r="AB961" i="2"/>
  <c r="AD961" i="2" s="1"/>
  <c r="AF961" i="2" s="1"/>
  <c r="AB962" i="2"/>
  <c r="AD962" i="2" s="1"/>
  <c r="AF962" i="2" s="1"/>
  <c r="AB963" i="2"/>
  <c r="AD963" i="2" s="1"/>
  <c r="AF963" i="2" s="1"/>
  <c r="AB964" i="2"/>
  <c r="AD964" i="2" s="1"/>
  <c r="AF964" i="2" s="1"/>
  <c r="AB965" i="2"/>
  <c r="AD965" i="2" s="1"/>
  <c r="AF965" i="2" s="1"/>
  <c r="AB966" i="2"/>
  <c r="AD966" i="2" s="1"/>
  <c r="AF966" i="2" s="1"/>
  <c r="AB967" i="2"/>
  <c r="AD967" i="2" s="1"/>
  <c r="AF967" i="2" s="1"/>
  <c r="AB968" i="2"/>
  <c r="AD968" i="2" s="1"/>
  <c r="AF968" i="2" s="1"/>
  <c r="AB969" i="2"/>
  <c r="AD969" i="2" s="1"/>
  <c r="AF969" i="2" s="1"/>
  <c r="AB970" i="2"/>
  <c r="AD970" i="2" s="1"/>
  <c r="AF970" i="2" s="1"/>
  <c r="AB971" i="2"/>
  <c r="AD971" i="2" s="1"/>
  <c r="AF971" i="2" s="1"/>
  <c r="AB972" i="2"/>
  <c r="AD972" i="2" s="1"/>
  <c r="AF972" i="2" s="1"/>
  <c r="AB973" i="2"/>
  <c r="AD973" i="2" s="1"/>
  <c r="AF973" i="2" s="1"/>
  <c r="AB974" i="2"/>
  <c r="AD974" i="2" s="1"/>
  <c r="AF974" i="2" s="1"/>
  <c r="AB975" i="2"/>
  <c r="AD975" i="2" s="1"/>
  <c r="AF975" i="2" s="1"/>
  <c r="AB976" i="2"/>
  <c r="AD976" i="2" s="1"/>
  <c r="AF976" i="2" s="1"/>
  <c r="AB977" i="2"/>
  <c r="AD977" i="2" s="1"/>
  <c r="AF977" i="2" s="1"/>
  <c r="AB978" i="2"/>
  <c r="AD978" i="2" s="1"/>
  <c r="AF978" i="2" s="1"/>
  <c r="AB979" i="2"/>
  <c r="AD979" i="2" s="1"/>
  <c r="AF979" i="2" s="1"/>
  <c r="AB980" i="2"/>
  <c r="AD980" i="2" s="1"/>
  <c r="AF980" i="2" s="1"/>
  <c r="AB981" i="2"/>
  <c r="AD981" i="2" s="1"/>
  <c r="AF981" i="2" s="1"/>
  <c r="AB982" i="2"/>
  <c r="AD982" i="2" s="1"/>
  <c r="AF982" i="2" s="1"/>
  <c r="AB983" i="2"/>
  <c r="AD983" i="2" s="1"/>
  <c r="AF983" i="2" s="1"/>
  <c r="AB984" i="2"/>
  <c r="AD984" i="2" s="1"/>
  <c r="AF984" i="2" s="1"/>
  <c r="AB985" i="2"/>
  <c r="AD985" i="2" s="1"/>
  <c r="AF985" i="2" s="1"/>
  <c r="AB986" i="2"/>
  <c r="AD986" i="2" s="1"/>
  <c r="AF986" i="2" s="1"/>
  <c r="AB987" i="2"/>
  <c r="AD987" i="2" s="1"/>
  <c r="AF987" i="2" s="1"/>
  <c r="AB988" i="2"/>
  <c r="AD988" i="2" s="1"/>
  <c r="AF988" i="2" s="1"/>
  <c r="AB989" i="2"/>
  <c r="AD989" i="2" s="1"/>
  <c r="AF989" i="2" s="1"/>
  <c r="AB990" i="2"/>
  <c r="AD990" i="2" s="1"/>
  <c r="AF990" i="2" s="1"/>
  <c r="AB991" i="2"/>
  <c r="AD991" i="2" s="1"/>
  <c r="AF991" i="2" s="1"/>
  <c r="AB992" i="2"/>
  <c r="AD992" i="2" s="1"/>
  <c r="AF992" i="2" s="1"/>
  <c r="AB993" i="2"/>
  <c r="AD993" i="2" s="1"/>
  <c r="AF993" i="2" s="1"/>
  <c r="AB994" i="2"/>
  <c r="AD994" i="2" s="1"/>
  <c r="AF994" i="2" s="1"/>
  <c r="AB995" i="2"/>
  <c r="AD995" i="2" s="1"/>
  <c r="AF995" i="2" s="1"/>
  <c r="AB996" i="2"/>
  <c r="AD996" i="2" s="1"/>
  <c r="AF996" i="2" s="1"/>
  <c r="AB997" i="2"/>
  <c r="AD997" i="2" s="1"/>
  <c r="AF997" i="2" s="1"/>
  <c r="AB998" i="2"/>
  <c r="AD998" i="2" s="1"/>
  <c r="AF998" i="2" s="1"/>
  <c r="AB999" i="2"/>
  <c r="AD999" i="2" s="1"/>
  <c r="AF999" i="2" s="1"/>
  <c r="AB1000" i="2"/>
  <c r="AD1000" i="2" s="1"/>
  <c r="AF1000" i="2" s="1"/>
  <c r="AB1001" i="2"/>
  <c r="AD1001" i="2" s="1"/>
  <c r="AF1001" i="2" s="1"/>
  <c r="AB1002" i="2"/>
  <c r="AD1002" i="2" s="1"/>
  <c r="AF1002" i="2" s="1"/>
  <c r="AB1003" i="2"/>
  <c r="AD1003" i="2" s="1"/>
  <c r="AF1003" i="2" s="1"/>
  <c r="AB4" i="2"/>
  <c r="AD4" i="2" s="1"/>
  <c r="AF4" i="2" s="1"/>
  <c r="S4" i="2"/>
  <c r="U4" i="2" s="1"/>
  <c r="W4" i="2" s="1"/>
  <c r="S5" i="2"/>
  <c r="U5" i="2" s="1"/>
  <c r="W5" i="2" s="1"/>
  <c r="S6" i="2"/>
  <c r="U6" i="2" s="1"/>
  <c r="W6" i="2" s="1"/>
  <c r="S7" i="2"/>
  <c r="U7" i="2" s="1"/>
  <c r="W7" i="2" s="1"/>
  <c r="S8" i="2"/>
  <c r="U8" i="2" s="1"/>
  <c r="W8" i="2" s="1"/>
  <c r="S9" i="2"/>
  <c r="U9" i="2" s="1"/>
  <c r="W9" i="2" s="1"/>
  <c r="S10" i="2"/>
  <c r="U10" i="2" s="1"/>
  <c r="W10" i="2" s="1"/>
  <c r="S11" i="2"/>
  <c r="U11" i="2" s="1"/>
  <c r="W11" i="2" s="1"/>
  <c r="S12" i="2"/>
  <c r="U12" i="2" s="1"/>
  <c r="W12" i="2" s="1"/>
  <c r="S13" i="2"/>
  <c r="U13" i="2" s="1"/>
  <c r="W13" i="2" s="1"/>
  <c r="S14" i="2"/>
  <c r="U14" i="2" s="1"/>
  <c r="W14" i="2" s="1"/>
  <c r="S15" i="2"/>
  <c r="U15" i="2" s="1"/>
  <c r="W15" i="2" s="1"/>
  <c r="S16" i="2"/>
  <c r="U16" i="2" s="1"/>
  <c r="W16" i="2" s="1"/>
  <c r="S17" i="2"/>
  <c r="U17" i="2" s="1"/>
  <c r="W17" i="2" s="1"/>
  <c r="S18" i="2"/>
  <c r="U18" i="2" s="1"/>
  <c r="W18" i="2" s="1"/>
  <c r="S19" i="2"/>
  <c r="U19" i="2" s="1"/>
  <c r="W19" i="2" s="1"/>
  <c r="S20" i="2"/>
  <c r="U20" i="2" s="1"/>
  <c r="W20" i="2" s="1"/>
  <c r="S21" i="2"/>
  <c r="U21" i="2" s="1"/>
  <c r="W21" i="2" s="1"/>
  <c r="S22" i="2"/>
  <c r="U22" i="2" s="1"/>
  <c r="W22" i="2" s="1"/>
  <c r="S3" i="2"/>
  <c r="U3" i="2" s="1"/>
  <c r="W3" i="2" s="1"/>
  <c r="S2" i="2"/>
  <c r="U2" i="2"/>
  <c r="W2" i="2"/>
  <c r="Q2" i="2"/>
  <c r="M4" i="2"/>
  <c r="T9" i="2" s="1"/>
  <c r="N4" i="2"/>
  <c r="V9" i="2" s="1"/>
  <c r="O4" i="2"/>
  <c r="X9" i="2" s="1"/>
  <c r="M5" i="2"/>
  <c r="T7" i="2" s="1"/>
  <c r="N5" i="2"/>
  <c r="V7" i="2" s="1"/>
  <c r="O5" i="2"/>
  <c r="X7" i="2" s="1"/>
  <c r="M6" i="2"/>
  <c r="N6" i="2"/>
  <c r="O6" i="2"/>
  <c r="O7" i="2" s="1" a="1"/>
  <c r="O7" i="2" s="1"/>
  <c r="X3" i="2" s="1"/>
  <c r="L5" i="2"/>
  <c r="R7" i="2" s="1"/>
  <c r="L6" i="2"/>
  <c r="L4" i="2"/>
  <c r="R9" i="2" s="1"/>
  <c r="M2" i="2"/>
  <c r="AB2" i="2" s="1"/>
  <c r="N2" i="2"/>
  <c r="AD2" i="2" s="1"/>
  <c r="O2" i="2"/>
  <c r="AF2" i="2" s="1"/>
  <c r="L2" i="2"/>
  <c r="Z2" i="2" s="1"/>
  <c r="AT5" i="5"/>
  <c r="AT3" i="5"/>
  <c r="AT4" i="5"/>
  <c r="AT2" i="5"/>
  <c r="AS2" i="5" a="1"/>
  <c r="AS2" i="5" s="1"/>
  <c r="AS5" i="5"/>
  <c r="AR5" i="5"/>
  <c r="P1" i="3" s="1"/>
  <c r="AR3" i="5"/>
  <c r="AX1" i="3" s="1"/>
  <c r="AR2" i="5"/>
  <c r="AS1" i="3" s="1"/>
  <c r="I1" i="2" l="1"/>
  <c r="AE22" i="3"/>
  <c r="AE21" i="3"/>
  <c r="AS3" i="5" a="1"/>
  <c r="AS3" i="5" s="1"/>
  <c r="Y12" i="3"/>
  <c r="I3" i="2"/>
  <c r="G2" i="3"/>
  <c r="E3" i="3"/>
  <c r="F4" i="3"/>
  <c r="G5" i="3"/>
  <c r="E7" i="3"/>
  <c r="F8" i="3"/>
  <c r="G9" i="3"/>
  <c r="E11" i="3"/>
  <c r="F12" i="3"/>
  <c r="G13" i="3"/>
  <c r="E15" i="3"/>
  <c r="F16" i="3"/>
  <c r="G17" i="3"/>
  <c r="E19" i="3"/>
  <c r="F20" i="3"/>
  <c r="G21" i="3"/>
  <c r="E23" i="3"/>
  <c r="F24" i="3"/>
  <c r="G25" i="3"/>
  <c r="E27" i="3"/>
  <c r="F28" i="3"/>
  <c r="G29" i="3"/>
  <c r="E31" i="3"/>
  <c r="F32" i="3"/>
  <c r="G33" i="3"/>
  <c r="E35" i="3"/>
  <c r="F36" i="3"/>
  <c r="G37" i="3"/>
  <c r="E39" i="3"/>
  <c r="F40" i="3"/>
  <c r="G41" i="3"/>
  <c r="E43" i="3"/>
  <c r="F44" i="3"/>
  <c r="G45" i="3"/>
  <c r="E47" i="3"/>
  <c r="F48" i="3"/>
  <c r="G49" i="3"/>
  <c r="E51" i="3"/>
  <c r="F52" i="3"/>
  <c r="G53" i="3"/>
  <c r="E55" i="3"/>
  <c r="F56" i="3"/>
  <c r="G57" i="3"/>
  <c r="E59" i="3"/>
  <c r="F60" i="3"/>
  <c r="G61" i="3"/>
  <c r="E63" i="3"/>
  <c r="F64" i="3"/>
  <c r="G65" i="3"/>
  <c r="E67" i="3"/>
  <c r="F68" i="3"/>
  <c r="G69" i="3"/>
  <c r="E71" i="3"/>
  <c r="F72" i="3"/>
  <c r="G73" i="3"/>
  <c r="E75" i="3"/>
  <c r="F76" i="3"/>
  <c r="G77" i="3"/>
  <c r="E79" i="3"/>
  <c r="F80" i="3"/>
  <c r="G81" i="3"/>
  <c r="E83" i="3"/>
  <c r="F84" i="3"/>
  <c r="G85" i="3"/>
  <c r="E87" i="3"/>
  <c r="F88" i="3"/>
  <c r="G89" i="3"/>
  <c r="E91" i="3"/>
  <c r="F92" i="3"/>
  <c r="G93" i="3"/>
  <c r="E95" i="3"/>
  <c r="F96" i="3"/>
  <c r="G97" i="3"/>
  <c r="E99" i="3"/>
  <c r="F100" i="3"/>
  <c r="G101" i="3"/>
  <c r="E103" i="3"/>
  <c r="F104" i="3"/>
  <c r="G105" i="3"/>
  <c r="E107" i="3"/>
  <c r="F108" i="3"/>
  <c r="G109" i="3"/>
  <c r="F3" i="3"/>
  <c r="G4" i="3"/>
  <c r="E6" i="3"/>
  <c r="F7" i="3"/>
  <c r="G8" i="3"/>
  <c r="E10" i="3"/>
  <c r="F11" i="3"/>
  <c r="G12" i="3"/>
  <c r="E14" i="3"/>
  <c r="F15" i="3"/>
  <c r="G16" i="3"/>
  <c r="E18" i="3"/>
  <c r="F19" i="3"/>
  <c r="G20" i="3"/>
  <c r="E22" i="3"/>
  <c r="F23" i="3"/>
  <c r="G24" i="3"/>
  <c r="E26" i="3"/>
  <c r="F27" i="3"/>
  <c r="G28" i="3"/>
  <c r="E30" i="3"/>
  <c r="F31" i="3"/>
  <c r="G32" i="3"/>
  <c r="E34" i="3"/>
  <c r="F35" i="3"/>
  <c r="G36" i="3"/>
  <c r="E38" i="3"/>
  <c r="F39" i="3"/>
  <c r="G40" i="3"/>
  <c r="E42" i="3"/>
  <c r="F43" i="3"/>
  <c r="G44" i="3"/>
  <c r="E46" i="3"/>
  <c r="F47" i="3"/>
  <c r="G48" i="3"/>
  <c r="E50" i="3"/>
  <c r="F51" i="3"/>
  <c r="G52" i="3"/>
  <c r="E54" i="3"/>
  <c r="F55" i="3"/>
  <c r="G56" i="3"/>
  <c r="E58" i="3"/>
  <c r="F59" i="3"/>
  <c r="G60" i="3"/>
  <c r="E62" i="3"/>
  <c r="F63" i="3"/>
  <c r="G64" i="3"/>
  <c r="E66" i="3"/>
  <c r="F67" i="3"/>
  <c r="G68" i="3"/>
  <c r="E70" i="3"/>
  <c r="F71" i="3"/>
  <c r="G72" i="3"/>
  <c r="E74" i="3"/>
  <c r="F75" i="3"/>
  <c r="G76" i="3"/>
  <c r="E78" i="3"/>
  <c r="F79" i="3"/>
  <c r="G80" i="3"/>
  <c r="E82" i="3"/>
  <c r="F83" i="3"/>
  <c r="G84" i="3"/>
  <c r="E86" i="3"/>
  <c r="F87" i="3"/>
  <c r="G88" i="3"/>
  <c r="E90" i="3"/>
  <c r="F91" i="3"/>
  <c r="G92" i="3"/>
  <c r="E94" i="3"/>
  <c r="F95" i="3"/>
  <c r="G96" i="3"/>
  <c r="E98" i="3"/>
  <c r="F99" i="3"/>
  <c r="G100" i="3"/>
  <c r="E102" i="3"/>
  <c r="F103" i="3"/>
  <c r="G104" i="3"/>
  <c r="E106" i="3"/>
  <c r="F107" i="3"/>
  <c r="G108" i="3"/>
  <c r="E110" i="3"/>
  <c r="F111" i="3"/>
  <c r="G112" i="3"/>
  <c r="E114" i="3"/>
  <c r="F115" i="3"/>
  <c r="G3" i="3"/>
  <c r="E5" i="3"/>
  <c r="F6" i="3"/>
  <c r="G7" i="3"/>
  <c r="E9" i="3"/>
  <c r="F10" i="3"/>
  <c r="G11" i="3"/>
  <c r="E13" i="3"/>
  <c r="F14" i="3"/>
  <c r="G15" i="3"/>
  <c r="E17" i="3"/>
  <c r="F18" i="3"/>
  <c r="G19" i="3"/>
  <c r="E21" i="3"/>
  <c r="F22" i="3"/>
  <c r="G23" i="3"/>
  <c r="E25" i="3"/>
  <c r="F26" i="3"/>
  <c r="G27" i="3"/>
  <c r="E29" i="3"/>
  <c r="F30" i="3"/>
  <c r="G31" i="3"/>
  <c r="E33" i="3"/>
  <c r="F34" i="3"/>
  <c r="G35" i="3"/>
  <c r="E37" i="3"/>
  <c r="F38" i="3"/>
  <c r="G39" i="3"/>
  <c r="E41" i="3"/>
  <c r="F42" i="3"/>
  <c r="G43" i="3"/>
  <c r="E45" i="3"/>
  <c r="F46" i="3"/>
  <c r="G47" i="3"/>
  <c r="E49" i="3"/>
  <c r="F50" i="3"/>
  <c r="G51" i="3"/>
  <c r="E53" i="3"/>
  <c r="F54" i="3"/>
  <c r="G55" i="3"/>
  <c r="E57" i="3"/>
  <c r="F58" i="3"/>
  <c r="G59" i="3"/>
  <c r="E61" i="3"/>
  <c r="F62" i="3"/>
  <c r="G63" i="3"/>
  <c r="E65" i="3"/>
  <c r="F66" i="3"/>
  <c r="G67" i="3"/>
  <c r="E69" i="3"/>
  <c r="F70" i="3"/>
  <c r="G71" i="3"/>
  <c r="E73" i="3"/>
  <c r="F74" i="3"/>
  <c r="G75" i="3"/>
  <c r="E77" i="3"/>
  <c r="F78" i="3"/>
  <c r="G79" i="3"/>
  <c r="E81" i="3"/>
  <c r="F82" i="3"/>
  <c r="G83" i="3"/>
  <c r="E85" i="3"/>
  <c r="F86" i="3"/>
  <c r="G87" i="3"/>
  <c r="E89" i="3"/>
  <c r="F90" i="3"/>
  <c r="G91" i="3"/>
  <c r="E93" i="3"/>
  <c r="F94" i="3"/>
  <c r="G95" i="3"/>
  <c r="E97" i="3"/>
  <c r="F98" i="3"/>
  <c r="G99" i="3"/>
  <c r="E101" i="3"/>
  <c r="F102" i="3"/>
  <c r="G103" i="3"/>
  <c r="E105" i="3"/>
  <c r="F106" i="3"/>
  <c r="G107" i="3"/>
  <c r="E4" i="3"/>
  <c r="F5" i="3"/>
  <c r="G6" i="3"/>
  <c r="E8" i="3"/>
  <c r="F9" i="3"/>
  <c r="G10" i="3"/>
  <c r="E12" i="3"/>
  <c r="F13" i="3"/>
  <c r="G14" i="3"/>
  <c r="E16" i="3"/>
  <c r="F17" i="3"/>
  <c r="G18" i="3"/>
  <c r="E20" i="3"/>
  <c r="F21" i="3"/>
  <c r="G22" i="3"/>
  <c r="E24" i="3"/>
  <c r="F25" i="3"/>
  <c r="G26" i="3"/>
  <c r="E28" i="3"/>
  <c r="F29" i="3"/>
  <c r="G30" i="3"/>
  <c r="E32" i="3"/>
  <c r="F33" i="3"/>
  <c r="G34" i="3"/>
  <c r="E36" i="3"/>
  <c r="F37" i="3"/>
  <c r="G38" i="3"/>
  <c r="E40" i="3"/>
  <c r="F41" i="3"/>
  <c r="G42" i="3"/>
  <c r="E44" i="3"/>
  <c r="F45" i="3"/>
  <c r="G46" i="3"/>
  <c r="E48" i="3"/>
  <c r="F49" i="3"/>
  <c r="G50" i="3"/>
  <c r="E52" i="3"/>
  <c r="F53" i="3"/>
  <c r="G54" i="3"/>
  <c r="E56" i="3"/>
  <c r="F57" i="3"/>
  <c r="G58" i="3"/>
  <c r="E60" i="3"/>
  <c r="F61" i="3"/>
  <c r="G62" i="3"/>
  <c r="E64" i="3"/>
  <c r="F65" i="3"/>
  <c r="G66" i="3"/>
  <c r="E68" i="3"/>
  <c r="F69" i="3"/>
  <c r="G70" i="3"/>
  <c r="E72" i="3"/>
  <c r="F73" i="3"/>
  <c r="G74" i="3"/>
  <c r="E76" i="3"/>
  <c r="F77" i="3"/>
  <c r="G78" i="3"/>
  <c r="E80" i="3"/>
  <c r="F81" i="3"/>
  <c r="G82" i="3"/>
  <c r="E84" i="3"/>
  <c r="F85" i="3"/>
  <c r="G86" i="3"/>
  <c r="E88" i="3"/>
  <c r="F89" i="3"/>
  <c r="G90" i="3"/>
  <c r="E92" i="3"/>
  <c r="F93" i="3"/>
  <c r="G94" i="3"/>
  <c r="E96" i="3"/>
  <c r="F97" i="3"/>
  <c r="G98" i="3"/>
  <c r="E100" i="3"/>
  <c r="F101" i="3"/>
  <c r="G102" i="3"/>
  <c r="E104" i="3"/>
  <c r="F105" i="3"/>
  <c r="G106" i="3"/>
  <c r="E108" i="3"/>
  <c r="F109" i="3"/>
  <c r="G110" i="3"/>
  <c r="E112" i="3"/>
  <c r="F113" i="3"/>
  <c r="G114" i="3"/>
  <c r="E116" i="3"/>
  <c r="E109" i="3"/>
  <c r="F112" i="3"/>
  <c r="E115" i="3"/>
  <c r="E117" i="3"/>
  <c r="F118" i="3"/>
  <c r="G119" i="3"/>
  <c r="E121" i="3"/>
  <c r="F122" i="3"/>
  <c r="G123" i="3"/>
  <c r="E125" i="3"/>
  <c r="F126" i="3"/>
  <c r="G127" i="3"/>
  <c r="E129" i="3"/>
  <c r="F130" i="3"/>
  <c r="G131" i="3"/>
  <c r="E133" i="3"/>
  <c r="F134" i="3"/>
  <c r="G135" i="3"/>
  <c r="E137" i="3"/>
  <c r="F138" i="3"/>
  <c r="G139" i="3"/>
  <c r="E141" i="3"/>
  <c r="F142" i="3"/>
  <c r="G143" i="3"/>
  <c r="E145" i="3"/>
  <c r="F146" i="3"/>
  <c r="G147" i="3"/>
  <c r="E149" i="3"/>
  <c r="F150" i="3"/>
  <c r="G151" i="3"/>
  <c r="E153" i="3"/>
  <c r="F154" i="3"/>
  <c r="G155" i="3"/>
  <c r="E157" i="3"/>
  <c r="F158" i="3"/>
  <c r="G159" i="3"/>
  <c r="E161" i="3"/>
  <c r="F162" i="3"/>
  <c r="G163" i="3"/>
  <c r="E165" i="3"/>
  <c r="F166" i="3"/>
  <c r="G167" i="3"/>
  <c r="E169" i="3"/>
  <c r="F170" i="3"/>
  <c r="G171" i="3"/>
  <c r="E173" i="3"/>
  <c r="F174" i="3"/>
  <c r="G175" i="3"/>
  <c r="E177" i="3"/>
  <c r="F178" i="3"/>
  <c r="G179" i="3"/>
  <c r="E181" i="3"/>
  <c r="F182" i="3"/>
  <c r="G183" i="3"/>
  <c r="E185" i="3"/>
  <c r="F186" i="3"/>
  <c r="G187" i="3"/>
  <c r="E189" i="3"/>
  <c r="F190" i="3"/>
  <c r="G191" i="3"/>
  <c r="E193" i="3"/>
  <c r="F194" i="3"/>
  <c r="G195" i="3"/>
  <c r="E197" i="3"/>
  <c r="F198" i="3"/>
  <c r="G199" i="3"/>
  <c r="F110" i="3"/>
  <c r="E113" i="3"/>
  <c r="G115" i="3"/>
  <c r="F117" i="3"/>
  <c r="G118" i="3"/>
  <c r="E120" i="3"/>
  <c r="F121" i="3"/>
  <c r="G122" i="3"/>
  <c r="E124" i="3"/>
  <c r="F125" i="3"/>
  <c r="G126" i="3"/>
  <c r="E128" i="3"/>
  <c r="F129" i="3"/>
  <c r="G130" i="3"/>
  <c r="E132" i="3"/>
  <c r="F133" i="3"/>
  <c r="G134" i="3"/>
  <c r="E136" i="3"/>
  <c r="F137" i="3"/>
  <c r="G138" i="3"/>
  <c r="E140" i="3"/>
  <c r="F141" i="3"/>
  <c r="G142" i="3"/>
  <c r="E144" i="3"/>
  <c r="F145" i="3"/>
  <c r="G146" i="3"/>
  <c r="E148" i="3"/>
  <c r="F149" i="3"/>
  <c r="G150" i="3"/>
  <c r="E152" i="3"/>
  <c r="F153" i="3"/>
  <c r="G154" i="3"/>
  <c r="E156" i="3"/>
  <c r="F157" i="3"/>
  <c r="G158" i="3"/>
  <c r="E160" i="3"/>
  <c r="F161" i="3"/>
  <c r="G162" i="3"/>
  <c r="E164" i="3"/>
  <c r="F165" i="3"/>
  <c r="G166" i="3"/>
  <c r="E168" i="3"/>
  <c r="F169" i="3"/>
  <c r="G170" i="3"/>
  <c r="E172" i="3"/>
  <c r="F173" i="3"/>
  <c r="G174" i="3"/>
  <c r="E176" i="3"/>
  <c r="F177" i="3"/>
  <c r="G178" i="3"/>
  <c r="E180" i="3"/>
  <c r="F181" i="3"/>
  <c r="G182" i="3"/>
  <c r="E184" i="3"/>
  <c r="F185" i="3"/>
  <c r="G186" i="3"/>
  <c r="E188" i="3"/>
  <c r="F189" i="3"/>
  <c r="G190" i="3"/>
  <c r="E192" i="3"/>
  <c r="F193" i="3"/>
  <c r="G194" i="3"/>
  <c r="E196" i="3"/>
  <c r="F197" i="3"/>
  <c r="G198" i="3"/>
  <c r="E200" i="3"/>
  <c r="F201" i="3"/>
  <c r="G202" i="3"/>
  <c r="E204" i="3"/>
  <c r="F205" i="3"/>
  <c r="G206" i="3"/>
  <c r="E208" i="3"/>
  <c r="F209" i="3"/>
  <c r="G210" i="3"/>
  <c r="E212" i="3"/>
  <c r="F213" i="3"/>
  <c r="G214" i="3"/>
  <c r="E216" i="3"/>
  <c r="F217" i="3"/>
  <c r="G218" i="3"/>
  <c r="E220" i="3"/>
  <c r="F221" i="3"/>
  <c r="G222" i="3"/>
  <c r="E224" i="3"/>
  <c r="F225" i="3"/>
  <c r="G226" i="3"/>
  <c r="E228" i="3"/>
  <c r="E111" i="3"/>
  <c r="G113" i="3"/>
  <c r="F116" i="3"/>
  <c r="G117" i="3"/>
  <c r="E119" i="3"/>
  <c r="F120" i="3"/>
  <c r="G121" i="3"/>
  <c r="E123" i="3"/>
  <c r="F124" i="3"/>
  <c r="G125" i="3"/>
  <c r="E127" i="3"/>
  <c r="F128" i="3"/>
  <c r="G129" i="3"/>
  <c r="E131" i="3"/>
  <c r="F132" i="3"/>
  <c r="G133" i="3"/>
  <c r="E135" i="3"/>
  <c r="F136" i="3"/>
  <c r="G137" i="3"/>
  <c r="E139" i="3"/>
  <c r="F140" i="3"/>
  <c r="G141" i="3"/>
  <c r="E143" i="3"/>
  <c r="F144" i="3"/>
  <c r="G145" i="3"/>
  <c r="E147" i="3"/>
  <c r="F148" i="3"/>
  <c r="G149" i="3"/>
  <c r="E151" i="3"/>
  <c r="F152" i="3"/>
  <c r="G153" i="3"/>
  <c r="E155" i="3"/>
  <c r="F156" i="3"/>
  <c r="G157" i="3"/>
  <c r="E159" i="3"/>
  <c r="F160" i="3"/>
  <c r="G161" i="3"/>
  <c r="E163" i="3"/>
  <c r="F164" i="3"/>
  <c r="G165" i="3"/>
  <c r="E167" i="3"/>
  <c r="F168" i="3"/>
  <c r="G169" i="3"/>
  <c r="E171" i="3"/>
  <c r="F172" i="3"/>
  <c r="G173" i="3"/>
  <c r="E175" i="3"/>
  <c r="F176" i="3"/>
  <c r="G177" i="3"/>
  <c r="E179" i="3"/>
  <c r="F180" i="3"/>
  <c r="G181" i="3"/>
  <c r="E183" i="3"/>
  <c r="F184" i="3"/>
  <c r="G185" i="3"/>
  <c r="E187" i="3"/>
  <c r="F188" i="3"/>
  <c r="G189" i="3"/>
  <c r="E191" i="3"/>
  <c r="F192" i="3"/>
  <c r="G193" i="3"/>
  <c r="G111" i="3"/>
  <c r="F114" i="3"/>
  <c r="G116" i="3"/>
  <c r="E118" i="3"/>
  <c r="F119" i="3"/>
  <c r="G120" i="3"/>
  <c r="E122" i="3"/>
  <c r="F123" i="3"/>
  <c r="G124" i="3"/>
  <c r="E126" i="3"/>
  <c r="F127" i="3"/>
  <c r="G128" i="3"/>
  <c r="E130" i="3"/>
  <c r="F131" i="3"/>
  <c r="G132" i="3"/>
  <c r="E134" i="3"/>
  <c r="F135" i="3"/>
  <c r="G136" i="3"/>
  <c r="E138" i="3"/>
  <c r="F139" i="3"/>
  <c r="G140" i="3"/>
  <c r="E142" i="3"/>
  <c r="F143" i="3"/>
  <c r="G144" i="3"/>
  <c r="E146" i="3"/>
  <c r="F147" i="3"/>
  <c r="G148" i="3"/>
  <c r="E150" i="3"/>
  <c r="F151" i="3"/>
  <c r="G152" i="3"/>
  <c r="E154" i="3"/>
  <c r="F155" i="3"/>
  <c r="G156" i="3"/>
  <c r="E158" i="3"/>
  <c r="F159" i="3"/>
  <c r="G160" i="3"/>
  <c r="E162" i="3"/>
  <c r="F163" i="3"/>
  <c r="G164" i="3"/>
  <c r="E166" i="3"/>
  <c r="F167" i="3"/>
  <c r="G168" i="3"/>
  <c r="E170" i="3"/>
  <c r="F171" i="3"/>
  <c r="G172" i="3"/>
  <c r="E174" i="3"/>
  <c r="F175" i="3"/>
  <c r="G176" i="3"/>
  <c r="E178" i="3"/>
  <c r="F179" i="3"/>
  <c r="G180" i="3"/>
  <c r="E182" i="3"/>
  <c r="F183" i="3"/>
  <c r="G184" i="3"/>
  <c r="E186" i="3"/>
  <c r="F187" i="3"/>
  <c r="G188" i="3"/>
  <c r="E190" i="3"/>
  <c r="F191" i="3"/>
  <c r="G192" i="3"/>
  <c r="E194" i="3"/>
  <c r="F195" i="3"/>
  <c r="G196" i="3"/>
  <c r="E198" i="3"/>
  <c r="F199" i="3"/>
  <c r="G200" i="3"/>
  <c r="E202" i="3"/>
  <c r="F203" i="3"/>
  <c r="G204" i="3"/>
  <c r="E206" i="3"/>
  <c r="F207" i="3"/>
  <c r="G208" i="3"/>
  <c r="E210" i="3"/>
  <c r="F211" i="3"/>
  <c r="G212" i="3"/>
  <c r="E214" i="3"/>
  <c r="F215" i="3"/>
  <c r="G216" i="3"/>
  <c r="E218" i="3"/>
  <c r="F219" i="3"/>
  <c r="G220" i="3"/>
  <c r="E222" i="3"/>
  <c r="F223" i="3"/>
  <c r="G224" i="3"/>
  <c r="E226" i="3"/>
  <c r="E195" i="3"/>
  <c r="F200" i="3"/>
  <c r="E203" i="3"/>
  <c r="G205" i="3"/>
  <c r="F208" i="3"/>
  <c r="E211" i="3"/>
  <c r="G213" i="3"/>
  <c r="F216" i="3"/>
  <c r="E219" i="3"/>
  <c r="G221" i="3"/>
  <c r="F224" i="3"/>
  <c r="E227" i="3"/>
  <c r="G228" i="3"/>
  <c r="E230" i="3"/>
  <c r="F231" i="3"/>
  <c r="G232" i="3"/>
  <c r="E234" i="3"/>
  <c r="F235" i="3"/>
  <c r="G236" i="3"/>
  <c r="E238" i="3"/>
  <c r="F239" i="3"/>
  <c r="G240" i="3"/>
  <c r="E242" i="3"/>
  <c r="F243" i="3"/>
  <c r="G244" i="3"/>
  <c r="E246" i="3"/>
  <c r="F247" i="3"/>
  <c r="G248" i="3"/>
  <c r="E250" i="3"/>
  <c r="F251" i="3"/>
  <c r="G252" i="3"/>
  <c r="E254" i="3"/>
  <c r="F255" i="3"/>
  <c r="G256" i="3"/>
  <c r="E258" i="3"/>
  <c r="F259" i="3"/>
  <c r="G260" i="3"/>
  <c r="E262" i="3"/>
  <c r="F263" i="3"/>
  <c r="G264" i="3"/>
  <c r="E266" i="3"/>
  <c r="F267" i="3"/>
  <c r="G268" i="3"/>
  <c r="E270" i="3"/>
  <c r="F271" i="3"/>
  <c r="G272" i="3"/>
  <c r="E274" i="3"/>
  <c r="F275" i="3"/>
  <c r="G276" i="3"/>
  <c r="E278" i="3"/>
  <c r="F279" i="3"/>
  <c r="G280" i="3"/>
  <c r="E282" i="3"/>
  <c r="F283" i="3"/>
  <c r="G284" i="3"/>
  <c r="E286" i="3"/>
  <c r="F287" i="3"/>
  <c r="G288" i="3"/>
  <c r="E290" i="3"/>
  <c r="F291" i="3"/>
  <c r="G292" i="3"/>
  <c r="E294" i="3"/>
  <c r="F295" i="3"/>
  <c r="G296" i="3"/>
  <c r="E298" i="3"/>
  <c r="F299" i="3"/>
  <c r="G300" i="3"/>
  <c r="E302" i="3"/>
  <c r="F303" i="3"/>
  <c r="G304" i="3"/>
  <c r="E306" i="3"/>
  <c r="F307" i="3"/>
  <c r="G308" i="3"/>
  <c r="E310" i="3"/>
  <c r="F311" i="3"/>
  <c r="G312" i="3"/>
  <c r="E314" i="3"/>
  <c r="F315" i="3"/>
  <c r="G316" i="3"/>
  <c r="E318" i="3"/>
  <c r="F319" i="3"/>
  <c r="G320" i="3"/>
  <c r="E322" i="3"/>
  <c r="F323" i="3"/>
  <c r="G324" i="3"/>
  <c r="F196" i="3"/>
  <c r="E201" i="3"/>
  <c r="G203" i="3"/>
  <c r="F206" i="3"/>
  <c r="E209" i="3"/>
  <c r="G211" i="3"/>
  <c r="F214" i="3"/>
  <c r="E217" i="3"/>
  <c r="G219" i="3"/>
  <c r="F222" i="3"/>
  <c r="E225" i="3"/>
  <c r="F227" i="3"/>
  <c r="E229" i="3"/>
  <c r="F230" i="3"/>
  <c r="G231" i="3"/>
  <c r="E233" i="3"/>
  <c r="F234" i="3"/>
  <c r="G235" i="3"/>
  <c r="E237" i="3"/>
  <c r="F238" i="3"/>
  <c r="G239" i="3"/>
  <c r="E241" i="3"/>
  <c r="F242" i="3"/>
  <c r="G243" i="3"/>
  <c r="E245" i="3"/>
  <c r="F246" i="3"/>
  <c r="G247" i="3"/>
  <c r="E249" i="3"/>
  <c r="F250" i="3"/>
  <c r="G251" i="3"/>
  <c r="E253" i="3"/>
  <c r="F254" i="3"/>
  <c r="G255" i="3"/>
  <c r="E257" i="3"/>
  <c r="F258" i="3"/>
  <c r="G259" i="3"/>
  <c r="E261" i="3"/>
  <c r="F262" i="3"/>
  <c r="G263" i="3"/>
  <c r="E265" i="3"/>
  <c r="F266" i="3"/>
  <c r="G267" i="3"/>
  <c r="E269" i="3"/>
  <c r="F270" i="3"/>
  <c r="G271" i="3"/>
  <c r="E273" i="3"/>
  <c r="F274" i="3"/>
  <c r="G275" i="3"/>
  <c r="E277" i="3"/>
  <c r="F278" i="3"/>
  <c r="G279" i="3"/>
  <c r="E281" i="3"/>
  <c r="F282" i="3"/>
  <c r="G283" i="3"/>
  <c r="E285" i="3"/>
  <c r="F286" i="3"/>
  <c r="G287" i="3"/>
  <c r="G197" i="3"/>
  <c r="G201" i="3"/>
  <c r="F204" i="3"/>
  <c r="E207" i="3"/>
  <c r="G209" i="3"/>
  <c r="F212" i="3"/>
  <c r="E215" i="3"/>
  <c r="G217" i="3"/>
  <c r="F220" i="3"/>
  <c r="E223" i="3"/>
  <c r="G225" i="3"/>
  <c r="G227" i="3"/>
  <c r="F229" i="3"/>
  <c r="G230" i="3"/>
  <c r="E232" i="3"/>
  <c r="F233" i="3"/>
  <c r="G234" i="3"/>
  <c r="E236" i="3"/>
  <c r="F237" i="3"/>
  <c r="G238" i="3"/>
  <c r="E240" i="3"/>
  <c r="F241" i="3"/>
  <c r="G242" i="3"/>
  <c r="E244" i="3"/>
  <c r="F245" i="3"/>
  <c r="G246" i="3"/>
  <c r="E248" i="3"/>
  <c r="F249" i="3"/>
  <c r="G250" i="3"/>
  <c r="E252" i="3"/>
  <c r="F253" i="3"/>
  <c r="G254" i="3"/>
  <c r="E256" i="3"/>
  <c r="F257" i="3"/>
  <c r="G258" i="3"/>
  <c r="E260" i="3"/>
  <c r="F261" i="3"/>
  <c r="G262" i="3"/>
  <c r="E264" i="3"/>
  <c r="F265" i="3"/>
  <c r="G266" i="3"/>
  <c r="E268" i="3"/>
  <c r="F269" i="3"/>
  <c r="G270" i="3"/>
  <c r="E272" i="3"/>
  <c r="F273" i="3"/>
  <c r="G274" i="3"/>
  <c r="E276" i="3"/>
  <c r="F277" i="3"/>
  <c r="G278" i="3"/>
  <c r="E280" i="3"/>
  <c r="F281" i="3"/>
  <c r="G282" i="3"/>
  <c r="E284" i="3"/>
  <c r="F285" i="3"/>
  <c r="G286" i="3"/>
  <c r="E288" i="3"/>
  <c r="F289" i="3"/>
  <c r="E199" i="3"/>
  <c r="F202" i="3"/>
  <c r="E205" i="3"/>
  <c r="G207" i="3"/>
  <c r="F210" i="3"/>
  <c r="E213" i="3"/>
  <c r="G215" i="3"/>
  <c r="F218" i="3"/>
  <c r="E221" i="3"/>
  <c r="G223" i="3"/>
  <c r="F226" i="3"/>
  <c r="F228" i="3"/>
  <c r="G233" i="3"/>
  <c r="E239" i="3"/>
  <c r="F244" i="3"/>
  <c r="G249" i="3"/>
  <c r="E255" i="3"/>
  <c r="F260" i="3"/>
  <c r="G265" i="3"/>
  <c r="E271" i="3"/>
  <c r="F276" i="3"/>
  <c r="G281" i="3"/>
  <c r="E287" i="3"/>
  <c r="F290" i="3"/>
  <c r="E292" i="3"/>
  <c r="G293" i="3"/>
  <c r="G295" i="3"/>
  <c r="F297" i="3"/>
  <c r="E299" i="3"/>
  <c r="E301" i="3"/>
  <c r="G302" i="3"/>
  <c r="F304" i="3"/>
  <c r="F306" i="3"/>
  <c r="E308" i="3"/>
  <c r="G309" i="3"/>
  <c r="G311" i="3"/>
  <c r="F313" i="3"/>
  <c r="E315" i="3"/>
  <c r="E317" i="3"/>
  <c r="G318" i="3"/>
  <c r="F320" i="3"/>
  <c r="F322" i="3"/>
  <c r="E324" i="3"/>
  <c r="G325" i="3"/>
  <c r="E327" i="3"/>
  <c r="F328" i="3"/>
  <c r="G329" i="3"/>
  <c r="E331" i="3"/>
  <c r="F332" i="3"/>
  <c r="G333" i="3"/>
  <c r="E335" i="3"/>
  <c r="F336" i="3"/>
  <c r="G337" i="3"/>
  <c r="E339" i="3"/>
  <c r="F340" i="3"/>
  <c r="G341" i="3"/>
  <c r="E343" i="3"/>
  <c r="F344" i="3"/>
  <c r="G345" i="3"/>
  <c r="E347" i="3"/>
  <c r="F348" i="3"/>
  <c r="G349" i="3"/>
  <c r="E351" i="3"/>
  <c r="F352" i="3"/>
  <c r="G353" i="3"/>
  <c r="E355" i="3"/>
  <c r="F356" i="3"/>
  <c r="G357" i="3"/>
  <c r="E359" i="3"/>
  <c r="F360" i="3"/>
  <c r="G361" i="3"/>
  <c r="E363" i="3"/>
  <c r="F364" i="3"/>
  <c r="G365" i="3"/>
  <c r="E367" i="3"/>
  <c r="F368" i="3"/>
  <c r="G369" i="3"/>
  <c r="E371" i="3"/>
  <c r="F372" i="3"/>
  <c r="G373" i="3"/>
  <c r="E375" i="3"/>
  <c r="F376" i="3"/>
  <c r="G377" i="3"/>
  <c r="E379" i="3"/>
  <c r="F380" i="3"/>
  <c r="G381" i="3"/>
  <c r="E383" i="3"/>
  <c r="F384" i="3"/>
  <c r="G385" i="3"/>
  <c r="E387" i="3"/>
  <c r="F388" i="3"/>
  <c r="G389" i="3"/>
  <c r="E391" i="3"/>
  <c r="F392" i="3"/>
  <c r="G393" i="3"/>
  <c r="E395" i="3"/>
  <c r="F396" i="3"/>
  <c r="G397" i="3"/>
  <c r="E399" i="3"/>
  <c r="F400" i="3"/>
  <c r="G401" i="3"/>
  <c r="G229" i="3"/>
  <c r="E235" i="3"/>
  <c r="F240" i="3"/>
  <c r="G245" i="3"/>
  <c r="E251" i="3"/>
  <c r="F256" i="3"/>
  <c r="G261" i="3"/>
  <c r="E267" i="3"/>
  <c r="F272" i="3"/>
  <c r="G277" i="3"/>
  <c r="E283" i="3"/>
  <c r="F288" i="3"/>
  <c r="G290" i="3"/>
  <c r="F292" i="3"/>
  <c r="F294" i="3"/>
  <c r="E296" i="3"/>
  <c r="G297" i="3"/>
  <c r="G299" i="3"/>
  <c r="F301" i="3"/>
  <c r="E303" i="3"/>
  <c r="E305" i="3"/>
  <c r="G306" i="3"/>
  <c r="F308" i="3"/>
  <c r="F310" i="3"/>
  <c r="E312" i="3"/>
  <c r="G313" i="3"/>
  <c r="G315" i="3"/>
  <c r="F317" i="3"/>
  <c r="E319" i="3"/>
  <c r="E321" i="3"/>
  <c r="G322" i="3"/>
  <c r="F324" i="3"/>
  <c r="E326" i="3"/>
  <c r="F327" i="3"/>
  <c r="G328" i="3"/>
  <c r="E330" i="3"/>
  <c r="F331" i="3"/>
  <c r="G332" i="3"/>
  <c r="E334" i="3"/>
  <c r="F335" i="3"/>
  <c r="G336" i="3"/>
  <c r="E338" i="3"/>
  <c r="F339" i="3"/>
  <c r="G340" i="3"/>
  <c r="E342" i="3"/>
  <c r="F343" i="3"/>
  <c r="G344" i="3"/>
  <c r="E346" i="3"/>
  <c r="F347" i="3"/>
  <c r="G348" i="3"/>
  <c r="E350" i="3"/>
  <c r="F351" i="3"/>
  <c r="G352" i="3"/>
  <c r="E354" i="3"/>
  <c r="F355" i="3"/>
  <c r="G356" i="3"/>
  <c r="E358" i="3"/>
  <c r="F359" i="3"/>
  <c r="G360" i="3"/>
  <c r="E362" i="3"/>
  <c r="F363" i="3"/>
  <c r="G364" i="3"/>
  <c r="E366" i="3"/>
  <c r="F367" i="3"/>
  <c r="G368" i="3"/>
  <c r="E370" i="3"/>
  <c r="F371" i="3"/>
  <c r="G372" i="3"/>
  <c r="E374" i="3"/>
  <c r="F375" i="3"/>
  <c r="G376" i="3"/>
  <c r="E378" i="3"/>
  <c r="F379" i="3"/>
  <c r="G380" i="3"/>
  <c r="E382" i="3"/>
  <c r="F383" i="3"/>
  <c r="G384" i="3"/>
  <c r="E386" i="3"/>
  <c r="F387" i="3"/>
  <c r="G388" i="3"/>
  <c r="E390" i="3"/>
  <c r="F391" i="3"/>
  <c r="G392" i="3"/>
  <c r="E394" i="3"/>
  <c r="F395" i="3"/>
  <c r="G396" i="3"/>
  <c r="E398" i="3"/>
  <c r="F399" i="3"/>
  <c r="G400" i="3"/>
  <c r="E231" i="3"/>
  <c r="F236" i="3"/>
  <c r="G241" i="3"/>
  <c r="E247" i="3"/>
  <c r="F252" i="3"/>
  <c r="G257" i="3"/>
  <c r="E263" i="3"/>
  <c r="F268" i="3"/>
  <c r="G273" i="3"/>
  <c r="E279" i="3"/>
  <c r="F284" i="3"/>
  <c r="E289" i="3"/>
  <c r="E291" i="3"/>
  <c r="E293" i="3"/>
  <c r="G294" i="3"/>
  <c r="F296" i="3"/>
  <c r="F298" i="3"/>
  <c r="E300" i="3"/>
  <c r="G301" i="3"/>
  <c r="G303" i="3"/>
  <c r="F305" i="3"/>
  <c r="E307" i="3"/>
  <c r="E309" i="3"/>
  <c r="G310" i="3"/>
  <c r="F312" i="3"/>
  <c r="F314" i="3"/>
  <c r="E316" i="3"/>
  <c r="G317" i="3"/>
  <c r="G319" i="3"/>
  <c r="F321" i="3"/>
  <c r="E323" i="3"/>
  <c r="E325" i="3"/>
  <c r="F326" i="3"/>
  <c r="G327" i="3"/>
  <c r="E329" i="3"/>
  <c r="F330" i="3"/>
  <c r="G331" i="3"/>
  <c r="E333" i="3"/>
  <c r="F334" i="3"/>
  <c r="G335" i="3"/>
  <c r="E337" i="3"/>
  <c r="F338" i="3"/>
  <c r="G339" i="3"/>
  <c r="E341" i="3"/>
  <c r="F342" i="3"/>
  <c r="G343" i="3"/>
  <c r="E345" i="3"/>
  <c r="F346" i="3"/>
  <c r="G347" i="3"/>
  <c r="E349" i="3"/>
  <c r="F350" i="3"/>
  <c r="G351" i="3"/>
  <c r="E353" i="3"/>
  <c r="F354" i="3"/>
  <c r="G355" i="3"/>
  <c r="E357" i="3"/>
  <c r="F358" i="3"/>
  <c r="G359" i="3"/>
  <c r="E361" i="3"/>
  <c r="F362" i="3"/>
  <c r="G363" i="3"/>
  <c r="E365" i="3"/>
  <c r="F366" i="3"/>
  <c r="G367" i="3"/>
  <c r="E369" i="3"/>
  <c r="F370" i="3"/>
  <c r="G371" i="3"/>
  <c r="E373" i="3"/>
  <c r="F374" i="3"/>
  <c r="G375" i="3"/>
  <c r="E377" i="3"/>
  <c r="F378" i="3"/>
  <c r="G379" i="3"/>
  <c r="E381" i="3"/>
  <c r="F382" i="3"/>
  <c r="G383" i="3"/>
  <c r="E385" i="3"/>
  <c r="F386" i="3"/>
  <c r="G387" i="3"/>
  <c r="E389" i="3"/>
  <c r="F390" i="3"/>
  <c r="G391" i="3"/>
  <c r="E393" i="3"/>
  <c r="F394" i="3"/>
  <c r="G395" i="3"/>
  <c r="F232" i="3"/>
  <c r="G237" i="3"/>
  <c r="E243" i="3"/>
  <c r="F248" i="3"/>
  <c r="G253" i="3"/>
  <c r="E259" i="3"/>
  <c r="F264" i="3"/>
  <c r="G269" i="3"/>
  <c r="E275" i="3"/>
  <c r="F280" i="3"/>
  <c r="G285" i="3"/>
  <c r="G289" i="3"/>
  <c r="G291" i="3"/>
  <c r="F293" i="3"/>
  <c r="E295" i="3"/>
  <c r="E297" i="3"/>
  <c r="G298" i="3"/>
  <c r="F300" i="3"/>
  <c r="F302" i="3"/>
  <c r="E304" i="3"/>
  <c r="G305" i="3"/>
  <c r="G307" i="3"/>
  <c r="F309" i="3"/>
  <c r="E311" i="3"/>
  <c r="E313" i="3"/>
  <c r="G314" i="3"/>
  <c r="F316" i="3"/>
  <c r="F318" i="3"/>
  <c r="E320" i="3"/>
  <c r="G321" i="3"/>
  <c r="G323" i="3"/>
  <c r="F325" i="3"/>
  <c r="G326" i="3"/>
  <c r="E328" i="3"/>
  <c r="F329" i="3"/>
  <c r="G330" i="3"/>
  <c r="E332" i="3"/>
  <c r="F333" i="3"/>
  <c r="G334" i="3"/>
  <c r="E336" i="3"/>
  <c r="F337" i="3"/>
  <c r="G338" i="3"/>
  <c r="E340" i="3"/>
  <c r="F341" i="3"/>
  <c r="G342" i="3"/>
  <c r="E344" i="3"/>
  <c r="F345" i="3"/>
  <c r="G346" i="3"/>
  <c r="E348" i="3"/>
  <c r="F349" i="3"/>
  <c r="G350" i="3"/>
  <c r="E352" i="3"/>
  <c r="F353" i="3"/>
  <c r="G354" i="3"/>
  <c r="E356" i="3"/>
  <c r="F357" i="3"/>
  <c r="G358" i="3"/>
  <c r="E360" i="3"/>
  <c r="F361" i="3"/>
  <c r="G362" i="3"/>
  <c r="E364" i="3"/>
  <c r="F365" i="3"/>
  <c r="G366" i="3"/>
  <c r="E368" i="3"/>
  <c r="F369" i="3"/>
  <c r="G370" i="3"/>
  <c r="E372" i="3"/>
  <c r="F373" i="3"/>
  <c r="G374" i="3"/>
  <c r="E376" i="3"/>
  <c r="F377" i="3"/>
  <c r="G378" i="3"/>
  <c r="E380" i="3"/>
  <c r="F381" i="3"/>
  <c r="G382" i="3"/>
  <c r="E384" i="3"/>
  <c r="F385" i="3"/>
  <c r="G386" i="3"/>
  <c r="E388" i="3"/>
  <c r="F389" i="3"/>
  <c r="G390" i="3"/>
  <c r="E392" i="3"/>
  <c r="F393" i="3"/>
  <c r="G394" i="3"/>
  <c r="E396" i="3"/>
  <c r="G398" i="3"/>
  <c r="F401" i="3"/>
  <c r="E397" i="3"/>
  <c r="G399" i="3"/>
  <c r="F397" i="3"/>
  <c r="E400" i="3"/>
  <c r="F398" i="3"/>
  <c r="E401" i="3"/>
  <c r="F2" i="3"/>
  <c r="E2" i="3"/>
  <c r="N7" i="2" a="1"/>
  <c r="N7" i="2" s="1"/>
  <c r="V3" i="2" s="1"/>
  <c r="V4" i="2" s="1"/>
  <c r="M7" i="2" a="1"/>
  <c r="M7" i="2" s="1"/>
  <c r="T3" i="2" s="1"/>
  <c r="T22" i="2" s="1"/>
  <c r="AC4" i="3"/>
  <c r="AC22" i="3"/>
  <c r="AE11" i="3"/>
  <c r="AN5" i="3"/>
  <c r="AN9" i="3"/>
  <c r="AN13" i="3"/>
  <c r="AN17" i="3"/>
  <c r="AN21" i="3"/>
  <c r="AN25" i="3"/>
  <c r="AN29" i="3"/>
  <c r="AN33" i="3"/>
  <c r="AN37" i="3"/>
  <c r="AN41" i="3"/>
  <c r="AN45" i="3"/>
  <c r="AN49" i="3"/>
  <c r="AN53" i="3"/>
  <c r="AN57" i="3"/>
  <c r="AN61" i="3"/>
  <c r="AN65" i="3"/>
  <c r="AN69" i="3"/>
  <c r="AN73" i="3"/>
  <c r="AN77" i="3"/>
  <c r="AN81" i="3"/>
  <c r="AN85" i="3"/>
  <c r="AN89" i="3"/>
  <c r="AN93" i="3"/>
  <c r="AN97" i="3"/>
  <c r="AN101" i="3"/>
  <c r="AN105" i="3"/>
  <c r="AN109" i="3"/>
  <c r="AN113" i="3"/>
  <c r="AN117" i="3"/>
  <c r="AN121" i="3"/>
  <c r="AN125" i="3"/>
  <c r="AN129" i="3"/>
  <c r="AN133" i="3"/>
  <c r="AN137" i="3"/>
  <c r="AN141" i="3"/>
  <c r="AN145" i="3"/>
  <c r="AN149" i="3"/>
  <c r="AN153" i="3"/>
  <c r="AN157" i="3"/>
  <c r="AN161" i="3"/>
  <c r="AN165" i="3"/>
  <c r="AN169" i="3"/>
  <c r="AN173" i="3"/>
  <c r="AN177" i="3"/>
  <c r="AN181" i="3"/>
  <c r="AN185" i="3"/>
  <c r="AN189" i="3"/>
  <c r="AN193" i="3"/>
  <c r="AN197" i="3"/>
  <c r="AN201" i="3"/>
  <c r="AN205" i="3"/>
  <c r="AN209" i="3"/>
  <c r="AN213" i="3"/>
  <c r="AN217" i="3"/>
  <c r="AN221" i="3"/>
  <c r="AN225" i="3"/>
  <c r="AN229" i="3"/>
  <c r="AN233" i="3"/>
  <c r="AN237" i="3"/>
  <c r="AN241" i="3"/>
  <c r="AN245" i="3"/>
  <c r="AN249" i="3"/>
  <c r="AN253" i="3"/>
  <c r="AN257" i="3"/>
  <c r="AN261" i="3"/>
  <c r="AN265" i="3"/>
  <c r="AN269" i="3"/>
  <c r="AN273" i="3"/>
  <c r="AN277" i="3"/>
  <c r="AN281" i="3"/>
  <c r="AN285" i="3"/>
  <c r="AN289" i="3"/>
  <c r="AN293" i="3"/>
  <c r="AN297" i="3"/>
  <c r="AN301" i="3"/>
  <c r="AN305" i="3"/>
  <c r="AN309" i="3"/>
  <c r="AN313" i="3"/>
  <c r="AN317" i="3"/>
  <c r="AN321" i="3"/>
  <c r="AN325" i="3"/>
  <c r="AN329" i="3"/>
  <c r="AN333" i="3"/>
  <c r="AN337" i="3"/>
  <c r="AN341" i="3"/>
  <c r="AN6" i="3"/>
  <c r="AN10" i="3"/>
  <c r="AN14" i="3"/>
  <c r="AN18" i="3"/>
  <c r="AN22" i="3"/>
  <c r="AN26" i="3"/>
  <c r="AN30" i="3"/>
  <c r="AN34" i="3"/>
  <c r="AN38" i="3"/>
  <c r="AN42" i="3"/>
  <c r="AN46" i="3"/>
  <c r="AN50" i="3"/>
  <c r="AN54" i="3"/>
  <c r="AN58" i="3"/>
  <c r="AN62" i="3"/>
  <c r="AN66" i="3"/>
  <c r="AN70" i="3"/>
  <c r="AN74" i="3"/>
  <c r="AN78" i="3"/>
  <c r="AN82" i="3"/>
  <c r="AN86" i="3"/>
  <c r="AN90" i="3"/>
  <c r="AN94" i="3"/>
  <c r="AN98" i="3"/>
  <c r="AN102" i="3"/>
  <c r="AN106" i="3"/>
  <c r="AN110" i="3"/>
  <c r="AN114" i="3"/>
  <c r="AN118" i="3"/>
  <c r="AN122" i="3"/>
  <c r="AN126" i="3"/>
  <c r="AN130" i="3"/>
  <c r="AN134" i="3"/>
  <c r="AN138" i="3"/>
  <c r="AN142" i="3"/>
  <c r="AN146" i="3"/>
  <c r="AN150" i="3"/>
  <c r="AN154" i="3"/>
  <c r="AN158" i="3"/>
  <c r="AN162" i="3"/>
  <c r="AN166" i="3"/>
  <c r="AN170" i="3"/>
  <c r="AN174" i="3"/>
  <c r="AN178" i="3"/>
  <c r="AN182" i="3"/>
  <c r="AN186" i="3"/>
  <c r="AN190" i="3"/>
  <c r="AN194" i="3"/>
  <c r="AN198" i="3"/>
  <c r="AN202" i="3"/>
  <c r="AN206" i="3"/>
  <c r="AN210" i="3"/>
  <c r="AN214" i="3"/>
  <c r="AN218" i="3"/>
  <c r="AN222" i="3"/>
  <c r="AN226" i="3"/>
  <c r="AN230" i="3"/>
  <c r="AN234" i="3"/>
  <c r="AN238" i="3"/>
  <c r="AN242" i="3"/>
  <c r="AN246" i="3"/>
  <c r="AN250" i="3"/>
  <c r="AN254" i="3"/>
  <c r="AN258" i="3"/>
  <c r="AN262" i="3"/>
  <c r="AN266" i="3"/>
  <c r="AN270" i="3"/>
  <c r="AN274" i="3"/>
  <c r="AN278" i="3"/>
  <c r="AN282" i="3"/>
  <c r="AN286" i="3"/>
  <c r="AN290" i="3"/>
  <c r="AN294" i="3"/>
  <c r="AN298" i="3"/>
  <c r="AN302" i="3"/>
  <c r="AN306" i="3"/>
  <c r="AN310" i="3"/>
  <c r="AN314" i="3"/>
  <c r="AN318" i="3"/>
  <c r="AN322" i="3"/>
  <c r="AN326" i="3"/>
  <c r="AN330" i="3"/>
  <c r="AN334" i="3"/>
  <c r="AN338" i="3"/>
  <c r="AN342" i="3"/>
  <c r="AN7" i="3"/>
  <c r="AN11" i="3"/>
  <c r="AN15" i="3"/>
  <c r="AN19" i="3"/>
  <c r="AN23" i="3"/>
  <c r="AN27" i="3"/>
  <c r="AN31" i="3"/>
  <c r="AN35" i="3"/>
  <c r="AN39" i="3"/>
  <c r="AN43" i="3"/>
  <c r="AN47" i="3"/>
  <c r="AN51" i="3"/>
  <c r="AN55" i="3"/>
  <c r="AN59" i="3"/>
  <c r="AN63" i="3"/>
  <c r="AN67" i="3"/>
  <c r="AN71" i="3"/>
  <c r="AN75" i="3"/>
  <c r="AN79" i="3"/>
  <c r="AN83" i="3"/>
  <c r="AN87" i="3"/>
  <c r="AN91" i="3"/>
  <c r="AN95" i="3"/>
  <c r="AN99" i="3"/>
  <c r="AN103" i="3"/>
  <c r="AN107" i="3"/>
  <c r="AN111" i="3"/>
  <c r="AN115" i="3"/>
  <c r="AN119" i="3"/>
  <c r="AN123" i="3"/>
  <c r="AN127" i="3"/>
  <c r="AN131" i="3"/>
  <c r="AN135" i="3"/>
  <c r="AN139" i="3"/>
  <c r="AN143" i="3"/>
  <c r="AN147" i="3"/>
  <c r="AN151" i="3"/>
  <c r="AN155" i="3"/>
  <c r="AN159" i="3"/>
  <c r="AN163" i="3"/>
  <c r="AN167" i="3"/>
  <c r="AN171" i="3"/>
  <c r="AN175" i="3"/>
  <c r="AN179" i="3"/>
  <c r="AN183" i="3"/>
  <c r="AN187" i="3"/>
  <c r="AN191" i="3"/>
  <c r="AN195" i="3"/>
  <c r="AN199" i="3"/>
  <c r="AN203" i="3"/>
  <c r="AN207" i="3"/>
  <c r="AN211" i="3"/>
  <c r="AN215" i="3"/>
  <c r="AN219" i="3"/>
  <c r="AN223" i="3"/>
  <c r="AN227" i="3"/>
  <c r="AN231" i="3"/>
  <c r="AN235" i="3"/>
  <c r="AN239" i="3"/>
  <c r="AN243" i="3"/>
  <c r="AN247" i="3"/>
  <c r="AN251" i="3"/>
  <c r="AN255" i="3"/>
  <c r="AN259" i="3"/>
  <c r="AN263" i="3"/>
  <c r="AN267" i="3"/>
  <c r="AN271" i="3"/>
  <c r="AN275" i="3"/>
  <c r="AN279" i="3"/>
  <c r="AN283" i="3"/>
  <c r="AN287" i="3"/>
  <c r="AN291" i="3"/>
  <c r="AN295" i="3"/>
  <c r="AN299" i="3"/>
  <c r="AN303" i="3"/>
  <c r="AN307" i="3"/>
  <c r="AN311" i="3"/>
  <c r="AN315" i="3"/>
  <c r="AN319" i="3"/>
  <c r="AN323" i="3"/>
  <c r="AN327" i="3"/>
  <c r="AN331" i="3"/>
  <c r="AN335" i="3"/>
  <c r="AN339" i="3"/>
  <c r="AN8" i="3"/>
  <c r="AN12" i="3"/>
  <c r="AN16" i="3"/>
  <c r="AN20" i="3"/>
  <c r="AN24" i="3"/>
  <c r="AN28" i="3"/>
  <c r="AN32" i="3"/>
  <c r="AN36" i="3"/>
  <c r="AN40" i="3"/>
  <c r="AN44" i="3"/>
  <c r="AN48" i="3"/>
  <c r="AN52" i="3"/>
  <c r="AN56" i="3"/>
  <c r="AN60" i="3"/>
  <c r="AN64" i="3"/>
  <c r="AN68" i="3"/>
  <c r="AN72" i="3"/>
  <c r="AN76" i="3"/>
  <c r="AN80" i="3"/>
  <c r="AN84" i="3"/>
  <c r="AN88" i="3"/>
  <c r="AN92" i="3"/>
  <c r="AN96" i="3"/>
  <c r="AN100" i="3"/>
  <c r="AN104" i="3"/>
  <c r="AN108" i="3"/>
  <c r="AN112" i="3"/>
  <c r="AN116" i="3"/>
  <c r="AN120" i="3"/>
  <c r="AN124" i="3"/>
  <c r="AN128" i="3"/>
  <c r="AN132" i="3"/>
  <c r="AN136" i="3"/>
  <c r="AN140" i="3"/>
  <c r="AN144" i="3"/>
  <c r="AN148" i="3"/>
  <c r="AN152" i="3"/>
  <c r="AN156" i="3"/>
  <c r="AN160" i="3"/>
  <c r="AN164" i="3"/>
  <c r="AN168" i="3"/>
  <c r="AN172" i="3"/>
  <c r="AN176" i="3"/>
  <c r="AN180" i="3"/>
  <c r="AN184" i="3"/>
  <c r="AN188" i="3"/>
  <c r="AN192" i="3"/>
  <c r="AN196" i="3"/>
  <c r="AN200" i="3"/>
  <c r="AN204" i="3"/>
  <c r="AN208" i="3"/>
  <c r="AN212" i="3"/>
  <c r="AN216" i="3"/>
  <c r="AN220" i="3"/>
  <c r="AN224" i="3"/>
  <c r="AN228" i="3"/>
  <c r="AN232" i="3"/>
  <c r="AN236" i="3"/>
  <c r="AN240" i="3"/>
  <c r="AN244" i="3"/>
  <c r="AN248" i="3"/>
  <c r="AN252" i="3"/>
  <c r="AN256" i="3"/>
  <c r="AN260" i="3"/>
  <c r="AN264" i="3"/>
  <c r="AN268" i="3"/>
  <c r="AN272" i="3"/>
  <c r="AN276" i="3"/>
  <c r="AN280" i="3"/>
  <c r="AN284" i="3"/>
  <c r="AN288" i="3"/>
  <c r="AN292" i="3"/>
  <c r="AN296" i="3"/>
  <c r="AN300" i="3"/>
  <c r="AN304" i="3"/>
  <c r="AN308" i="3"/>
  <c r="AN312" i="3"/>
  <c r="AN316" i="3"/>
  <c r="AN320" i="3"/>
  <c r="AN324" i="3"/>
  <c r="AN328" i="3"/>
  <c r="AN332" i="3"/>
  <c r="AN336" i="3"/>
  <c r="AN340" i="3"/>
  <c r="AN344" i="3"/>
  <c r="AN343" i="3"/>
  <c r="AN348" i="3"/>
  <c r="AN352" i="3"/>
  <c r="AN356" i="3"/>
  <c r="AN360" i="3"/>
  <c r="AN364" i="3"/>
  <c r="AN368" i="3"/>
  <c r="AN372" i="3"/>
  <c r="AN376" i="3"/>
  <c r="AN380" i="3"/>
  <c r="AN384" i="3"/>
  <c r="AN388" i="3"/>
  <c r="AN392" i="3"/>
  <c r="AN396" i="3"/>
  <c r="AN400" i="3"/>
  <c r="AN404" i="3"/>
  <c r="AN408" i="3"/>
  <c r="AN412" i="3"/>
  <c r="AN416" i="3"/>
  <c r="AN420" i="3"/>
  <c r="AN424" i="3"/>
  <c r="AN428" i="3"/>
  <c r="AN432" i="3"/>
  <c r="AN436" i="3"/>
  <c r="AN440" i="3"/>
  <c r="AN444" i="3"/>
  <c r="AN448" i="3"/>
  <c r="AN452" i="3"/>
  <c r="AN456" i="3"/>
  <c r="AN460" i="3"/>
  <c r="AN464" i="3"/>
  <c r="AN468" i="3"/>
  <c r="AN472" i="3"/>
  <c r="AN476" i="3"/>
  <c r="AN480" i="3"/>
  <c r="AN484" i="3"/>
  <c r="AN488" i="3"/>
  <c r="AN492" i="3"/>
  <c r="AN496" i="3"/>
  <c r="AN500" i="3"/>
  <c r="AN504" i="3"/>
  <c r="AN508" i="3"/>
  <c r="AN512" i="3"/>
  <c r="AN516" i="3"/>
  <c r="AN520" i="3"/>
  <c r="AN524" i="3"/>
  <c r="AN528" i="3"/>
  <c r="AN532" i="3"/>
  <c r="AN536" i="3"/>
  <c r="AN540" i="3"/>
  <c r="AN544" i="3"/>
  <c r="AN548" i="3"/>
  <c r="AN552" i="3"/>
  <c r="AN556" i="3"/>
  <c r="AN560" i="3"/>
  <c r="AN564" i="3"/>
  <c r="AN568" i="3"/>
  <c r="AN572" i="3"/>
  <c r="AN576" i="3"/>
  <c r="AN580" i="3"/>
  <c r="AN584" i="3"/>
  <c r="AN588" i="3"/>
  <c r="AN592" i="3"/>
  <c r="AN596" i="3"/>
  <c r="AN600" i="3"/>
  <c r="AN604" i="3"/>
  <c r="AN608" i="3"/>
  <c r="AN612" i="3"/>
  <c r="AN616" i="3"/>
  <c r="AN620" i="3"/>
  <c r="AN624" i="3"/>
  <c r="AN628" i="3"/>
  <c r="AN632" i="3"/>
  <c r="AN636" i="3"/>
  <c r="AN640" i="3"/>
  <c r="AN644" i="3"/>
  <c r="AN648" i="3"/>
  <c r="AN652" i="3"/>
  <c r="AN656" i="3"/>
  <c r="AN660" i="3"/>
  <c r="AN664" i="3"/>
  <c r="AN668" i="3"/>
  <c r="AN672" i="3"/>
  <c r="AN676" i="3"/>
  <c r="AN680" i="3"/>
  <c r="AN684" i="3"/>
  <c r="AN688" i="3"/>
  <c r="AN692" i="3"/>
  <c r="AN696" i="3"/>
  <c r="AN345" i="3"/>
  <c r="AN349" i="3"/>
  <c r="AN353" i="3"/>
  <c r="AN357" i="3"/>
  <c r="AN361" i="3"/>
  <c r="AN365" i="3"/>
  <c r="AN369" i="3"/>
  <c r="AN373" i="3"/>
  <c r="AN377" i="3"/>
  <c r="AN381" i="3"/>
  <c r="AN385" i="3"/>
  <c r="AN389" i="3"/>
  <c r="AN393" i="3"/>
  <c r="AN397" i="3"/>
  <c r="AN401" i="3"/>
  <c r="AN405" i="3"/>
  <c r="AN409" i="3"/>
  <c r="AN413" i="3"/>
  <c r="AN417" i="3"/>
  <c r="AN421" i="3"/>
  <c r="AN425" i="3"/>
  <c r="AN429" i="3"/>
  <c r="AN433" i="3"/>
  <c r="AN437" i="3"/>
  <c r="AN441" i="3"/>
  <c r="AN445" i="3"/>
  <c r="AN449" i="3"/>
  <c r="AN453" i="3"/>
  <c r="AN457" i="3"/>
  <c r="AN461" i="3"/>
  <c r="AN465" i="3"/>
  <c r="AN469" i="3"/>
  <c r="AN473" i="3"/>
  <c r="AN477" i="3"/>
  <c r="AN481" i="3"/>
  <c r="AN485" i="3"/>
  <c r="AN489" i="3"/>
  <c r="AN493" i="3"/>
  <c r="AN497" i="3"/>
  <c r="AN501" i="3"/>
  <c r="AN505" i="3"/>
  <c r="AN509" i="3"/>
  <c r="AN513" i="3"/>
  <c r="AN517" i="3"/>
  <c r="AN521" i="3"/>
  <c r="AN525" i="3"/>
  <c r="AN529" i="3"/>
  <c r="AN533" i="3"/>
  <c r="AN537" i="3"/>
  <c r="AN541" i="3"/>
  <c r="AN545" i="3"/>
  <c r="AN549" i="3"/>
  <c r="AN553" i="3"/>
  <c r="AN557" i="3"/>
  <c r="AN561" i="3"/>
  <c r="AN565" i="3"/>
  <c r="AN569" i="3"/>
  <c r="AN573" i="3"/>
  <c r="AN577" i="3"/>
  <c r="AN581" i="3"/>
  <c r="AN585" i="3"/>
  <c r="AN589" i="3"/>
  <c r="AN593" i="3"/>
  <c r="AN597" i="3"/>
  <c r="AN601" i="3"/>
  <c r="AN605" i="3"/>
  <c r="AN609" i="3"/>
  <c r="AN613" i="3"/>
  <c r="AN617" i="3"/>
  <c r="AN621" i="3"/>
  <c r="AN625" i="3"/>
  <c r="AN629" i="3"/>
  <c r="AN633" i="3"/>
  <c r="AN637" i="3"/>
  <c r="AN641" i="3"/>
  <c r="AN645" i="3"/>
  <c r="AN649" i="3"/>
  <c r="AN653" i="3"/>
  <c r="AN657" i="3"/>
  <c r="AN661" i="3"/>
  <c r="AN665" i="3"/>
  <c r="AN669" i="3"/>
  <c r="AN673" i="3"/>
  <c r="AN677" i="3"/>
  <c r="AN681" i="3"/>
  <c r="AN346" i="3"/>
  <c r="AN350" i="3"/>
  <c r="AN354" i="3"/>
  <c r="AN358" i="3"/>
  <c r="AN362" i="3"/>
  <c r="AN366" i="3"/>
  <c r="AN370" i="3"/>
  <c r="AN374" i="3"/>
  <c r="AN378" i="3"/>
  <c r="AN382" i="3"/>
  <c r="AN386" i="3"/>
  <c r="AN390" i="3"/>
  <c r="AN394" i="3"/>
  <c r="AN398" i="3"/>
  <c r="AN402" i="3"/>
  <c r="AN406" i="3"/>
  <c r="AN410" i="3"/>
  <c r="AN414" i="3"/>
  <c r="AN418" i="3"/>
  <c r="AN422" i="3"/>
  <c r="AN426" i="3"/>
  <c r="AN430" i="3"/>
  <c r="AN434" i="3"/>
  <c r="AN438" i="3"/>
  <c r="AN442" i="3"/>
  <c r="AN446" i="3"/>
  <c r="AN450" i="3"/>
  <c r="AN454" i="3"/>
  <c r="AN458" i="3"/>
  <c r="AN462" i="3"/>
  <c r="AN466" i="3"/>
  <c r="AN470" i="3"/>
  <c r="AN474" i="3"/>
  <c r="AN478" i="3"/>
  <c r="AN482" i="3"/>
  <c r="AN486" i="3"/>
  <c r="AN490" i="3"/>
  <c r="AN494" i="3"/>
  <c r="AN498" i="3"/>
  <c r="AN502" i="3"/>
  <c r="AN506" i="3"/>
  <c r="AN510" i="3"/>
  <c r="AN514" i="3"/>
  <c r="AN518" i="3"/>
  <c r="AN522" i="3"/>
  <c r="AN526" i="3"/>
  <c r="AN530" i="3"/>
  <c r="AN534" i="3"/>
  <c r="AN538" i="3"/>
  <c r="AN542" i="3"/>
  <c r="AN546" i="3"/>
  <c r="AN550" i="3"/>
  <c r="AN554" i="3"/>
  <c r="AN558" i="3"/>
  <c r="AN562" i="3"/>
  <c r="AN566" i="3"/>
  <c r="AN570" i="3"/>
  <c r="AN574" i="3"/>
  <c r="AN578" i="3"/>
  <c r="AN582" i="3"/>
  <c r="AN586" i="3"/>
  <c r="AN590" i="3"/>
  <c r="AN594" i="3"/>
  <c r="AN598" i="3"/>
  <c r="AN602" i="3"/>
  <c r="AN606" i="3"/>
  <c r="AN610" i="3"/>
  <c r="AN614" i="3"/>
  <c r="AN618" i="3"/>
  <c r="AN622" i="3"/>
  <c r="AN626" i="3"/>
  <c r="AN630" i="3"/>
  <c r="AN634" i="3"/>
  <c r="AN638" i="3"/>
  <c r="AN642" i="3"/>
  <c r="AN646" i="3"/>
  <c r="AN650" i="3"/>
  <c r="AN654" i="3"/>
  <c r="AN658" i="3"/>
  <c r="AN662" i="3"/>
  <c r="AN347" i="3"/>
  <c r="AN351" i="3"/>
  <c r="AN355" i="3"/>
  <c r="AN359" i="3"/>
  <c r="AN363" i="3"/>
  <c r="AN367" i="3"/>
  <c r="AN371" i="3"/>
  <c r="AN375" i="3"/>
  <c r="AN379" i="3"/>
  <c r="AN383" i="3"/>
  <c r="AN387" i="3"/>
  <c r="AN391" i="3"/>
  <c r="AN395" i="3"/>
  <c r="AN399" i="3"/>
  <c r="AN403" i="3"/>
  <c r="AN407" i="3"/>
  <c r="AN411" i="3"/>
  <c r="AN415" i="3"/>
  <c r="AN419" i="3"/>
  <c r="AN423" i="3"/>
  <c r="AN427" i="3"/>
  <c r="AN431" i="3"/>
  <c r="AN435" i="3"/>
  <c r="AN439" i="3"/>
  <c r="AN443" i="3"/>
  <c r="AN447" i="3"/>
  <c r="AN451" i="3"/>
  <c r="AN455" i="3"/>
  <c r="AN459" i="3"/>
  <c r="AN463" i="3"/>
  <c r="AN467" i="3"/>
  <c r="AN471" i="3"/>
  <c r="AN475" i="3"/>
  <c r="AN479" i="3"/>
  <c r="AN483" i="3"/>
  <c r="AN487" i="3"/>
  <c r="AN491" i="3"/>
  <c r="AN495" i="3"/>
  <c r="AN499" i="3"/>
  <c r="AN503" i="3"/>
  <c r="AN507" i="3"/>
  <c r="AN511" i="3"/>
  <c r="AN515" i="3"/>
  <c r="AN519" i="3"/>
  <c r="AN523" i="3"/>
  <c r="AN527" i="3"/>
  <c r="AN531" i="3"/>
  <c r="AN535" i="3"/>
  <c r="AN539" i="3"/>
  <c r="AN543" i="3"/>
  <c r="AN547" i="3"/>
  <c r="AN551" i="3"/>
  <c r="AN555" i="3"/>
  <c r="AN559" i="3"/>
  <c r="AN563" i="3"/>
  <c r="AN567" i="3"/>
  <c r="AN571" i="3"/>
  <c r="AN575" i="3"/>
  <c r="AN579" i="3"/>
  <c r="AN583" i="3"/>
  <c r="AN587" i="3"/>
  <c r="AN591" i="3"/>
  <c r="AN595" i="3"/>
  <c r="AN599" i="3"/>
  <c r="AN603" i="3"/>
  <c r="AN607" i="3"/>
  <c r="AN611" i="3"/>
  <c r="AN615" i="3"/>
  <c r="AN619" i="3"/>
  <c r="AN623" i="3"/>
  <c r="AN627" i="3"/>
  <c r="AN631" i="3"/>
  <c r="AN635" i="3"/>
  <c r="AN639" i="3"/>
  <c r="AN643" i="3"/>
  <c r="AN647" i="3"/>
  <c r="AN651" i="3"/>
  <c r="AN655" i="3"/>
  <c r="AN659" i="3"/>
  <c r="AN663" i="3"/>
  <c r="AN667" i="3"/>
  <c r="AN671" i="3"/>
  <c r="AN675" i="3"/>
  <c r="AN666" i="3"/>
  <c r="AN679" i="3"/>
  <c r="AN686" i="3"/>
  <c r="AN691" i="3"/>
  <c r="AN697" i="3"/>
  <c r="AN701" i="3"/>
  <c r="AN705" i="3"/>
  <c r="AN709" i="3"/>
  <c r="AN713" i="3"/>
  <c r="AN717" i="3"/>
  <c r="AN721" i="3"/>
  <c r="AN725" i="3"/>
  <c r="AN729" i="3"/>
  <c r="AN733" i="3"/>
  <c r="AN737" i="3"/>
  <c r="AN741" i="3"/>
  <c r="AN745" i="3"/>
  <c r="AN749" i="3"/>
  <c r="AN753" i="3"/>
  <c r="AN757" i="3"/>
  <c r="AN761" i="3"/>
  <c r="AN765" i="3"/>
  <c r="AN769" i="3"/>
  <c r="AN773" i="3"/>
  <c r="AN777" i="3"/>
  <c r="AN781" i="3"/>
  <c r="AN785" i="3"/>
  <c r="AN789" i="3"/>
  <c r="AN793" i="3"/>
  <c r="AN797" i="3"/>
  <c r="AN801" i="3"/>
  <c r="AN805" i="3"/>
  <c r="AN809" i="3"/>
  <c r="AN813" i="3"/>
  <c r="AN817" i="3"/>
  <c r="AN821" i="3"/>
  <c r="AN825" i="3"/>
  <c r="AN829" i="3"/>
  <c r="AN833" i="3"/>
  <c r="AN837" i="3"/>
  <c r="AN841" i="3"/>
  <c r="AN845" i="3"/>
  <c r="AN849" i="3"/>
  <c r="AN853" i="3"/>
  <c r="AN857" i="3"/>
  <c r="AN861" i="3"/>
  <c r="AN865" i="3"/>
  <c r="AN869" i="3"/>
  <c r="AN873" i="3"/>
  <c r="AN877" i="3"/>
  <c r="AN881" i="3"/>
  <c r="AN885" i="3"/>
  <c r="AN889" i="3"/>
  <c r="AN893" i="3"/>
  <c r="AN897" i="3"/>
  <c r="AN901" i="3"/>
  <c r="AN905" i="3"/>
  <c r="AN909" i="3"/>
  <c r="AN913" i="3"/>
  <c r="AN917" i="3"/>
  <c r="AN921" i="3"/>
  <c r="AN925" i="3"/>
  <c r="AN929" i="3"/>
  <c r="AN933" i="3"/>
  <c r="AN937" i="3"/>
  <c r="AN941" i="3"/>
  <c r="AN945" i="3"/>
  <c r="AN949" i="3"/>
  <c r="AN953" i="3"/>
  <c r="AN957" i="3"/>
  <c r="AN961" i="3"/>
  <c r="AN965" i="3"/>
  <c r="AN969" i="3"/>
  <c r="AN973" i="3"/>
  <c r="AN977" i="3"/>
  <c r="AN981" i="3"/>
  <c r="AN985" i="3"/>
  <c r="AN989" i="3"/>
  <c r="AN993" i="3"/>
  <c r="AN997" i="3"/>
  <c r="AN1001" i="3"/>
  <c r="AN670" i="3"/>
  <c r="AN682" i="3"/>
  <c r="AN687" i="3"/>
  <c r="AN693" i="3"/>
  <c r="AN698" i="3"/>
  <c r="AN702" i="3"/>
  <c r="AN706" i="3"/>
  <c r="AN710" i="3"/>
  <c r="AN714" i="3"/>
  <c r="AN718" i="3"/>
  <c r="AN722" i="3"/>
  <c r="AN726" i="3"/>
  <c r="AN730" i="3"/>
  <c r="AN734" i="3"/>
  <c r="AN738" i="3"/>
  <c r="AN742" i="3"/>
  <c r="AN746" i="3"/>
  <c r="AN750" i="3"/>
  <c r="AN754" i="3"/>
  <c r="AN758" i="3"/>
  <c r="AN762" i="3"/>
  <c r="AN766" i="3"/>
  <c r="AN770" i="3"/>
  <c r="AN774" i="3"/>
  <c r="AN778" i="3"/>
  <c r="AN782" i="3"/>
  <c r="AN786" i="3"/>
  <c r="AN790" i="3"/>
  <c r="AN794" i="3"/>
  <c r="AN798" i="3"/>
  <c r="AN802" i="3"/>
  <c r="AN806" i="3"/>
  <c r="AN810" i="3"/>
  <c r="AN814" i="3"/>
  <c r="AN818" i="3"/>
  <c r="AN822" i="3"/>
  <c r="AN826" i="3"/>
  <c r="AN830" i="3"/>
  <c r="AN834" i="3"/>
  <c r="AN838" i="3"/>
  <c r="AN842" i="3"/>
  <c r="AN846" i="3"/>
  <c r="AN850" i="3"/>
  <c r="AN854" i="3"/>
  <c r="AN858" i="3"/>
  <c r="AN862" i="3"/>
  <c r="AN866" i="3"/>
  <c r="AN870" i="3"/>
  <c r="AN874" i="3"/>
  <c r="AN878" i="3"/>
  <c r="AN882" i="3"/>
  <c r="AN886" i="3"/>
  <c r="AN890" i="3"/>
  <c r="AN894" i="3"/>
  <c r="AN898" i="3"/>
  <c r="AN902" i="3"/>
  <c r="AN906" i="3"/>
  <c r="AN910" i="3"/>
  <c r="AN914" i="3"/>
  <c r="AN918" i="3"/>
  <c r="AN922" i="3"/>
  <c r="AN926" i="3"/>
  <c r="AN930" i="3"/>
  <c r="AN934" i="3"/>
  <c r="AN938" i="3"/>
  <c r="AN942" i="3"/>
  <c r="AN946" i="3"/>
  <c r="AN950" i="3"/>
  <c r="AN954" i="3"/>
  <c r="AN958" i="3"/>
  <c r="AN962" i="3"/>
  <c r="AN966" i="3"/>
  <c r="AN970" i="3"/>
  <c r="AN674" i="3"/>
  <c r="AN683" i="3"/>
  <c r="AN689" i="3"/>
  <c r="AN694" i="3"/>
  <c r="AN699" i="3"/>
  <c r="AN703" i="3"/>
  <c r="AN707" i="3"/>
  <c r="AN711" i="3"/>
  <c r="AN715" i="3"/>
  <c r="AN719" i="3"/>
  <c r="AN723" i="3"/>
  <c r="AN727" i="3"/>
  <c r="AN731" i="3"/>
  <c r="AN735" i="3"/>
  <c r="AN739" i="3"/>
  <c r="AN743" i="3"/>
  <c r="AN747" i="3"/>
  <c r="AN751" i="3"/>
  <c r="AN755" i="3"/>
  <c r="AN759" i="3"/>
  <c r="AN763" i="3"/>
  <c r="AN767" i="3"/>
  <c r="AN771" i="3"/>
  <c r="AN775" i="3"/>
  <c r="AN779" i="3"/>
  <c r="AN783" i="3"/>
  <c r="AN787" i="3"/>
  <c r="AN791" i="3"/>
  <c r="AN795" i="3"/>
  <c r="AN799" i="3"/>
  <c r="AN803" i="3"/>
  <c r="AN807" i="3"/>
  <c r="AN811" i="3"/>
  <c r="AN815" i="3"/>
  <c r="AN819" i="3"/>
  <c r="AN823" i="3"/>
  <c r="AN827" i="3"/>
  <c r="AN831" i="3"/>
  <c r="AN835" i="3"/>
  <c r="AN839" i="3"/>
  <c r="AN843" i="3"/>
  <c r="AN847" i="3"/>
  <c r="AN851" i="3"/>
  <c r="AN855" i="3"/>
  <c r="AN859" i="3"/>
  <c r="AN863" i="3"/>
  <c r="AN867" i="3"/>
  <c r="AN871" i="3"/>
  <c r="AN875" i="3"/>
  <c r="AN879" i="3"/>
  <c r="AN883" i="3"/>
  <c r="AN887" i="3"/>
  <c r="AN891" i="3"/>
  <c r="AN895" i="3"/>
  <c r="AN899" i="3"/>
  <c r="AN903" i="3"/>
  <c r="AN907" i="3"/>
  <c r="AN911" i="3"/>
  <c r="AN915" i="3"/>
  <c r="AN919" i="3"/>
  <c r="AN923" i="3"/>
  <c r="AN927" i="3"/>
  <c r="AN931" i="3"/>
  <c r="AN935" i="3"/>
  <c r="AN939" i="3"/>
  <c r="AN943" i="3"/>
  <c r="AN947" i="3"/>
  <c r="AN951" i="3"/>
  <c r="AN955" i="3"/>
  <c r="AN959" i="3"/>
  <c r="AN963" i="3"/>
  <c r="AN967" i="3"/>
  <c r="AN971" i="3"/>
  <c r="AN975" i="3"/>
  <c r="AN979" i="3"/>
  <c r="AN983" i="3"/>
  <c r="AN987" i="3"/>
  <c r="AN991" i="3"/>
  <c r="AN995" i="3"/>
  <c r="AN999" i="3"/>
  <c r="AN1003" i="3"/>
  <c r="AN678" i="3"/>
  <c r="AN685" i="3"/>
  <c r="AN690" i="3"/>
  <c r="AN695" i="3"/>
  <c r="AN700" i="3"/>
  <c r="AN704" i="3"/>
  <c r="AN708" i="3"/>
  <c r="AN712" i="3"/>
  <c r="AN716" i="3"/>
  <c r="AN720" i="3"/>
  <c r="AN724" i="3"/>
  <c r="AN728" i="3"/>
  <c r="AN732" i="3"/>
  <c r="AN736" i="3"/>
  <c r="AN740" i="3"/>
  <c r="AN744" i="3"/>
  <c r="AN748" i="3"/>
  <c r="AN752" i="3"/>
  <c r="AN756" i="3"/>
  <c r="AN760" i="3"/>
  <c r="AN764" i="3"/>
  <c r="AN768" i="3"/>
  <c r="AN772" i="3"/>
  <c r="AN776" i="3"/>
  <c r="AN780" i="3"/>
  <c r="AN784" i="3"/>
  <c r="AN788" i="3"/>
  <c r="AN792" i="3"/>
  <c r="AN796" i="3"/>
  <c r="AN800" i="3"/>
  <c r="AN804" i="3"/>
  <c r="AN808" i="3"/>
  <c r="AN812" i="3"/>
  <c r="AN816" i="3"/>
  <c r="AN820" i="3"/>
  <c r="AN824" i="3"/>
  <c r="AN828" i="3"/>
  <c r="AN832" i="3"/>
  <c r="AN836" i="3"/>
  <c r="AN840" i="3"/>
  <c r="AN844" i="3"/>
  <c r="AN848" i="3"/>
  <c r="AN852" i="3"/>
  <c r="AN856" i="3"/>
  <c r="AN860" i="3"/>
  <c r="AN864" i="3"/>
  <c r="AN868" i="3"/>
  <c r="AN872" i="3"/>
  <c r="AN876" i="3"/>
  <c r="AN880" i="3"/>
  <c r="AN884" i="3"/>
  <c r="AN888" i="3"/>
  <c r="AN892" i="3"/>
  <c r="AN896" i="3"/>
  <c r="AN900" i="3"/>
  <c r="AN904" i="3"/>
  <c r="AN908" i="3"/>
  <c r="AN912" i="3"/>
  <c r="AN916" i="3"/>
  <c r="AN920" i="3"/>
  <c r="AN924" i="3"/>
  <c r="AN928" i="3"/>
  <c r="AN932" i="3"/>
  <c r="AN936" i="3"/>
  <c r="AN940" i="3"/>
  <c r="AN944" i="3"/>
  <c r="AN948" i="3"/>
  <c r="AN952" i="3"/>
  <c r="AN956" i="3"/>
  <c r="AN960" i="3"/>
  <c r="AN964" i="3"/>
  <c r="AN968" i="3"/>
  <c r="AN972" i="3"/>
  <c r="AN976" i="3"/>
  <c r="AN980" i="3"/>
  <c r="AN984" i="3"/>
  <c r="AN988" i="3"/>
  <c r="AN992" i="3"/>
  <c r="AN996" i="3"/>
  <c r="AN1000" i="3"/>
  <c r="AN4" i="3"/>
  <c r="AN974" i="3"/>
  <c r="AN990" i="3"/>
  <c r="AN978" i="3"/>
  <c r="AN994" i="3"/>
  <c r="AN982" i="3"/>
  <c r="AN998" i="3"/>
  <c r="AN986" i="3"/>
  <c r="AN1002" i="3"/>
  <c r="AA11" i="3"/>
  <c r="AA12" i="3" s="1"/>
  <c r="AJ8" i="3"/>
  <c r="AJ12" i="3"/>
  <c r="AJ16" i="3"/>
  <c r="AJ20" i="3"/>
  <c r="AJ24" i="3"/>
  <c r="AJ28" i="3"/>
  <c r="AJ32" i="3"/>
  <c r="AJ36" i="3"/>
  <c r="AJ40" i="3"/>
  <c r="AJ44" i="3"/>
  <c r="AJ48" i="3"/>
  <c r="AJ52" i="3"/>
  <c r="AJ56" i="3"/>
  <c r="AJ60" i="3"/>
  <c r="AJ64" i="3"/>
  <c r="AJ68" i="3"/>
  <c r="AJ72" i="3"/>
  <c r="AJ76" i="3"/>
  <c r="AJ80" i="3"/>
  <c r="AJ84" i="3"/>
  <c r="AJ88" i="3"/>
  <c r="AJ92" i="3"/>
  <c r="AJ96" i="3"/>
  <c r="AJ100" i="3"/>
  <c r="AJ104" i="3"/>
  <c r="AJ108" i="3"/>
  <c r="AJ112" i="3"/>
  <c r="AJ116" i="3"/>
  <c r="AJ120" i="3"/>
  <c r="AJ124" i="3"/>
  <c r="AJ128" i="3"/>
  <c r="AJ132" i="3"/>
  <c r="AJ136" i="3"/>
  <c r="AJ140" i="3"/>
  <c r="AJ144" i="3"/>
  <c r="AJ148" i="3"/>
  <c r="AJ152" i="3"/>
  <c r="AJ156" i="3"/>
  <c r="AJ160" i="3"/>
  <c r="AJ164" i="3"/>
  <c r="AJ168" i="3"/>
  <c r="AJ172" i="3"/>
  <c r="AJ176" i="3"/>
  <c r="AJ180" i="3"/>
  <c r="AJ184" i="3"/>
  <c r="AJ188" i="3"/>
  <c r="AJ192" i="3"/>
  <c r="AJ196" i="3"/>
  <c r="AJ200" i="3"/>
  <c r="AJ204" i="3"/>
  <c r="AJ208" i="3"/>
  <c r="AJ212" i="3"/>
  <c r="AJ216" i="3"/>
  <c r="AJ220" i="3"/>
  <c r="AJ224" i="3"/>
  <c r="AJ228" i="3"/>
  <c r="AJ232" i="3"/>
  <c r="AJ236" i="3"/>
  <c r="AJ240" i="3"/>
  <c r="AJ244" i="3"/>
  <c r="AJ248" i="3"/>
  <c r="AJ252" i="3"/>
  <c r="AJ256" i="3"/>
  <c r="AJ260" i="3"/>
  <c r="AJ264" i="3"/>
  <c r="AJ268" i="3"/>
  <c r="AJ272" i="3"/>
  <c r="AJ276" i="3"/>
  <c r="AJ280" i="3"/>
  <c r="AJ284" i="3"/>
  <c r="AJ288" i="3"/>
  <c r="AJ292" i="3"/>
  <c r="AJ296" i="3"/>
  <c r="AJ300" i="3"/>
  <c r="AJ304" i="3"/>
  <c r="AJ308" i="3"/>
  <c r="AJ312" i="3"/>
  <c r="AJ316" i="3"/>
  <c r="AJ320" i="3"/>
  <c r="AJ324" i="3"/>
  <c r="AJ328" i="3"/>
  <c r="AJ332" i="3"/>
  <c r="AJ336" i="3"/>
  <c r="AJ340" i="3"/>
  <c r="AJ344" i="3"/>
  <c r="AJ348" i="3"/>
  <c r="AJ352" i="3"/>
  <c r="AJ356" i="3"/>
  <c r="AJ360" i="3"/>
  <c r="AJ364" i="3"/>
  <c r="AJ368" i="3"/>
  <c r="AJ372" i="3"/>
  <c r="AJ376" i="3"/>
  <c r="AJ380" i="3"/>
  <c r="AJ384" i="3"/>
  <c r="AJ388" i="3"/>
  <c r="AJ392" i="3"/>
  <c r="AJ396" i="3"/>
  <c r="AJ400" i="3"/>
  <c r="AJ404" i="3"/>
  <c r="AJ408" i="3"/>
  <c r="AJ412" i="3"/>
  <c r="AJ416" i="3"/>
  <c r="AJ420" i="3"/>
  <c r="AJ424" i="3"/>
  <c r="AJ428" i="3"/>
  <c r="AJ432" i="3"/>
  <c r="AJ436" i="3"/>
  <c r="AJ440" i="3"/>
  <c r="AJ444" i="3"/>
  <c r="AJ448" i="3"/>
  <c r="AJ452" i="3"/>
  <c r="AJ456" i="3"/>
  <c r="AJ460" i="3"/>
  <c r="AJ464" i="3"/>
  <c r="AJ468" i="3"/>
  <c r="AJ472" i="3"/>
  <c r="AJ476" i="3"/>
  <c r="AJ480" i="3"/>
  <c r="AJ484" i="3"/>
  <c r="AJ488" i="3"/>
  <c r="AJ492" i="3"/>
  <c r="AJ496" i="3"/>
  <c r="AJ500" i="3"/>
  <c r="AJ504" i="3"/>
  <c r="AJ508" i="3"/>
  <c r="AJ512" i="3"/>
  <c r="AJ5" i="3"/>
  <c r="AJ9" i="3"/>
  <c r="AJ13" i="3"/>
  <c r="AJ17" i="3"/>
  <c r="AJ21" i="3"/>
  <c r="AJ25" i="3"/>
  <c r="AJ29" i="3"/>
  <c r="AJ33" i="3"/>
  <c r="AJ37" i="3"/>
  <c r="AJ41" i="3"/>
  <c r="AJ45" i="3"/>
  <c r="AJ49" i="3"/>
  <c r="AJ53" i="3"/>
  <c r="AJ57" i="3"/>
  <c r="AJ61" i="3"/>
  <c r="AJ65" i="3"/>
  <c r="AJ69" i="3"/>
  <c r="AJ73" i="3"/>
  <c r="AJ77" i="3"/>
  <c r="AJ81" i="3"/>
  <c r="AJ85" i="3"/>
  <c r="AJ89" i="3"/>
  <c r="AJ93" i="3"/>
  <c r="AJ97" i="3"/>
  <c r="AJ101" i="3"/>
  <c r="AJ105" i="3"/>
  <c r="AJ109" i="3"/>
  <c r="AJ113" i="3"/>
  <c r="AJ117" i="3"/>
  <c r="AJ121" i="3"/>
  <c r="AJ125" i="3"/>
  <c r="AJ129" i="3"/>
  <c r="AJ133" i="3"/>
  <c r="AJ137" i="3"/>
  <c r="AJ141" i="3"/>
  <c r="AJ145" i="3"/>
  <c r="AJ149" i="3"/>
  <c r="AJ153" i="3"/>
  <c r="AJ157" i="3"/>
  <c r="AJ161" i="3"/>
  <c r="AJ165" i="3"/>
  <c r="AJ169" i="3"/>
  <c r="AJ173" i="3"/>
  <c r="AJ177" i="3"/>
  <c r="AJ181" i="3"/>
  <c r="AJ185" i="3"/>
  <c r="AJ189" i="3"/>
  <c r="AJ193" i="3"/>
  <c r="AJ197" i="3"/>
  <c r="AJ201" i="3"/>
  <c r="AJ205" i="3"/>
  <c r="AJ209" i="3"/>
  <c r="AJ213" i="3"/>
  <c r="AJ217" i="3"/>
  <c r="AJ221" i="3"/>
  <c r="AJ225" i="3"/>
  <c r="AJ229" i="3"/>
  <c r="AJ233" i="3"/>
  <c r="AJ237" i="3"/>
  <c r="AJ241" i="3"/>
  <c r="AJ245" i="3"/>
  <c r="AJ249" i="3"/>
  <c r="AJ253" i="3"/>
  <c r="AJ257" i="3"/>
  <c r="AJ261" i="3"/>
  <c r="AJ265" i="3"/>
  <c r="AJ269" i="3"/>
  <c r="AJ273" i="3"/>
  <c r="AJ277" i="3"/>
  <c r="AJ281" i="3"/>
  <c r="AJ285" i="3"/>
  <c r="AJ289" i="3"/>
  <c r="AJ293" i="3"/>
  <c r="AJ297" i="3"/>
  <c r="AJ301" i="3"/>
  <c r="AJ305" i="3"/>
  <c r="AJ309" i="3"/>
  <c r="AJ313" i="3"/>
  <c r="AJ317" i="3"/>
  <c r="AJ321" i="3"/>
  <c r="AJ325" i="3"/>
  <c r="AJ329" i="3"/>
  <c r="AJ333" i="3"/>
  <c r="AJ337" i="3"/>
  <c r="AJ341" i="3"/>
  <c r="AJ345" i="3"/>
  <c r="AJ349" i="3"/>
  <c r="AJ353" i="3"/>
  <c r="AJ357" i="3"/>
  <c r="AJ361" i="3"/>
  <c r="AJ365" i="3"/>
  <c r="AJ369" i="3"/>
  <c r="AJ373" i="3"/>
  <c r="AJ377" i="3"/>
  <c r="AJ381" i="3"/>
  <c r="AJ385" i="3"/>
  <c r="AJ389" i="3"/>
  <c r="AJ393" i="3"/>
  <c r="AJ397" i="3"/>
  <c r="AJ401" i="3"/>
  <c r="AJ405" i="3"/>
  <c r="AJ409" i="3"/>
  <c r="AJ413" i="3"/>
  <c r="AJ417" i="3"/>
  <c r="AJ421" i="3"/>
  <c r="AJ425" i="3"/>
  <c r="AJ429" i="3"/>
  <c r="AJ6" i="3"/>
  <c r="AJ10" i="3"/>
  <c r="AJ14" i="3"/>
  <c r="AJ18" i="3"/>
  <c r="AJ22" i="3"/>
  <c r="AJ26" i="3"/>
  <c r="AJ30" i="3"/>
  <c r="AJ34" i="3"/>
  <c r="AJ38" i="3"/>
  <c r="AJ42" i="3"/>
  <c r="AJ46" i="3"/>
  <c r="AJ50" i="3"/>
  <c r="AJ54" i="3"/>
  <c r="AJ58" i="3"/>
  <c r="AJ62" i="3"/>
  <c r="AJ66" i="3"/>
  <c r="AJ70" i="3"/>
  <c r="AJ74" i="3"/>
  <c r="AJ78" i="3"/>
  <c r="AJ82" i="3"/>
  <c r="AJ86" i="3"/>
  <c r="AJ90" i="3"/>
  <c r="AJ94" i="3"/>
  <c r="AJ98" i="3"/>
  <c r="AJ102" i="3"/>
  <c r="AJ106" i="3"/>
  <c r="AJ110" i="3"/>
  <c r="AJ114" i="3"/>
  <c r="AJ118" i="3"/>
  <c r="AJ122" i="3"/>
  <c r="AJ126" i="3"/>
  <c r="AJ130" i="3"/>
  <c r="AJ134" i="3"/>
  <c r="AJ138" i="3"/>
  <c r="AJ142" i="3"/>
  <c r="AJ146" i="3"/>
  <c r="AJ150" i="3"/>
  <c r="AJ154" i="3"/>
  <c r="AJ158" i="3"/>
  <c r="AJ162" i="3"/>
  <c r="AJ166" i="3"/>
  <c r="AJ170" i="3"/>
  <c r="AJ174" i="3"/>
  <c r="AJ178" i="3"/>
  <c r="AJ182" i="3"/>
  <c r="AJ186" i="3"/>
  <c r="AJ190" i="3"/>
  <c r="AJ194" i="3"/>
  <c r="AJ198" i="3"/>
  <c r="AJ202" i="3"/>
  <c r="AJ206" i="3"/>
  <c r="AJ210" i="3"/>
  <c r="AJ214" i="3"/>
  <c r="AJ218" i="3"/>
  <c r="AJ222" i="3"/>
  <c r="AJ226" i="3"/>
  <c r="AJ230" i="3"/>
  <c r="AJ234" i="3"/>
  <c r="AJ238" i="3"/>
  <c r="AJ242" i="3"/>
  <c r="AJ246" i="3"/>
  <c r="AJ250" i="3"/>
  <c r="AJ254" i="3"/>
  <c r="AJ258" i="3"/>
  <c r="AJ262" i="3"/>
  <c r="AJ266" i="3"/>
  <c r="AJ270" i="3"/>
  <c r="AJ274" i="3"/>
  <c r="AJ278" i="3"/>
  <c r="AJ282" i="3"/>
  <c r="AJ286" i="3"/>
  <c r="AJ290" i="3"/>
  <c r="AJ294" i="3"/>
  <c r="AJ298" i="3"/>
  <c r="AJ302" i="3"/>
  <c r="AJ306" i="3"/>
  <c r="AJ310" i="3"/>
  <c r="AJ7" i="3"/>
  <c r="AJ11" i="3"/>
  <c r="AJ15" i="3"/>
  <c r="AJ19" i="3"/>
  <c r="AJ23" i="3"/>
  <c r="AJ27" i="3"/>
  <c r="AJ31" i="3"/>
  <c r="AJ35" i="3"/>
  <c r="AJ39" i="3"/>
  <c r="AJ43" i="3"/>
  <c r="AJ47" i="3"/>
  <c r="AJ51" i="3"/>
  <c r="AJ55" i="3"/>
  <c r="AJ59" i="3"/>
  <c r="AJ63" i="3"/>
  <c r="AJ67" i="3"/>
  <c r="AJ71" i="3"/>
  <c r="AJ75" i="3"/>
  <c r="AJ79" i="3"/>
  <c r="AJ83" i="3"/>
  <c r="AJ87" i="3"/>
  <c r="AJ91" i="3"/>
  <c r="AJ95" i="3"/>
  <c r="AJ99" i="3"/>
  <c r="AJ103" i="3"/>
  <c r="AJ107" i="3"/>
  <c r="AJ111" i="3"/>
  <c r="AJ115" i="3"/>
  <c r="AJ119" i="3"/>
  <c r="AJ123" i="3"/>
  <c r="AJ127" i="3"/>
  <c r="AJ131" i="3"/>
  <c r="AJ135" i="3"/>
  <c r="AJ139" i="3"/>
  <c r="AJ143" i="3"/>
  <c r="AJ147" i="3"/>
  <c r="AJ151" i="3"/>
  <c r="AJ155" i="3"/>
  <c r="AJ159" i="3"/>
  <c r="AJ163" i="3"/>
  <c r="AJ167" i="3"/>
  <c r="AJ171" i="3"/>
  <c r="AJ175" i="3"/>
  <c r="AJ179" i="3"/>
  <c r="AJ183" i="3"/>
  <c r="AJ187" i="3"/>
  <c r="AJ191" i="3"/>
  <c r="AJ195" i="3"/>
  <c r="AJ199" i="3"/>
  <c r="AJ203" i="3"/>
  <c r="AJ207" i="3"/>
  <c r="AJ211" i="3"/>
  <c r="AJ215" i="3"/>
  <c r="AJ219" i="3"/>
  <c r="AJ223" i="3"/>
  <c r="AJ227" i="3"/>
  <c r="AJ231" i="3"/>
  <c r="AJ235" i="3"/>
  <c r="AJ239" i="3"/>
  <c r="AJ243" i="3"/>
  <c r="AJ247" i="3"/>
  <c r="AJ251" i="3"/>
  <c r="AJ255" i="3"/>
  <c r="AJ259" i="3"/>
  <c r="AJ263" i="3"/>
  <c r="AJ267" i="3"/>
  <c r="AJ271" i="3"/>
  <c r="AJ275" i="3"/>
  <c r="AJ279" i="3"/>
  <c r="AJ283" i="3"/>
  <c r="AJ287" i="3"/>
  <c r="AJ291" i="3"/>
  <c r="AJ295" i="3"/>
  <c r="AJ299" i="3"/>
  <c r="AJ303" i="3"/>
  <c r="AJ307" i="3"/>
  <c r="AJ311" i="3"/>
  <c r="AJ315" i="3"/>
  <c r="AJ319" i="3"/>
  <c r="AJ323" i="3"/>
  <c r="AJ327" i="3"/>
  <c r="AJ331" i="3"/>
  <c r="AJ335" i="3"/>
  <c r="AJ339" i="3"/>
  <c r="AJ343" i="3"/>
  <c r="AJ347" i="3"/>
  <c r="AJ351" i="3"/>
  <c r="AJ355" i="3"/>
  <c r="AJ359" i="3"/>
  <c r="AJ363" i="3"/>
  <c r="AJ367" i="3"/>
  <c r="AJ371" i="3"/>
  <c r="AJ375" i="3"/>
  <c r="AJ379" i="3"/>
  <c r="AJ383" i="3"/>
  <c r="AJ387" i="3"/>
  <c r="AJ391" i="3"/>
  <c r="AJ395" i="3"/>
  <c r="AJ399" i="3"/>
  <c r="AJ403" i="3"/>
  <c r="AJ407" i="3"/>
  <c r="AJ411" i="3"/>
  <c r="AJ415" i="3"/>
  <c r="AJ314" i="3"/>
  <c r="AJ330" i="3"/>
  <c r="AJ346" i="3"/>
  <c r="AJ362" i="3"/>
  <c r="AJ378" i="3"/>
  <c r="AJ394" i="3"/>
  <c r="AJ410" i="3"/>
  <c r="AJ422" i="3"/>
  <c r="AJ430" i="3"/>
  <c r="AJ435" i="3"/>
  <c r="AJ441" i="3"/>
  <c r="AJ446" i="3"/>
  <c r="AJ451" i="3"/>
  <c r="AJ457" i="3"/>
  <c r="AJ462" i="3"/>
  <c r="AJ467" i="3"/>
  <c r="AJ473" i="3"/>
  <c r="AJ478" i="3"/>
  <c r="AJ483" i="3"/>
  <c r="AJ489" i="3"/>
  <c r="AJ494" i="3"/>
  <c r="AJ499" i="3"/>
  <c r="AJ505" i="3"/>
  <c r="AJ510" i="3"/>
  <c r="AJ515" i="3"/>
  <c r="AJ519" i="3"/>
  <c r="AJ523" i="3"/>
  <c r="AJ527" i="3"/>
  <c r="AJ531" i="3"/>
  <c r="AJ535" i="3"/>
  <c r="AJ539" i="3"/>
  <c r="AJ543" i="3"/>
  <c r="AJ547" i="3"/>
  <c r="AJ551" i="3"/>
  <c r="AJ555" i="3"/>
  <c r="AJ559" i="3"/>
  <c r="AJ563" i="3"/>
  <c r="AJ567" i="3"/>
  <c r="AJ571" i="3"/>
  <c r="AJ575" i="3"/>
  <c r="AJ579" i="3"/>
  <c r="AJ583" i="3"/>
  <c r="AJ587" i="3"/>
  <c r="AJ591" i="3"/>
  <c r="AJ595" i="3"/>
  <c r="AJ599" i="3"/>
  <c r="AJ603" i="3"/>
  <c r="AJ607" i="3"/>
  <c r="AJ611" i="3"/>
  <c r="AJ615" i="3"/>
  <c r="AJ619" i="3"/>
  <c r="AJ623" i="3"/>
  <c r="AJ627" i="3"/>
  <c r="AJ631" i="3"/>
  <c r="AJ635" i="3"/>
  <c r="AJ639" i="3"/>
  <c r="AJ643" i="3"/>
  <c r="AJ647" i="3"/>
  <c r="AJ651" i="3"/>
  <c r="AJ655" i="3"/>
  <c r="AJ659" i="3"/>
  <c r="AJ663" i="3"/>
  <c r="AJ667" i="3"/>
  <c r="AJ671" i="3"/>
  <c r="AJ675" i="3"/>
  <c r="AJ679" i="3"/>
  <c r="AJ683" i="3"/>
  <c r="AJ687" i="3"/>
  <c r="AJ691" i="3"/>
  <c r="AJ695" i="3"/>
  <c r="AJ699" i="3"/>
  <c r="AJ703" i="3"/>
  <c r="AJ707" i="3"/>
  <c r="AJ711" i="3"/>
  <c r="AJ715" i="3"/>
  <c r="AJ719" i="3"/>
  <c r="AJ723" i="3"/>
  <c r="AJ727" i="3"/>
  <c r="AJ731" i="3"/>
  <c r="AJ735" i="3"/>
  <c r="AJ739" i="3"/>
  <c r="AJ743" i="3"/>
  <c r="AJ747" i="3"/>
  <c r="AJ751" i="3"/>
  <c r="AJ755" i="3"/>
  <c r="AJ759" i="3"/>
  <c r="AJ763" i="3"/>
  <c r="AJ767" i="3"/>
  <c r="AJ771" i="3"/>
  <c r="AJ775" i="3"/>
  <c r="AJ779" i="3"/>
  <c r="AJ783" i="3"/>
  <c r="AJ787" i="3"/>
  <c r="AJ791" i="3"/>
  <c r="AJ795" i="3"/>
  <c r="AJ799" i="3"/>
  <c r="AJ803" i="3"/>
  <c r="AJ807" i="3"/>
  <c r="AJ811" i="3"/>
  <c r="AJ815" i="3"/>
  <c r="AJ819" i="3"/>
  <c r="AJ823" i="3"/>
  <c r="AJ827" i="3"/>
  <c r="AJ831" i="3"/>
  <c r="AJ835" i="3"/>
  <c r="AJ839" i="3"/>
  <c r="AJ843" i="3"/>
  <c r="AJ847" i="3"/>
  <c r="AJ851" i="3"/>
  <c r="AJ855" i="3"/>
  <c r="AJ859" i="3"/>
  <c r="AJ863" i="3"/>
  <c r="AJ867" i="3"/>
  <c r="AJ871" i="3"/>
  <c r="AJ875" i="3"/>
  <c r="AJ879" i="3"/>
  <c r="AJ883" i="3"/>
  <c r="AJ887" i="3"/>
  <c r="AJ891" i="3"/>
  <c r="AJ895" i="3"/>
  <c r="AJ899" i="3"/>
  <c r="AJ903" i="3"/>
  <c r="AJ907" i="3"/>
  <c r="AJ911" i="3"/>
  <c r="AJ915" i="3"/>
  <c r="AJ919" i="3"/>
  <c r="AJ923" i="3"/>
  <c r="AJ927" i="3"/>
  <c r="AJ931" i="3"/>
  <c r="AJ935" i="3"/>
  <c r="AJ939" i="3"/>
  <c r="AJ943" i="3"/>
  <c r="AJ947" i="3"/>
  <c r="AJ951" i="3"/>
  <c r="AJ955" i="3"/>
  <c r="AJ959" i="3"/>
  <c r="AJ963" i="3"/>
  <c r="AJ967" i="3"/>
  <c r="AJ971" i="3"/>
  <c r="AJ975" i="3"/>
  <c r="AJ979" i="3"/>
  <c r="AJ983" i="3"/>
  <c r="AJ987" i="3"/>
  <c r="AJ991" i="3"/>
  <c r="AJ995" i="3"/>
  <c r="AJ999" i="3"/>
  <c r="AJ1003" i="3"/>
  <c r="AJ318" i="3"/>
  <c r="AJ334" i="3"/>
  <c r="AJ350" i="3"/>
  <c r="AJ366" i="3"/>
  <c r="AJ382" i="3"/>
  <c r="AJ398" i="3"/>
  <c r="AJ414" i="3"/>
  <c r="AJ423" i="3"/>
  <c r="AJ431" i="3"/>
  <c r="AJ437" i="3"/>
  <c r="AJ442" i="3"/>
  <c r="AJ447" i="3"/>
  <c r="AJ453" i="3"/>
  <c r="AJ458" i="3"/>
  <c r="AJ463" i="3"/>
  <c r="AJ469" i="3"/>
  <c r="AJ474" i="3"/>
  <c r="AJ479" i="3"/>
  <c r="AJ485" i="3"/>
  <c r="AJ490" i="3"/>
  <c r="AJ495" i="3"/>
  <c r="AJ501" i="3"/>
  <c r="AJ506" i="3"/>
  <c r="AJ511" i="3"/>
  <c r="AJ516" i="3"/>
  <c r="AJ520" i="3"/>
  <c r="AJ524" i="3"/>
  <c r="AJ528" i="3"/>
  <c r="AJ532" i="3"/>
  <c r="AJ536" i="3"/>
  <c r="AJ540" i="3"/>
  <c r="AJ544" i="3"/>
  <c r="AJ548" i="3"/>
  <c r="AJ552" i="3"/>
  <c r="AJ556" i="3"/>
  <c r="AJ560" i="3"/>
  <c r="AJ564" i="3"/>
  <c r="AJ568" i="3"/>
  <c r="AJ572" i="3"/>
  <c r="AJ576" i="3"/>
  <c r="AJ580" i="3"/>
  <c r="AJ584" i="3"/>
  <c r="AJ588" i="3"/>
  <c r="AJ592" i="3"/>
  <c r="AJ596" i="3"/>
  <c r="AJ600" i="3"/>
  <c r="AJ604" i="3"/>
  <c r="AJ608" i="3"/>
  <c r="AJ612" i="3"/>
  <c r="AJ616" i="3"/>
  <c r="AJ620" i="3"/>
  <c r="AJ624" i="3"/>
  <c r="AJ628" i="3"/>
  <c r="AJ632" i="3"/>
  <c r="AJ636" i="3"/>
  <c r="AJ640" i="3"/>
  <c r="AJ644" i="3"/>
  <c r="AJ648" i="3"/>
  <c r="AJ652" i="3"/>
  <c r="AJ656" i="3"/>
  <c r="AJ660" i="3"/>
  <c r="AJ664" i="3"/>
  <c r="AJ668" i="3"/>
  <c r="AJ672" i="3"/>
  <c r="AJ676" i="3"/>
  <c r="AJ680" i="3"/>
  <c r="AJ684" i="3"/>
  <c r="AJ688" i="3"/>
  <c r="AJ692" i="3"/>
  <c r="AJ696" i="3"/>
  <c r="AJ700" i="3"/>
  <c r="AJ704" i="3"/>
  <c r="AJ708" i="3"/>
  <c r="AJ712" i="3"/>
  <c r="AJ716" i="3"/>
  <c r="AJ720" i="3"/>
  <c r="AJ724" i="3"/>
  <c r="AJ728" i="3"/>
  <c r="AJ732" i="3"/>
  <c r="AJ736" i="3"/>
  <c r="AJ740" i="3"/>
  <c r="AJ744" i="3"/>
  <c r="AJ748" i="3"/>
  <c r="AJ752" i="3"/>
  <c r="AJ756" i="3"/>
  <c r="AJ760" i="3"/>
  <c r="AJ764" i="3"/>
  <c r="AJ768" i="3"/>
  <c r="AJ772" i="3"/>
  <c r="AJ776" i="3"/>
  <c r="AJ780" i="3"/>
  <c r="AJ784" i="3"/>
  <c r="AJ788" i="3"/>
  <c r="AJ792" i="3"/>
  <c r="AJ796" i="3"/>
  <c r="AJ800" i="3"/>
  <c r="AJ804" i="3"/>
  <c r="AJ808" i="3"/>
  <c r="AJ812" i="3"/>
  <c r="AJ816" i="3"/>
  <c r="AJ820" i="3"/>
  <c r="AJ824" i="3"/>
  <c r="AJ828" i="3"/>
  <c r="AJ832" i="3"/>
  <c r="AJ836" i="3"/>
  <c r="AJ840" i="3"/>
  <c r="AJ844" i="3"/>
  <c r="AJ848" i="3"/>
  <c r="AJ852" i="3"/>
  <c r="AJ856" i="3"/>
  <c r="AJ860" i="3"/>
  <c r="AJ864" i="3"/>
  <c r="AJ868" i="3"/>
  <c r="AJ872" i="3"/>
  <c r="AJ876" i="3"/>
  <c r="AJ880" i="3"/>
  <c r="AJ884" i="3"/>
  <c r="AJ888" i="3"/>
  <c r="AJ892" i="3"/>
  <c r="AJ896" i="3"/>
  <c r="AJ900" i="3"/>
  <c r="AJ904" i="3"/>
  <c r="AJ908" i="3"/>
  <c r="AJ912" i="3"/>
  <c r="AJ916" i="3"/>
  <c r="AJ920" i="3"/>
  <c r="AJ924" i="3"/>
  <c r="AJ928" i="3"/>
  <c r="AJ932" i="3"/>
  <c r="AJ936" i="3"/>
  <c r="AJ940" i="3"/>
  <c r="AJ944" i="3"/>
  <c r="AJ948" i="3"/>
  <c r="AJ952" i="3"/>
  <c r="AJ956" i="3"/>
  <c r="AJ960" i="3"/>
  <c r="AJ964" i="3"/>
  <c r="AJ968" i="3"/>
  <c r="AJ972" i="3"/>
  <c r="AJ976" i="3"/>
  <c r="AJ980" i="3"/>
  <c r="AJ984" i="3"/>
  <c r="AJ988" i="3"/>
  <c r="AJ992" i="3"/>
  <c r="AJ996" i="3"/>
  <c r="AJ1000" i="3"/>
  <c r="AJ4" i="3"/>
  <c r="AJ322" i="3"/>
  <c r="AJ338" i="3"/>
  <c r="AJ354" i="3"/>
  <c r="AJ370" i="3"/>
  <c r="AJ386" i="3"/>
  <c r="AJ402" i="3"/>
  <c r="AJ418" i="3"/>
  <c r="AJ426" i="3"/>
  <c r="AJ433" i="3"/>
  <c r="AJ438" i="3"/>
  <c r="AJ443" i="3"/>
  <c r="AJ449" i="3"/>
  <c r="AJ454" i="3"/>
  <c r="AJ459" i="3"/>
  <c r="AJ465" i="3"/>
  <c r="AJ470" i="3"/>
  <c r="AJ475" i="3"/>
  <c r="AJ481" i="3"/>
  <c r="AJ486" i="3"/>
  <c r="AJ491" i="3"/>
  <c r="AJ497" i="3"/>
  <c r="AJ502" i="3"/>
  <c r="AJ507" i="3"/>
  <c r="AJ513" i="3"/>
  <c r="AJ517" i="3"/>
  <c r="AJ521" i="3"/>
  <c r="AJ525" i="3"/>
  <c r="AJ529" i="3"/>
  <c r="AJ533" i="3"/>
  <c r="AJ537" i="3"/>
  <c r="AJ541" i="3"/>
  <c r="AJ545" i="3"/>
  <c r="AJ549" i="3"/>
  <c r="AJ553" i="3"/>
  <c r="AJ557" i="3"/>
  <c r="AJ561" i="3"/>
  <c r="AJ565" i="3"/>
  <c r="AJ569" i="3"/>
  <c r="AJ573" i="3"/>
  <c r="AJ577" i="3"/>
  <c r="AJ581" i="3"/>
  <c r="AJ585" i="3"/>
  <c r="AJ589" i="3"/>
  <c r="AJ593" i="3"/>
  <c r="AJ597" i="3"/>
  <c r="AJ601" i="3"/>
  <c r="AJ605" i="3"/>
  <c r="AJ609" i="3"/>
  <c r="AJ613" i="3"/>
  <c r="AJ617" i="3"/>
  <c r="AJ621" i="3"/>
  <c r="AJ625" i="3"/>
  <c r="AJ629" i="3"/>
  <c r="AJ633" i="3"/>
  <c r="AJ637" i="3"/>
  <c r="AJ641" i="3"/>
  <c r="AJ645" i="3"/>
  <c r="AJ649" i="3"/>
  <c r="AJ653" i="3"/>
  <c r="AJ657" i="3"/>
  <c r="AJ661" i="3"/>
  <c r="AJ665" i="3"/>
  <c r="AJ669" i="3"/>
  <c r="AJ673" i="3"/>
  <c r="AJ677" i="3"/>
  <c r="AJ681" i="3"/>
  <c r="AJ685" i="3"/>
  <c r="AJ689" i="3"/>
  <c r="AJ693" i="3"/>
  <c r="AJ697" i="3"/>
  <c r="AJ701" i="3"/>
  <c r="AJ705" i="3"/>
  <c r="AJ709" i="3"/>
  <c r="AJ713" i="3"/>
  <c r="AJ717" i="3"/>
  <c r="AJ721" i="3"/>
  <c r="AJ725" i="3"/>
  <c r="AJ729" i="3"/>
  <c r="AJ733" i="3"/>
  <c r="AJ737" i="3"/>
  <c r="AJ741" i="3"/>
  <c r="AJ745" i="3"/>
  <c r="AJ749" i="3"/>
  <c r="AJ753" i="3"/>
  <c r="AJ757" i="3"/>
  <c r="AJ761" i="3"/>
  <c r="AJ765" i="3"/>
  <c r="AJ769" i="3"/>
  <c r="AJ773" i="3"/>
  <c r="AJ777" i="3"/>
  <c r="AJ781" i="3"/>
  <c r="AJ785" i="3"/>
  <c r="AJ789" i="3"/>
  <c r="AJ793" i="3"/>
  <c r="AJ797" i="3"/>
  <c r="AJ801" i="3"/>
  <c r="AJ805" i="3"/>
  <c r="AJ809" i="3"/>
  <c r="AJ813" i="3"/>
  <c r="AJ817" i="3"/>
  <c r="AJ821" i="3"/>
  <c r="AJ825" i="3"/>
  <c r="AJ829" i="3"/>
  <c r="AJ833" i="3"/>
  <c r="AJ837" i="3"/>
  <c r="AJ841" i="3"/>
  <c r="AJ845" i="3"/>
  <c r="AJ849" i="3"/>
  <c r="AJ853" i="3"/>
  <c r="AJ857" i="3"/>
  <c r="AJ861" i="3"/>
  <c r="AJ865" i="3"/>
  <c r="AJ869" i="3"/>
  <c r="AJ873" i="3"/>
  <c r="AJ877" i="3"/>
  <c r="AJ881" i="3"/>
  <c r="AJ885" i="3"/>
  <c r="AJ889" i="3"/>
  <c r="AJ893" i="3"/>
  <c r="AJ897" i="3"/>
  <c r="AJ901" i="3"/>
  <c r="AJ905" i="3"/>
  <c r="AJ909" i="3"/>
  <c r="AJ913" i="3"/>
  <c r="AJ917" i="3"/>
  <c r="AJ921" i="3"/>
  <c r="AJ925" i="3"/>
  <c r="AJ929" i="3"/>
  <c r="AJ933" i="3"/>
  <c r="AJ937" i="3"/>
  <c r="AJ941" i="3"/>
  <c r="AJ945" i="3"/>
  <c r="AJ949" i="3"/>
  <c r="AJ953" i="3"/>
  <c r="AJ957" i="3"/>
  <c r="AJ961" i="3"/>
  <c r="AJ965" i="3"/>
  <c r="AJ969" i="3"/>
  <c r="AJ973" i="3"/>
  <c r="AJ977" i="3"/>
  <c r="AJ981" i="3"/>
  <c r="AJ985" i="3"/>
  <c r="AJ989" i="3"/>
  <c r="AJ993" i="3"/>
  <c r="AJ997" i="3"/>
  <c r="AJ1001" i="3"/>
  <c r="AJ326" i="3"/>
  <c r="AJ342" i="3"/>
  <c r="AJ358" i="3"/>
  <c r="AJ374" i="3"/>
  <c r="AJ390" i="3"/>
  <c r="AJ406" i="3"/>
  <c r="AJ419" i="3"/>
  <c r="AJ427" i="3"/>
  <c r="AJ434" i="3"/>
  <c r="AJ439" i="3"/>
  <c r="AJ445" i="3"/>
  <c r="AJ450" i="3"/>
  <c r="AJ455" i="3"/>
  <c r="AJ461" i="3"/>
  <c r="AJ466" i="3"/>
  <c r="AJ471" i="3"/>
  <c r="AJ477" i="3"/>
  <c r="AJ482" i="3"/>
  <c r="AJ487" i="3"/>
  <c r="AJ493" i="3"/>
  <c r="AJ498" i="3"/>
  <c r="AJ503" i="3"/>
  <c r="AJ509" i="3"/>
  <c r="AJ514" i="3"/>
  <c r="AJ518" i="3"/>
  <c r="AJ522" i="3"/>
  <c r="AJ526" i="3"/>
  <c r="AJ530" i="3"/>
  <c r="AJ534" i="3"/>
  <c r="AJ538" i="3"/>
  <c r="AJ542" i="3"/>
  <c r="AJ546" i="3"/>
  <c r="AJ550" i="3"/>
  <c r="AJ554" i="3"/>
  <c r="AJ558" i="3"/>
  <c r="AJ562" i="3"/>
  <c r="AJ566" i="3"/>
  <c r="AJ570" i="3"/>
  <c r="AJ574" i="3"/>
  <c r="AJ578" i="3"/>
  <c r="AJ582" i="3"/>
  <c r="AJ586" i="3"/>
  <c r="AJ590" i="3"/>
  <c r="AJ594" i="3"/>
  <c r="AJ598" i="3"/>
  <c r="AJ602" i="3"/>
  <c r="AJ606" i="3"/>
  <c r="AJ610" i="3"/>
  <c r="AJ614" i="3"/>
  <c r="AJ618" i="3"/>
  <c r="AJ622" i="3"/>
  <c r="AJ626" i="3"/>
  <c r="AJ630" i="3"/>
  <c r="AJ634" i="3"/>
  <c r="AJ638" i="3"/>
  <c r="AJ642" i="3"/>
  <c r="AJ646" i="3"/>
  <c r="AJ650" i="3"/>
  <c r="AJ654" i="3"/>
  <c r="AJ658" i="3"/>
  <c r="AJ662" i="3"/>
  <c r="AJ666" i="3"/>
  <c r="AJ670" i="3"/>
  <c r="AJ674" i="3"/>
  <c r="AJ678" i="3"/>
  <c r="AJ682" i="3"/>
  <c r="AJ686" i="3"/>
  <c r="AJ690" i="3"/>
  <c r="AJ694" i="3"/>
  <c r="AJ698" i="3"/>
  <c r="AJ702" i="3"/>
  <c r="AJ706" i="3"/>
  <c r="AJ710" i="3"/>
  <c r="AJ714" i="3"/>
  <c r="AJ718" i="3"/>
  <c r="AJ722" i="3"/>
  <c r="AJ726" i="3"/>
  <c r="AJ730" i="3"/>
  <c r="AJ734" i="3"/>
  <c r="AJ738" i="3"/>
  <c r="AJ742" i="3"/>
  <c r="AJ746" i="3"/>
  <c r="AJ750" i="3"/>
  <c r="AJ754" i="3"/>
  <c r="AJ758" i="3"/>
  <c r="AJ762" i="3"/>
  <c r="AJ766" i="3"/>
  <c r="AJ770" i="3"/>
  <c r="AJ774" i="3"/>
  <c r="AJ778" i="3"/>
  <c r="AJ782" i="3"/>
  <c r="AJ786" i="3"/>
  <c r="AJ790" i="3"/>
  <c r="AJ794" i="3"/>
  <c r="AJ798" i="3"/>
  <c r="AJ802" i="3"/>
  <c r="AJ806" i="3"/>
  <c r="AJ810" i="3"/>
  <c r="AJ814" i="3"/>
  <c r="AJ818" i="3"/>
  <c r="AJ822" i="3"/>
  <c r="AJ826" i="3"/>
  <c r="AJ830" i="3"/>
  <c r="AJ834" i="3"/>
  <c r="AJ838" i="3"/>
  <c r="AJ842" i="3"/>
  <c r="AJ846" i="3"/>
  <c r="AJ850" i="3"/>
  <c r="AJ854" i="3"/>
  <c r="AJ858" i="3"/>
  <c r="AJ862" i="3"/>
  <c r="AJ866" i="3"/>
  <c r="AJ870" i="3"/>
  <c r="AJ874" i="3"/>
  <c r="AJ878" i="3"/>
  <c r="AJ882" i="3"/>
  <c r="AJ886" i="3"/>
  <c r="AJ890" i="3"/>
  <c r="AJ894" i="3"/>
  <c r="AJ898" i="3"/>
  <c r="AJ902" i="3"/>
  <c r="AJ906" i="3"/>
  <c r="AJ910" i="3"/>
  <c r="AJ914" i="3"/>
  <c r="AJ918" i="3"/>
  <c r="AJ922" i="3"/>
  <c r="AJ926" i="3"/>
  <c r="AJ930" i="3"/>
  <c r="AJ934" i="3"/>
  <c r="AJ938" i="3"/>
  <c r="AJ942" i="3"/>
  <c r="AJ946" i="3"/>
  <c r="AJ950" i="3"/>
  <c r="AJ954" i="3"/>
  <c r="AJ958" i="3"/>
  <c r="AJ962" i="3"/>
  <c r="AJ966" i="3"/>
  <c r="AJ970" i="3"/>
  <c r="AJ974" i="3"/>
  <c r="AJ978" i="3"/>
  <c r="AJ982" i="3"/>
  <c r="AJ986" i="3"/>
  <c r="AJ990" i="3"/>
  <c r="AJ994" i="3"/>
  <c r="AJ998" i="3"/>
  <c r="AJ1002" i="3"/>
  <c r="AH803" i="3"/>
  <c r="AH867" i="3"/>
  <c r="AH912" i="3"/>
  <c r="AH938" i="3"/>
  <c r="AH959" i="3"/>
  <c r="AH980" i="3"/>
  <c r="AH1002" i="3"/>
  <c r="AH839" i="3"/>
  <c r="AH899" i="3"/>
  <c r="AH928" i="3"/>
  <c r="AH950" i="3"/>
  <c r="AH971" i="3"/>
  <c r="AH992" i="3"/>
  <c r="AH843" i="3"/>
  <c r="AH900" i="3"/>
  <c r="AH930" i="3"/>
  <c r="AH951" i="3"/>
  <c r="AH972" i="3"/>
  <c r="AH994" i="3"/>
  <c r="AH815" i="3"/>
  <c r="AH879" i="3"/>
  <c r="AH919" i="3"/>
  <c r="AH942" i="3"/>
  <c r="AH963" i="3"/>
  <c r="AH984" i="3"/>
  <c r="AH884" i="3"/>
  <c r="AH868" i="3"/>
  <c r="AH852" i="3"/>
  <c r="AH836" i="3"/>
  <c r="AH820" i="3"/>
  <c r="AH804" i="3"/>
  <c r="AH788" i="3"/>
  <c r="AH772" i="3"/>
  <c r="AH756" i="3"/>
  <c r="AH740" i="3"/>
  <c r="AH724" i="3"/>
  <c r="AH708" i="3"/>
  <c r="AH692" i="3"/>
  <c r="AH676" i="3"/>
  <c r="AH660" i="3"/>
  <c r="AH644" i="3"/>
  <c r="AH628" i="3"/>
  <c r="AH612" i="3"/>
  <c r="AH596" i="3"/>
  <c r="AH580" i="3"/>
  <c r="AH564" i="3"/>
  <c r="AH548" i="3"/>
  <c r="AH532" i="3"/>
  <c r="AH516" i="3"/>
  <c r="AH500" i="3"/>
  <c r="AH484" i="3"/>
  <c r="AH468" i="3"/>
  <c r="AH452" i="3"/>
  <c r="AH436" i="3"/>
  <c r="AH420" i="3"/>
  <c r="AH404" i="3"/>
  <c r="AH388" i="3"/>
  <c r="AH372" i="3"/>
  <c r="AH356" i="3"/>
  <c r="AH340" i="3"/>
  <c r="AH324" i="3"/>
  <c r="AH308" i="3"/>
  <c r="AH292" i="3"/>
  <c r="AH276" i="3"/>
  <c r="AH260" i="3"/>
  <c r="AH244" i="3"/>
  <c r="AH228" i="3"/>
  <c r="AH212" i="3"/>
  <c r="AH196" i="3"/>
  <c r="AH180" i="3"/>
  <c r="AH162" i="3"/>
  <c r="AH141" i="3"/>
  <c r="AH120" i="3"/>
  <c r="AH81" i="3"/>
  <c r="AH779" i="3"/>
  <c r="AH763" i="3"/>
  <c r="AH747" i="3"/>
  <c r="AH731" i="3"/>
  <c r="AH715" i="3"/>
  <c r="AH699" i="3"/>
  <c r="AH683" i="3"/>
  <c r="AH667" i="3"/>
  <c r="AH651" i="3"/>
  <c r="AH635" i="3"/>
  <c r="AH619" i="3"/>
  <c r="AH603" i="3"/>
  <c r="AH587" i="3"/>
  <c r="AH571" i="3"/>
  <c r="AH555" i="3"/>
  <c r="AH539" i="3"/>
  <c r="AH523" i="3"/>
  <c r="AH507" i="3"/>
  <c r="AH491" i="3"/>
  <c r="AH475" i="3"/>
  <c r="AH459" i="3"/>
  <c r="AH443" i="3"/>
  <c r="AH427" i="3"/>
  <c r="AH411" i="3"/>
  <c r="AH395" i="3"/>
  <c r="AH379" i="3"/>
  <c r="AH363" i="3"/>
  <c r="AH347" i="3"/>
  <c r="AH331" i="3"/>
  <c r="AH315" i="3"/>
  <c r="AH299" i="3"/>
  <c r="AH283" i="3"/>
  <c r="AH267" i="3"/>
  <c r="AH251" i="3"/>
  <c r="AH235" i="3"/>
  <c r="AH219" i="3"/>
  <c r="AH203" i="3"/>
  <c r="AH187" i="3"/>
  <c r="AH171" i="3"/>
  <c r="AH150" i="3"/>
  <c r="AH129" i="3"/>
  <c r="AH105" i="3"/>
  <c r="AH45" i="3"/>
  <c r="AH910" i="3"/>
  <c r="AH894" i="3"/>
  <c r="AH878" i="3"/>
  <c r="AH862" i="3"/>
  <c r="AH846" i="3"/>
  <c r="AH830" i="3"/>
  <c r="AH814" i="3"/>
  <c r="AH798" i="3"/>
  <c r="AH782" i="3"/>
  <c r="AH766" i="3"/>
  <c r="AH750" i="3"/>
  <c r="AH734" i="3"/>
  <c r="AH718" i="3"/>
  <c r="AH702" i="3"/>
  <c r="AH686" i="3"/>
  <c r="AH670" i="3"/>
  <c r="AH654" i="3"/>
  <c r="AH638" i="3"/>
  <c r="AH622" i="3"/>
  <c r="AH606" i="3"/>
  <c r="AH590" i="3"/>
  <c r="AH574" i="3"/>
  <c r="AH558" i="3"/>
  <c r="AH542" i="3"/>
  <c r="AH526" i="3"/>
  <c r="AH510" i="3"/>
  <c r="AH494" i="3"/>
  <c r="AH478" i="3"/>
  <c r="AH462" i="3"/>
  <c r="AH446" i="3"/>
  <c r="AH430" i="3"/>
  <c r="AH414" i="3"/>
  <c r="AH398" i="3"/>
  <c r="AH382" i="3"/>
  <c r="AH366" i="3"/>
  <c r="AH350" i="3"/>
  <c r="AH334" i="3"/>
  <c r="AH318" i="3"/>
  <c r="AH302" i="3"/>
  <c r="AH286" i="3"/>
  <c r="AH270" i="3"/>
  <c r="AH254" i="3"/>
  <c r="AH238" i="3"/>
  <c r="AH222" i="3"/>
  <c r="AH206" i="3"/>
  <c r="AH190" i="3"/>
  <c r="AH174" i="3"/>
  <c r="AH154" i="3"/>
  <c r="AH133" i="3"/>
  <c r="AH110" i="3"/>
  <c r="AH57" i="3"/>
  <c r="AH993" i="3"/>
  <c r="AH977" i="3"/>
  <c r="AH961" i="3"/>
  <c r="AH945" i="3"/>
  <c r="AH929" i="3"/>
  <c r="AH913" i="3"/>
  <c r="AH897" i="3"/>
  <c r="AH881" i="3"/>
  <c r="AH865" i="3"/>
  <c r="AH849" i="3"/>
  <c r="AH833" i="3"/>
  <c r="AH817" i="3"/>
  <c r="AH801" i="3"/>
  <c r="AH785" i="3"/>
  <c r="AH769" i="3"/>
  <c r="AH753" i="3"/>
  <c r="AH737" i="3"/>
  <c r="AH721" i="3"/>
  <c r="AH705" i="3"/>
  <c r="AH689" i="3"/>
  <c r="AH673" i="3"/>
  <c r="AH657" i="3"/>
  <c r="AH641" i="3"/>
  <c r="AH625" i="3"/>
  <c r="AH609" i="3"/>
  <c r="AH593" i="3"/>
  <c r="AH577" i="3"/>
  <c r="AH561" i="3"/>
  <c r="AH545" i="3"/>
  <c r="AH529" i="3"/>
  <c r="AH513" i="3"/>
  <c r="AH497" i="3"/>
  <c r="AH481" i="3"/>
  <c r="AH465" i="3"/>
  <c r="AH449" i="3"/>
  <c r="AH433" i="3"/>
  <c r="AH417" i="3"/>
  <c r="AH401" i="3"/>
  <c r="AH385" i="3"/>
  <c r="AH369" i="3"/>
  <c r="AH353" i="3"/>
  <c r="AH337" i="3"/>
  <c r="AH321" i="3"/>
  <c r="AH305" i="3"/>
  <c r="AH289" i="3"/>
  <c r="AH273" i="3"/>
  <c r="AH257" i="3"/>
  <c r="AH241" i="3"/>
  <c r="AH225" i="3"/>
  <c r="AH209" i="3"/>
  <c r="AH193" i="3"/>
  <c r="AH177" i="3"/>
  <c r="AH158" i="3"/>
  <c r="AH137" i="3"/>
  <c r="AH116" i="3"/>
  <c r="AH69" i="3"/>
  <c r="AH94" i="3"/>
  <c r="AH78" i="3"/>
  <c r="AH62" i="3"/>
  <c r="AH46" i="3"/>
  <c r="AH30" i="3"/>
  <c r="AH14" i="3"/>
  <c r="AH29" i="3"/>
  <c r="AH13" i="3"/>
  <c r="AH108" i="3"/>
  <c r="AH92" i="3"/>
  <c r="AH76" i="3"/>
  <c r="AH60" i="3"/>
  <c r="AH44" i="3"/>
  <c r="AH28" i="3"/>
  <c r="AH12" i="3"/>
  <c r="AH159" i="3"/>
  <c r="AH143" i="3"/>
  <c r="AH127" i="3"/>
  <c r="AH111" i="3"/>
  <c r="AH95" i="3"/>
  <c r="AH79" i="3"/>
  <c r="AH63" i="3"/>
  <c r="AH47" i="3"/>
  <c r="AH31" i="3"/>
  <c r="AH15" i="3"/>
  <c r="AC11" i="3"/>
  <c r="AC12" i="3" s="1"/>
  <c r="AL5" i="3"/>
  <c r="AL9" i="3"/>
  <c r="AL13" i="3"/>
  <c r="AL17" i="3"/>
  <c r="AL21" i="3"/>
  <c r="AL25" i="3"/>
  <c r="AL29" i="3"/>
  <c r="AL33" i="3"/>
  <c r="AL37" i="3"/>
  <c r="AL7" i="3"/>
  <c r="AL11" i="3"/>
  <c r="AL15" i="3"/>
  <c r="AL19" i="3"/>
  <c r="AL6" i="3"/>
  <c r="AL14" i="3"/>
  <c r="AL22" i="3"/>
  <c r="AL27" i="3"/>
  <c r="AL32" i="3"/>
  <c r="AL38" i="3"/>
  <c r="AL42" i="3"/>
  <c r="AL46" i="3"/>
  <c r="AL50" i="3"/>
  <c r="AL54" i="3"/>
  <c r="AL58" i="3"/>
  <c r="AL62" i="3"/>
  <c r="AL66" i="3"/>
  <c r="AL70" i="3"/>
  <c r="AL74" i="3"/>
  <c r="AL78" i="3"/>
  <c r="AL82" i="3"/>
  <c r="AL86" i="3"/>
  <c r="AL90" i="3"/>
  <c r="AL94" i="3"/>
  <c r="AL98" i="3"/>
  <c r="AL102" i="3"/>
  <c r="AL106" i="3"/>
  <c r="AL110" i="3"/>
  <c r="AL114" i="3"/>
  <c r="AL118" i="3"/>
  <c r="AL122" i="3"/>
  <c r="AL126" i="3"/>
  <c r="AL130" i="3"/>
  <c r="AL134" i="3"/>
  <c r="AL138" i="3"/>
  <c r="AL142" i="3"/>
  <c r="AL146" i="3"/>
  <c r="AL150" i="3"/>
  <c r="AL154" i="3"/>
  <c r="AL158" i="3"/>
  <c r="AL162" i="3"/>
  <c r="AL166" i="3"/>
  <c r="AL170" i="3"/>
  <c r="AL174" i="3"/>
  <c r="AL178" i="3"/>
  <c r="AL182" i="3"/>
  <c r="AL186" i="3"/>
  <c r="AL190" i="3"/>
  <c r="AL194" i="3"/>
  <c r="AL198" i="3"/>
  <c r="AL202" i="3"/>
  <c r="AL206" i="3"/>
  <c r="AL210" i="3"/>
  <c r="AL214" i="3"/>
  <c r="AL218" i="3"/>
  <c r="AL222" i="3"/>
  <c r="AL226" i="3"/>
  <c r="AL230" i="3"/>
  <c r="AL234" i="3"/>
  <c r="AL238" i="3"/>
  <c r="AL242" i="3"/>
  <c r="AL246" i="3"/>
  <c r="AL250" i="3"/>
  <c r="AL254" i="3"/>
  <c r="AL258" i="3"/>
  <c r="AL262" i="3"/>
  <c r="AL266" i="3"/>
  <c r="AL270" i="3"/>
  <c r="AL274" i="3"/>
  <c r="AL278" i="3"/>
  <c r="AL282" i="3"/>
  <c r="AL286" i="3"/>
  <c r="AL290" i="3"/>
  <c r="AL294" i="3"/>
  <c r="AL298" i="3"/>
  <c r="AL302" i="3"/>
  <c r="AL306" i="3"/>
  <c r="AL310" i="3"/>
  <c r="AL314" i="3"/>
  <c r="AL8" i="3"/>
  <c r="AL16" i="3"/>
  <c r="AL23" i="3"/>
  <c r="AL28" i="3"/>
  <c r="AL34" i="3"/>
  <c r="AL39" i="3"/>
  <c r="AL43" i="3"/>
  <c r="AL47" i="3"/>
  <c r="AL51" i="3"/>
  <c r="AL55" i="3"/>
  <c r="AL59" i="3"/>
  <c r="AL63" i="3"/>
  <c r="AL67" i="3"/>
  <c r="AL71" i="3"/>
  <c r="AL75" i="3"/>
  <c r="AL79" i="3"/>
  <c r="AL83" i="3"/>
  <c r="AL87" i="3"/>
  <c r="AL91" i="3"/>
  <c r="AL95" i="3"/>
  <c r="AL99" i="3"/>
  <c r="AL103" i="3"/>
  <c r="AL107" i="3"/>
  <c r="AL111" i="3"/>
  <c r="AL115" i="3"/>
  <c r="AL119" i="3"/>
  <c r="AL123" i="3"/>
  <c r="AL127" i="3"/>
  <c r="AL131" i="3"/>
  <c r="AL135" i="3"/>
  <c r="AL139" i="3"/>
  <c r="AL143" i="3"/>
  <c r="AL147" i="3"/>
  <c r="AL151" i="3"/>
  <c r="AL155" i="3"/>
  <c r="AL159" i="3"/>
  <c r="AL163" i="3"/>
  <c r="AL167" i="3"/>
  <c r="AL171" i="3"/>
  <c r="AL175" i="3"/>
  <c r="AL179" i="3"/>
  <c r="AL183" i="3"/>
  <c r="AL187" i="3"/>
  <c r="AL191" i="3"/>
  <c r="AL195" i="3"/>
  <c r="AL199" i="3"/>
  <c r="AL203" i="3"/>
  <c r="AL207" i="3"/>
  <c r="AL211" i="3"/>
  <c r="AL215" i="3"/>
  <c r="AL219" i="3"/>
  <c r="AL223" i="3"/>
  <c r="AL227" i="3"/>
  <c r="AL231" i="3"/>
  <c r="AL235" i="3"/>
  <c r="AL239" i="3"/>
  <c r="AL243" i="3"/>
  <c r="AL247" i="3"/>
  <c r="AL251" i="3"/>
  <c r="AL255" i="3"/>
  <c r="AL259" i="3"/>
  <c r="AL263" i="3"/>
  <c r="AL267" i="3"/>
  <c r="AL271" i="3"/>
  <c r="AL275" i="3"/>
  <c r="AL279" i="3"/>
  <c r="AL283" i="3"/>
  <c r="AL287" i="3"/>
  <c r="AL291" i="3"/>
  <c r="AL295" i="3"/>
  <c r="AL299" i="3"/>
  <c r="AL303" i="3"/>
  <c r="AL307" i="3"/>
  <c r="AL311" i="3"/>
  <c r="AL315" i="3"/>
  <c r="AL319" i="3"/>
  <c r="AL323" i="3"/>
  <c r="AL327" i="3"/>
  <c r="AL331" i="3"/>
  <c r="AL335" i="3"/>
  <c r="AL339" i="3"/>
  <c r="AL343" i="3"/>
  <c r="AL347" i="3"/>
  <c r="AL351" i="3"/>
  <c r="AL355" i="3"/>
  <c r="AL359" i="3"/>
  <c r="AL363" i="3"/>
  <c r="AL10" i="3"/>
  <c r="AL18" i="3"/>
  <c r="AL24" i="3"/>
  <c r="AL30" i="3"/>
  <c r="AL35" i="3"/>
  <c r="AL40" i="3"/>
  <c r="AL44" i="3"/>
  <c r="AL48" i="3"/>
  <c r="AL52" i="3"/>
  <c r="AL56" i="3"/>
  <c r="AL60" i="3"/>
  <c r="AL64" i="3"/>
  <c r="AL68" i="3"/>
  <c r="AL72" i="3"/>
  <c r="AL76" i="3"/>
  <c r="AL80" i="3"/>
  <c r="AL84" i="3"/>
  <c r="AL88" i="3"/>
  <c r="AL92" i="3"/>
  <c r="AL96" i="3"/>
  <c r="AL100" i="3"/>
  <c r="AL104" i="3"/>
  <c r="AL108" i="3"/>
  <c r="AL112" i="3"/>
  <c r="AL116" i="3"/>
  <c r="AL120" i="3"/>
  <c r="AL124" i="3"/>
  <c r="AL128" i="3"/>
  <c r="AL132" i="3"/>
  <c r="AL136" i="3"/>
  <c r="AL140" i="3"/>
  <c r="AL144" i="3"/>
  <c r="AL148" i="3"/>
  <c r="AL152" i="3"/>
  <c r="AL156" i="3"/>
  <c r="AL160" i="3"/>
  <c r="AL164" i="3"/>
  <c r="AL12" i="3"/>
  <c r="AL20" i="3"/>
  <c r="AL26" i="3"/>
  <c r="AL31" i="3"/>
  <c r="AL36" i="3"/>
  <c r="AL41" i="3"/>
  <c r="AL45" i="3"/>
  <c r="AL49" i="3"/>
  <c r="AL53" i="3"/>
  <c r="AL57" i="3"/>
  <c r="AL61" i="3"/>
  <c r="AL65" i="3"/>
  <c r="AL69" i="3"/>
  <c r="AL73" i="3"/>
  <c r="AL77" i="3"/>
  <c r="AL81" i="3"/>
  <c r="AL85" i="3"/>
  <c r="AL89" i="3"/>
  <c r="AL93" i="3"/>
  <c r="AL97" i="3"/>
  <c r="AL101" i="3"/>
  <c r="AL105" i="3"/>
  <c r="AL109" i="3"/>
  <c r="AL113" i="3"/>
  <c r="AL117" i="3"/>
  <c r="AL121" i="3"/>
  <c r="AL125" i="3"/>
  <c r="AL129" i="3"/>
  <c r="AL133" i="3"/>
  <c r="AL137" i="3"/>
  <c r="AL141" i="3"/>
  <c r="AL145" i="3"/>
  <c r="AL149" i="3"/>
  <c r="AL153" i="3"/>
  <c r="AL157" i="3"/>
  <c r="AL161" i="3"/>
  <c r="AL165" i="3"/>
  <c r="AL169" i="3"/>
  <c r="AL173" i="3"/>
  <c r="AL177" i="3"/>
  <c r="AL181" i="3"/>
  <c r="AL185" i="3"/>
  <c r="AL189" i="3"/>
  <c r="AL193" i="3"/>
  <c r="AL197" i="3"/>
  <c r="AL201" i="3"/>
  <c r="AL205" i="3"/>
  <c r="AL209" i="3"/>
  <c r="AL213" i="3"/>
  <c r="AL217" i="3"/>
  <c r="AL221" i="3"/>
  <c r="AL225" i="3"/>
  <c r="AL229" i="3"/>
  <c r="AL233" i="3"/>
  <c r="AL237" i="3"/>
  <c r="AL241" i="3"/>
  <c r="AL245" i="3"/>
  <c r="AL249" i="3"/>
  <c r="AL253" i="3"/>
  <c r="AL257" i="3"/>
  <c r="AL261" i="3"/>
  <c r="AL265" i="3"/>
  <c r="AL269" i="3"/>
  <c r="AL273" i="3"/>
  <c r="AL277" i="3"/>
  <c r="AL281" i="3"/>
  <c r="AL285" i="3"/>
  <c r="AL289" i="3"/>
  <c r="AL293" i="3"/>
  <c r="AL297" i="3"/>
  <c r="AL301" i="3"/>
  <c r="AL305" i="3"/>
  <c r="AL309" i="3"/>
  <c r="AL313" i="3"/>
  <c r="AL317" i="3"/>
  <c r="AL321" i="3"/>
  <c r="AL325" i="3"/>
  <c r="AL329" i="3"/>
  <c r="AL333" i="3"/>
  <c r="AL337" i="3"/>
  <c r="AL341" i="3"/>
  <c r="AL345" i="3"/>
  <c r="AL349" i="3"/>
  <c r="AL168" i="3"/>
  <c r="AL184" i="3"/>
  <c r="AL200" i="3"/>
  <c r="AL216" i="3"/>
  <c r="AL232" i="3"/>
  <c r="AL248" i="3"/>
  <c r="AL264" i="3"/>
  <c r="AL280" i="3"/>
  <c r="AL296" i="3"/>
  <c r="AL312" i="3"/>
  <c r="AL322" i="3"/>
  <c r="AL330" i="3"/>
  <c r="AL338" i="3"/>
  <c r="AL346" i="3"/>
  <c r="AL353" i="3"/>
  <c r="AL358" i="3"/>
  <c r="AL364" i="3"/>
  <c r="AL368" i="3"/>
  <c r="AL372" i="3"/>
  <c r="AL376" i="3"/>
  <c r="AL380" i="3"/>
  <c r="AL384" i="3"/>
  <c r="AL388" i="3"/>
  <c r="AL392" i="3"/>
  <c r="AL396" i="3"/>
  <c r="AL400" i="3"/>
  <c r="AL404" i="3"/>
  <c r="AL408" i="3"/>
  <c r="AL412" i="3"/>
  <c r="AL416" i="3"/>
  <c r="AL420" i="3"/>
  <c r="AL424" i="3"/>
  <c r="AL428" i="3"/>
  <c r="AL432" i="3"/>
  <c r="AL436" i="3"/>
  <c r="AL440" i="3"/>
  <c r="AL444" i="3"/>
  <c r="AL448" i="3"/>
  <c r="AL452" i="3"/>
  <c r="AL456" i="3"/>
  <c r="AL460" i="3"/>
  <c r="AL464" i="3"/>
  <c r="AL468" i="3"/>
  <c r="AL472" i="3"/>
  <c r="AL476" i="3"/>
  <c r="AL480" i="3"/>
  <c r="AL484" i="3"/>
  <c r="AL488" i="3"/>
  <c r="AL492" i="3"/>
  <c r="AL496" i="3"/>
  <c r="AL500" i="3"/>
  <c r="AL504" i="3"/>
  <c r="AL508" i="3"/>
  <c r="AL512" i="3"/>
  <c r="AL516" i="3"/>
  <c r="AL520" i="3"/>
  <c r="AL524" i="3"/>
  <c r="AL528" i="3"/>
  <c r="AL532" i="3"/>
  <c r="AL536" i="3"/>
  <c r="AL540" i="3"/>
  <c r="AL544" i="3"/>
  <c r="AL548" i="3"/>
  <c r="AL552" i="3"/>
  <c r="AL556" i="3"/>
  <c r="AL560" i="3"/>
  <c r="AL564" i="3"/>
  <c r="AL568" i="3"/>
  <c r="AL572" i="3"/>
  <c r="AL576" i="3"/>
  <c r="AL580" i="3"/>
  <c r="AL584" i="3"/>
  <c r="AL588" i="3"/>
  <c r="AL592" i="3"/>
  <c r="AL596" i="3"/>
  <c r="AL600" i="3"/>
  <c r="AL604" i="3"/>
  <c r="AL608" i="3"/>
  <c r="AL612" i="3"/>
  <c r="AL616" i="3"/>
  <c r="AL620" i="3"/>
  <c r="AL624" i="3"/>
  <c r="AL628" i="3"/>
  <c r="AL632" i="3"/>
  <c r="AL636" i="3"/>
  <c r="AL640" i="3"/>
  <c r="AL644" i="3"/>
  <c r="AL648" i="3"/>
  <c r="AL652" i="3"/>
  <c r="AL656" i="3"/>
  <c r="AL660" i="3"/>
  <c r="AL664" i="3"/>
  <c r="AL668" i="3"/>
  <c r="AL672" i="3"/>
  <c r="AL676" i="3"/>
  <c r="AL680" i="3"/>
  <c r="AL684" i="3"/>
  <c r="AL688" i="3"/>
  <c r="AL692" i="3"/>
  <c r="AL696" i="3"/>
  <c r="AL700" i="3"/>
  <c r="AL704" i="3"/>
  <c r="AL708" i="3"/>
  <c r="AL712" i="3"/>
  <c r="AL716" i="3"/>
  <c r="AL720" i="3"/>
  <c r="AL724" i="3"/>
  <c r="AL728" i="3"/>
  <c r="AL732" i="3"/>
  <c r="AL736" i="3"/>
  <c r="AL740" i="3"/>
  <c r="AL744" i="3"/>
  <c r="AL748" i="3"/>
  <c r="AL752" i="3"/>
  <c r="AL756" i="3"/>
  <c r="AL760" i="3"/>
  <c r="AL764" i="3"/>
  <c r="AL768" i="3"/>
  <c r="AL772" i="3"/>
  <c r="AL776" i="3"/>
  <c r="AL780" i="3"/>
  <c r="AL784" i="3"/>
  <c r="AL788" i="3"/>
  <c r="AL792" i="3"/>
  <c r="AL796" i="3"/>
  <c r="AL800" i="3"/>
  <c r="AL804" i="3"/>
  <c r="AL808" i="3"/>
  <c r="AL812" i="3"/>
  <c r="AL816" i="3"/>
  <c r="AL820" i="3"/>
  <c r="AL824" i="3"/>
  <c r="AL828" i="3"/>
  <c r="AL832" i="3"/>
  <c r="AL836" i="3"/>
  <c r="AL840" i="3"/>
  <c r="AL844" i="3"/>
  <c r="AL848" i="3"/>
  <c r="AL852" i="3"/>
  <c r="AL856" i="3"/>
  <c r="AL860" i="3"/>
  <c r="AL864" i="3"/>
  <c r="AL868" i="3"/>
  <c r="AL872" i="3"/>
  <c r="AL876" i="3"/>
  <c r="AL880" i="3"/>
  <c r="AL884" i="3"/>
  <c r="AL888" i="3"/>
  <c r="AL892" i="3"/>
  <c r="AL896" i="3"/>
  <c r="AL900" i="3"/>
  <c r="AL904" i="3"/>
  <c r="AL908" i="3"/>
  <c r="AL912" i="3"/>
  <c r="AL916" i="3"/>
  <c r="AL920" i="3"/>
  <c r="AL924" i="3"/>
  <c r="AL928" i="3"/>
  <c r="AL932" i="3"/>
  <c r="AL936" i="3"/>
  <c r="AL940" i="3"/>
  <c r="AL944" i="3"/>
  <c r="AL948" i="3"/>
  <c r="AL952" i="3"/>
  <c r="AL956" i="3"/>
  <c r="AL960" i="3"/>
  <c r="AL964" i="3"/>
  <c r="AL968" i="3"/>
  <c r="AL972" i="3"/>
  <c r="AL976" i="3"/>
  <c r="AL172" i="3"/>
  <c r="AL188" i="3"/>
  <c r="AL204" i="3"/>
  <c r="AL220" i="3"/>
  <c r="AL236" i="3"/>
  <c r="AL252" i="3"/>
  <c r="AL268" i="3"/>
  <c r="AL284" i="3"/>
  <c r="AL300" i="3"/>
  <c r="AL316" i="3"/>
  <c r="AL324" i="3"/>
  <c r="AL332" i="3"/>
  <c r="AL340" i="3"/>
  <c r="AL348" i="3"/>
  <c r="AL354" i="3"/>
  <c r="AL360" i="3"/>
  <c r="AL365" i="3"/>
  <c r="AL369" i="3"/>
  <c r="AL373" i="3"/>
  <c r="AL377" i="3"/>
  <c r="AL381" i="3"/>
  <c r="AL385" i="3"/>
  <c r="AL389" i="3"/>
  <c r="AL393" i="3"/>
  <c r="AL397" i="3"/>
  <c r="AL401" i="3"/>
  <c r="AL405" i="3"/>
  <c r="AL409" i="3"/>
  <c r="AL413" i="3"/>
  <c r="AL417" i="3"/>
  <c r="AL421" i="3"/>
  <c r="AL425" i="3"/>
  <c r="AL429" i="3"/>
  <c r="AL433" i="3"/>
  <c r="AL437" i="3"/>
  <c r="AL441" i="3"/>
  <c r="AL445" i="3"/>
  <c r="AL449" i="3"/>
  <c r="AL453" i="3"/>
  <c r="AL457" i="3"/>
  <c r="AL461" i="3"/>
  <c r="AL465" i="3"/>
  <c r="AL469" i="3"/>
  <c r="AL473" i="3"/>
  <c r="AL477" i="3"/>
  <c r="AL481" i="3"/>
  <c r="AL485" i="3"/>
  <c r="AL489" i="3"/>
  <c r="AL493" i="3"/>
  <c r="AL497" i="3"/>
  <c r="AL501" i="3"/>
  <c r="AL505" i="3"/>
  <c r="AL509" i="3"/>
  <c r="AL513" i="3"/>
  <c r="AL517" i="3"/>
  <c r="AL521" i="3"/>
  <c r="AL525" i="3"/>
  <c r="AL529" i="3"/>
  <c r="AL533" i="3"/>
  <c r="AL537" i="3"/>
  <c r="AL541" i="3"/>
  <c r="AL545" i="3"/>
  <c r="AL549" i="3"/>
  <c r="AL553" i="3"/>
  <c r="AL557" i="3"/>
  <c r="AL561" i="3"/>
  <c r="AL565" i="3"/>
  <c r="AL569" i="3"/>
  <c r="AL573" i="3"/>
  <c r="AL577" i="3"/>
  <c r="AL581" i="3"/>
  <c r="AL585" i="3"/>
  <c r="AL589" i="3"/>
  <c r="AL593" i="3"/>
  <c r="AL597" i="3"/>
  <c r="AL601" i="3"/>
  <c r="AL605" i="3"/>
  <c r="AL609" i="3"/>
  <c r="AL613" i="3"/>
  <c r="AL617" i="3"/>
  <c r="AL621" i="3"/>
  <c r="AL625" i="3"/>
  <c r="AL629" i="3"/>
  <c r="AL633" i="3"/>
  <c r="AL637" i="3"/>
  <c r="AL641" i="3"/>
  <c r="AL645" i="3"/>
  <c r="AL649" i="3"/>
  <c r="AL653" i="3"/>
  <c r="AL657" i="3"/>
  <c r="AL661" i="3"/>
  <c r="AL665" i="3"/>
  <c r="AL669" i="3"/>
  <c r="AL673" i="3"/>
  <c r="AL677" i="3"/>
  <c r="AL681" i="3"/>
  <c r="AL685" i="3"/>
  <c r="AL689" i="3"/>
  <c r="AL693" i="3"/>
  <c r="AL697" i="3"/>
  <c r="AL701" i="3"/>
  <c r="AL705" i="3"/>
  <c r="AL709" i="3"/>
  <c r="AL713" i="3"/>
  <c r="AL717" i="3"/>
  <c r="AL721" i="3"/>
  <c r="AL725" i="3"/>
  <c r="AL729" i="3"/>
  <c r="AL733" i="3"/>
  <c r="AL737" i="3"/>
  <c r="AL741" i="3"/>
  <c r="AL745" i="3"/>
  <c r="AL749" i="3"/>
  <c r="AL753" i="3"/>
  <c r="AL757" i="3"/>
  <c r="AL761" i="3"/>
  <c r="AL765" i="3"/>
  <c r="AL769" i="3"/>
  <c r="AL773" i="3"/>
  <c r="AL777" i="3"/>
  <c r="AL781" i="3"/>
  <c r="AL785" i="3"/>
  <c r="AL789" i="3"/>
  <c r="AL793" i="3"/>
  <c r="AL797" i="3"/>
  <c r="AL801" i="3"/>
  <c r="AL805" i="3"/>
  <c r="AL809" i="3"/>
  <c r="AL813" i="3"/>
  <c r="AL817" i="3"/>
  <c r="AL821" i="3"/>
  <c r="AL825" i="3"/>
  <c r="AL829" i="3"/>
  <c r="AL833" i="3"/>
  <c r="AL837" i="3"/>
  <c r="AL841" i="3"/>
  <c r="AL845" i="3"/>
  <c r="AL849" i="3"/>
  <c r="AL853" i="3"/>
  <c r="AL857" i="3"/>
  <c r="AL861" i="3"/>
  <c r="AL865" i="3"/>
  <c r="AL176" i="3"/>
  <c r="AL192" i="3"/>
  <c r="AL208" i="3"/>
  <c r="AL224" i="3"/>
  <c r="AL240" i="3"/>
  <c r="AL256" i="3"/>
  <c r="AL272" i="3"/>
  <c r="AL288" i="3"/>
  <c r="AL304" i="3"/>
  <c r="AL318" i="3"/>
  <c r="AL326" i="3"/>
  <c r="AL334" i="3"/>
  <c r="AL342" i="3"/>
  <c r="AL350" i="3"/>
  <c r="AL356" i="3"/>
  <c r="AL361" i="3"/>
  <c r="AL366" i="3"/>
  <c r="AL370" i="3"/>
  <c r="AL374" i="3"/>
  <c r="AL378" i="3"/>
  <c r="AL382" i="3"/>
  <c r="AL386" i="3"/>
  <c r="AL390" i="3"/>
  <c r="AL394" i="3"/>
  <c r="AL398" i="3"/>
  <c r="AL402" i="3"/>
  <c r="AL406" i="3"/>
  <c r="AL410" i="3"/>
  <c r="AL414" i="3"/>
  <c r="AL418" i="3"/>
  <c r="AL422" i="3"/>
  <c r="AL426" i="3"/>
  <c r="AL430" i="3"/>
  <c r="AL434" i="3"/>
  <c r="AL438" i="3"/>
  <c r="AL442" i="3"/>
  <c r="AL446" i="3"/>
  <c r="AL450" i="3"/>
  <c r="AL454" i="3"/>
  <c r="AL458" i="3"/>
  <c r="AL462" i="3"/>
  <c r="AL466" i="3"/>
  <c r="AL470" i="3"/>
  <c r="AL474" i="3"/>
  <c r="AL478" i="3"/>
  <c r="AL482" i="3"/>
  <c r="AL486" i="3"/>
  <c r="AL490" i="3"/>
  <c r="AL494" i="3"/>
  <c r="AL498" i="3"/>
  <c r="AL502" i="3"/>
  <c r="AL506" i="3"/>
  <c r="AL510" i="3"/>
  <c r="AL514" i="3"/>
  <c r="AL518" i="3"/>
  <c r="AL522" i="3"/>
  <c r="AL526" i="3"/>
  <c r="AL530" i="3"/>
  <c r="AL534" i="3"/>
  <c r="AL538" i="3"/>
  <c r="AL542" i="3"/>
  <c r="AL546" i="3"/>
  <c r="AL550" i="3"/>
  <c r="AL554" i="3"/>
  <c r="AL558" i="3"/>
  <c r="AL562" i="3"/>
  <c r="AL566" i="3"/>
  <c r="AL570" i="3"/>
  <c r="AL574" i="3"/>
  <c r="AL578" i="3"/>
  <c r="AL582" i="3"/>
  <c r="AL586" i="3"/>
  <c r="AL590" i="3"/>
  <c r="AL594" i="3"/>
  <c r="AL598" i="3"/>
  <c r="AL602" i="3"/>
  <c r="AL606" i="3"/>
  <c r="AL610" i="3"/>
  <c r="AL614" i="3"/>
  <c r="AL618" i="3"/>
  <c r="AL622" i="3"/>
  <c r="AL626" i="3"/>
  <c r="AL630" i="3"/>
  <c r="AL634" i="3"/>
  <c r="AL638" i="3"/>
  <c r="AL642" i="3"/>
  <c r="AL646" i="3"/>
  <c r="AL650" i="3"/>
  <c r="AL654" i="3"/>
  <c r="AL658" i="3"/>
  <c r="AL662" i="3"/>
  <c r="AL666" i="3"/>
  <c r="AL670" i="3"/>
  <c r="AL674" i="3"/>
  <c r="AL678" i="3"/>
  <c r="AL682" i="3"/>
  <c r="AL686" i="3"/>
  <c r="AL690" i="3"/>
  <c r="AL694" i="3"/>
  <c r="AL698" i="3"/>
  <c r="AL702" i="3"/>
  <c r="AL706" i="3"/>
  <c r="AL710" i="3"/>
  <c r="AL714" i="3"/>
  <c r="AL718" i="3"/>
  <c r="AL722" i="3"/>
  <c r="AL726" i="3"/>
  <c r="AL730" i="3"/>
  <c r="AL734" i="3"/>
  <c r="AL738" i="3"/>
  <c r="AL742" i="3"/>
  <c r="AL746" i="3"/>
  <c r="AL750" i="3"/>
  <c r="AL754" i="3"/>
  <c r="AL758" i="3"/>
  <c r="AL762" i="3"/>
  <c r="AL766" i="3"/>
  <c r="AL770" i="3"/>
  <c r="AL774" i="3"/>
  <c r="AL778" i="3"/>
  <c r="AL782" i="3"/>
  <c r="AL786" i="3"/>
  <c r="AL790" i="3"/>
  <c r="AL794" i="3"/>
  <c r="AL798" i="3"/>
  <c r="AL802" i="3"/>
  <c r="AL806" i="3"/>
  <c r="AL810" i="3"/>
  <c r="AL814" i="3"/>
  <c r="AL818" i="3"/>
  <c r="AL822" i="3"/>
  <c r="AL826" i="3"/>
  <c r="AL180" i="3"/>
  <c r="AL196" i="3"/>
  <c r="AL212" i="3"/>
  <c r="AL228" i="3"/>
  <c r="AL244" i="3"/>
  <c r="AL260" i="3"/>
  <c r="AL276" i="3"/>
  <c r="AL292" i="3"/>
  <c r="AL308" i="3"/>
  <c r="AL344" i="3"/>
  <c r="AL367" i="3"/>
  <c r="AL383" i="3"/>
  <c r="AL399" i="3"/>
  <c r="AL415" i="3"/>
  <c r="AL431" i="3"/>
  <c r="AL447" i="3"/>
  <c r="AL463" i="3"/>
  <c r="AL479" i="3"/>
  <c r="AL495" i="3"/>
  <c r="AL511" i="3"/>
  <c r="AL527" i="3"/>
  <c r="AL543" i="3"/>
  <c r="AL559" i="3"/>
  <c r="AL575" i="3"/>
  <c r="AL591" i="3"/>
  <c r="AL607" i="3"/>
  <c r="AL623" i="3"/>
  <c r="AL639" i="3"/>
  <c r="AL655" i="3"/>
  <c r="AL671" i="3"/>
  <c r="AL687" i="3"/>
  <c r="AL703" i="3"/>
  <c r="AL719" i="3"/>
  <c r="AL735" i="3"/>
  <c r="AL751" i="3"/>
  <c r="AL767" i="3"/>
  <c r="AL783" i="3"/>
  <c r="AL799" i="3"/>
  <c r="AL815" i="3"/>
  <c r="AL830" i="3"/>
  <c r="AL838" i="3"/>
  <c r="AL846" i="3"/>
  <c r="AL854" i="3"/>
  <c r="AL862" i="3"/>
  <c r="AL869" i="3"/>
  <c r="AL874" i="3"/>
  <c r="AL879" i="3"/>
  <c r="AL885" i="3"/>
  <c r="AL890" i="3"/>
  <c r="AL895" i="3"/>
  <c r="AL901" i="3"/>
  <c r="AL906" i="3"/>
  <c r="AL911" i="3"/>
  <c r="AL917" i="3"/>
  <c r="AL922" i="3"/>
  <c r="AL927" i="3"/>
  <c r="AL933" i="3"/>
  <c r="AL938" i="3"/>
  <c r="AL943" i="3"/>
  <c r="AL949" i="3"/>
  <c r="AL954" i="3"/>
  <c r="AL959" i="3"/>
  <c r="AL965" i="3"/>
  <c r="AL970" i="3"/>
  <c r="AL975" i="3"/>
  <c r="AL980" i="3"/>
  <c r="AL984" i="3"/>
  <c r="AL988" i="3"/>
  <c r="AL992" i="3"/>
  <c r="AL996" i="3"/>
  <c r="AL1000" i="3"/>
  <c r="AL4" i="3"/>
  <c r="AL320" i="3"/>
  <c r="AL352" i="3"/>
  <c r="AL371" i="3"/>
  <c r="AL387" i="3"/>
  <c r="AL403" i="3"/>
  <c r="AL419" i="3"/>
  <c r="AL435" i="3"/>
  <c r="AL451" i="3"/>
  <c r="AL467" i="3"/>
  <c r="AL483" i="3"/>
  <c r="AL499" i="3"/>
  <c r="AL515" i="3"/>
  <c r="AL531" i="3"/>
  <c r="AL547" i="3"/>
  <c r="AL563" i="3"/>
  <c r="AL579" i="3"/>
  <c r="AL595" i="3"/>
  <c r="AL611" i="3"/>
  <c r="AL627" i="3"/>
  <c r="AL643" i="3"/>
  <c r="AL659" i="3"/>
  <c r="AL675" i="3"/>
  <c r="AL691" i="3"/>
  <c r="AL707" i="3"/>
  <c r="AL723" i="3"/>
  <c r="AL739" i="3"/>
  <c r="AL755" i="3"/>
  <c r="AL771" i="3"/>
  <c r="AL787" i="3"/>
  <c r="AL803" i="3"/>
  <c r="AL819" i="3"/>
  <c r="AL831" i="3"/>
  <c r="AL839" i="3"/>
  <c r="AL847" i="3"/>
  <c r="AL855" i="3"/>
  <c r="AL863" i="3"/>
  <c r="AL870" i="3"/>
  <c r="AL875" i="3"/>
  <c r="AL881" i="3"/>
  <c r="AL886" i="3"/>
  <c r="AL891" i="3"/>
  <c r="AL897" i="3"/>
  <c r="AL902" i="3"/>
  <c r="AL907" i="3"/>
  <c r="AL913" i="3"/>
  <c r="AL918" i="3"/>
  <c r="AL923" i="3"/>
  <c r="AL929" i="3"/>
  <c r="AL934" i="3"/>
  <c r="AL939" i="3"/>
  <c r="AL945" i="3"/>
  <c r="AL950" i="3"/>
  <c r="AL955" i="3"/>
  <c r="AL961" i="3"/>
  <c r="AL966" i="3"/>
  <c r="AL971" i="3"/>
  <c r="AL977" i="3"/>
  <c r="AL981" i="3"/>
  <c r="AL985" i="3"/>
  <c r="AL989" i="3"/>
  <c r="AL993" i="3"/>
  <c r="AL997" i="3"/>
  <c r="AL1001" i="3"/>
  <c r="AL328" i="3"/>
  <c r="AL357" i="3"/>
  <c r="AL375" i="3"/>
  <c r="AL391" i="3"/>
  <c r="AL407" i="3"/>
  <c r="AL423" i="3"/>
  <c r="AL439" i="3"/>
  <c r="AL455" i="3"/>
  <c r="AL471" i="3"/>
  <c r="AL487" i="3"/>
  <c r="AL503" i="3"/>
  <c r="AL519" i="3"/>
  <c r="AL535" i="3"/>
  <c r="AL551" i="3"/>
  <c r="AL567" i="3"/>
  <c r="AL583" i="3"/>
  <c r="AL599" i="3"/>
  <c r="AL615" i="3"/>
  <c r="AL631" i="3"/>
  <c r="AL647" i="3"/>
  <c r="AL663" i="3"/>
  <c r="AL679" i="3"/>
  <c r="AL695" i="3"/>
  <c r="AL711" i="3"/>
  <c r="AL727" i="3"/>
  <c r="AL743" i="3"/>
  <c r="AL759" i="3"/>
  <c r="AL775" i="3"/>
  <c r="AL791" i="3"/>
  <c r="AL807" i="3"/>
  <c r="AL823" i="3"/>
  <c r="AL834" i="3"/>
  <c r="AL842" i="3"/>
  <c r="AL850" i="3"/>
  <c r="AL858" i="3"/>
  <c r="AL866" i="3"/>
  <c r="AL871" i="3"/>
  <c r="AL877" i="3"/>
  <c r="AL882" i="3"/>
  <c r="AL887" i="3"/>
  <c r="AL893" i="3"/>
  <c r="AL898" i="3"/>
  <c r="AL903" i="3"/>
  <c r="AL909" i="3"/>
  <c r="AL914" i="3"/>
  <c r="AL919" i="3"/>
  <c r="AL925" i="3"/>
  <c r="AL930" i="3"/>
  <c r="AL935" i="3"/>
  <c r="AL941" i="3"/>
  <c r="AL946" i="3"/>
  <c r="AL951" i="3"/>
  <c r="AL957" i="3"/>
  <c r="AL962" i="3"/>
  <c r="AL967" i="3"/>
  <c r="AL973" i="3"/>
  <c r="AL978" i="3"/>
  <c r="AL982" i="3"/>
  <c r="AL986" i="3"/>
  <c r="AL990" i="3"/>
  <c r="AL994" i="3"/>
  <c r="AL998" i="3"/>
  <c r="AL1002" i="3"/>
  <c r="AL336" i="3"/>
  <c r="AL362" i="3"/>
  <c r="AL379" i="3"/>
  <c r="AL395" i="3"/>
  <c r="AL411" i="3"/>
  <c r="AL427" i="3"/>
  <c r="AL443" i="3"/>
  <c r="AL459" i="3"/>
  <c r="AL475" i="3"/>
  <c r="AL491" i="3"/>
  <c r="AL507" i="3"/>
  <c r="AL523" i="3"/>
  <c r="AL539" i="3"/>
  <c r="AL555" i="3"/>
  <c r="AL571" i="3"/>
  <c r="AL587" i="3"/>
  <c r="AL603" i="3"/>
  <c r="AL619" i="3"/>
  <c r="AL635" i="3"/>
  <c r="AL651" i="3"/>
  <c r="AL667" i="3"/>
  <c r="AL683" i="3"/>
  <c r="AL699" i="3"/>
  <c r="AL715" i="3"/>
  <c r="AL731" i="3"/>
  <c r="AL747" i="3"/>
  <c r="AL763" i="3"/>
  <c r="AL779" i="3"/>
  <c r="AL795" i="3"/>
  <c r="AL811" i="3"/>
  <c r="AL827" i="3"/>
  <c r="AL835" i="3"/>
  <c r="AL843" i="3"/>
  <c r="AL851" i="3"/>
  <c r="AL859" i="3"/>
  <c r="AL867" i="3"/>
  <c r="AL873" i="3"/>
  <c r="AL878" i="3"/>
  <c r="AL883" i="3"/>
  <c r="AL889" i="3"/>
  <c r="AL894" i="3"/>
  <c r="AL899" i="3"/>
  <c r="AL905" i="3"/>
  <c r="AL910" i="3"/>
  <c r="AL915" i="3"/>
  <c r="AL921" i="3"/>
  <c r="AL926" i="3"/>
  <c r="AL931" i="3"/>
  <c r="AL937" i="3"/>
  <c r="AL942" i="3"/>
  <c r="AL947" i="3"/>
  <c r="AL953" i="3"/>
  <c r="AL958" i="3"/>
  <c r="AL963" i="3"/>
  <c r="AL969" i="3"/>
  <c r="AL974" i="3"/>
  <c r="AL979" i="3"/>
  <c r="AL983" i="3"/>
  <c r="AL987" i="3"/>
  <c r="AL991" i="3"/>
  <c r="AL995" i="3"/>
  <c r="AL999" i="3"/>
  <c r="AL1003" i="3"/>
  <c r="AH819" i="3"/>
  <c r="AH883" i="3"/>
  <c r="AH920" i="3"/>
  <c r="AH943" i="3"/>
  <c r="AH964" i="3"/>
  <c r="AH986" i="3"/>
  <c r="AH791" i="3"/>
  <c r="AH855" i="3"/>
  <c r="AH907" i="3"/>
  <c r="AH934" i="3"/>
  <c r="AH955" i="3"/>
  <c r="AH976" i="3"/>
  <c r="AH998" i="3"/>
  <c r="AH795" i="3"/>
  <c r="AH859" i="3"/>
  <c r="AH908" i="3"/>
  <c r="AH935" i="3"/>
  <c r="AH956" i="3"/>
  <c r="AH978" i="3"/>
  <c r="AH999" i="3"/>
  <c r="AH831" i="3"/>
  <c r="AH895" i="3"/>
  <c r="AH926" i="3"/>
  <c r="AH947" i="3"/>
  <c r="AH968" i="3"/>
  <c r="AH990" i="3"/>
  <c r="AH880" i="3"/>
  <c r="AH864" i="3"/>
  <c r="AH848" i="3"/>
  <c r="AH832" i="3"/>
  <c r="AH816" i="3"/>
  <c r="AH800" i="3"/>
  <c r="AH784" i="3"/>
  <c r="AH768" i="3"/>
  <c r="AH752" i="3"/>
  <c r="AH736" i="3"/>
  <c r="AH720" i="3"/>
  <c r="AH704" i="3"/>
  <c r="AH688" i="3"/>
  <c r="AH672" i="3"/>
  <c r="AH656" i="3"/>
  <c r="AH640" i="3"/>
  <c r="AH624" i="3"/>
  <c r="AH608" i="3"/>
  <c r="AH592" i="3"/>
  <c r="AH576" i="3"/>
  <c r="AH560" i="3"/>
  <c r="AH544" i="3"/>
  <c r="AH528" i="3"/>
  <c r="AH512" i="3"/>
  <c r="AH496" i="3"/>
  <c r="AH480" i="3"/>
  <c r="AH464" i="3"/>
  <c r="AH448" i="3"/>
  <c r="AH432" i="3"/>
  <c r="AH416" i="3"/>
  <c r="AH400" i="3"/>
  <c r="AH384" i="3"/>
  <c r="AH368" i="3"/>
  <c r="AH352" i="3"/>
  <c r="AH336" i="3"/>
  <c r="AH320" i="3"/>
  <c r="AH304" i="3"/>
  <c r="AH288" i="3"/>
  <c r="AH272" i="3"/>
  <c r="AH256" i="3"/>
  <c r="AH240" i="3"/>
  <c r="AH224" i="3"/>
  <c r="AH208" i="3"/>
  <c r="AH192" i="3"/>
  <c r="AH176" i="3"/>
  <c r="AH157" i="3"/>
  <c r="AH136" i="3"/>
  <c r="AH114" i="3"/>
  <c r="AH65" i="3"/>
  <c r="AH775" i="3"/>
  <c r="AH759" i="3"/>
  <c r="AH743" i="3"/>
  <c r="AH727" i="3"/>
  <c r="AH711" i="3"/>
  <c r="AH695" i="3"/>
  <c r="AH679" i="3"/>
  <c r="AH663" i="3"/>
  <c r="AH647" i="3"/>
  <c r="AH631" i="3"/>
  <c r="AH615" i="3"/>
  <c r="AH599" i="3"/>
  <c r="AH583" i="3"/>
  <c r="AH567" i="3"/>
  <c r="AH551" i="3"/>
  <c r="AH535" i="3"/>
  <c r="AH519" i="3"/>
  <c r="AH503" i="3"/>
  <c r="AH487" i="3"/>
  <c r="AH471" i="3"/>
  <c r="AH455" i="3"/>
  <c r="AH439" i="3"/>
  <c r="AH423" i="3"/>
  <c r="AH407" i="3"/>
  <c r="AH391" i="3"/>
  <c r="AH375" i="3"/>
  <c r="AH359" i="3"/>
  <c r="AH343" i="3"/>
  <c r="AH327" i="3"/>
  <c r="AH311" i="3"/>
  <c r="AH295" i="3"/>
  <c r="AH279" i="3"/>
  <c r="AH263" i="3"/>
  <c r="AH247" i="3"/>
  <c r="AH231" i="3"/>
  <c r="AH215" i="3"/>
  <c r="AH199" i="3"/>
  <c r="AH183" i="3"/>
  <c r="AH166" i="3"/>
  <c r="AH145" i="3"/>
  <c r="AH124" i="3"/>
  <c r="AH93" i="3"/>
  <c r="AH922" i="3"/>
  <c r="AH906" i="3"/>
  <c r="AH890" i="3"/>
  <c r="AH874" i="3"/>
  <c r="AH858" i="3"/>
  <c r="AH842" i="3"/>
  <c r="AH826" i="3"/>
  <c r="AH810" i="3"/>
  <c r="AH794" i="3"/>
  <c r="AH778" i="3"/>
  <c r="AH762" i="3"/>
  <c r="AH746" i="3"/>
  <c r="AH730" i="3"/>
  <c r="AH714" i="3"/>
  <c r="AH698" i="3"/>
  <c r="AH682" i="3"/>
  <c r="AH666" i="3"/>
  <c r="AH650" i="3"/>
  <c r="AH634" i="3"/>
  <c r="AH618" i="3"/>
  <c r="AH602" i="3"/>
  <c r="AH586" i="3"/>
  <c r="AH570" i="3"/>
  <c r="AH554" i="3"/>
  <c r="AH538" i="3"/>
  <c r="AH522" i="3"/>
  <c r="AH506" i="3"/>
  <c r="AH490" i="3"/>
  <c r="AH474" i="3"/>
  <c r="AH458" i="3"/>
  <c r="AH442" i="3"/>
  <c r="AH426" i="3"/>
  <c r="AH410" i="3"/>
  <c r="AH394" i="3"/>
  <c r="AH378" i="3"/>
  <c r="AH362" i="3"/>
  <c r="AH346" i="3"/>
  <c r="AH330" i="3"/>
  <c r="AH314" i="3"/>
  <c r="AH298" i="3"/>
  <c r="AH282" i="3"/>
  <c r="AH266" i="3"/>
  <c r="AH250" i="3"/>
  <c r="AH234" i="3"/>
  <c r="AH218" i="3"/>
  <c r="AH202" i="3"/>
  <c r="AH186" i="3"/>
  <c r="AH170" i="3"/>
  <c r="AH149" i="3"/>
  <c r="AH128" i="3"/>
  <c r="AH102" i="3"/>
  <c r="AH41" i="3"/>
  <c r="AH989" i="3"/>
  <c r="AH973" i="3"/>
  <c r="AH957" i="3"/>
  <c r="AH941" i="3"/>
  <c r="AH925" i="3"/>
  <c r="AH909" i="3"/>
  <c r="AH893" i="3"/>
  <c r="AH877" i="3"/>
  <c r="AH861" i="3"/>
  <c r="AH845" i="3"/>
  <c r="AH829" i="3"/>
  <c r="AH813" i="3"/>
  <c r="AH797" i="3"/>
  <c r="AH781" i="3"/>
  <c r="AH765" i="3"/>
  <c r="AH749" i="3"/>
  <c r="AH733" i="3"/>
  <c r="AH717" i="3"/>
  <c r="AH701" i="3"/>
  <c r="AH685" i="3"/>
  <c r="AH669" i="3"/>
  <c r="AH653" i="3"/>
  <c r="AH637" i="3"/>
  <c r="AH621" i="3"/>
  <c r="AH605" i="3"/>
  <c r="AH589" i="3"/>
  <c r="AH573" i="3"/>
  <c r="AH557" i="3"/>
  <c r="AH541" i="3"/>
  <c r="AH525" i="3"/>
  <c r="AH509" i="3"/>
  <c r="AH493" i="3"/>
  <c r="AH477" i="3"/>
  <c r="AH461" i="3"/>
  <c r="AH445" i="3"/>
  <c r="AH429" i="3"/>
  <c r="AH413" i="3"/>
  <c r="AH397" i="3"/>
  <c r="AH381" i="3"/>
  <c r="AH365" i="3"/>
  <c r="AH349" i="3"/>
  <c r="AH333" i="3"/>
  <c r="AH317" i="3"/>
  <c r="AH301" i="3"/>
  <c r="AH285" i="3"/>
  <c r="AH269" i="3"/>
  <c r="AH253" i="3"/>
  <c r="AH237" i="3"/>
  <c r="AH221" i="3"/>
  <c r="AH205" i="3"/>
  <c r="AH189" i="3"/>
  <c r="AH173" i="3"/>
  <c r="AH153" i="3"/>
  <c r="AH132" i="3"/>
  <c r="AH109" i="3"/>
  <c r="AH53" i="3"/>
  <c r="AH90" i="3"/>
  <c r="AH74" i="3"/>
  <c r="AH58" i="3"/>
  <c r="AH42" i="3"/>
  <c r="AH26" i="3"/>
  <c r="AH10" i="3"/>
  <c r="AH25" i="3"/>
  <c r="AH9" i="3"/>
  <c r="AH104" i="3"/>
  <c r="AH88" i="3"/>
  <c r="AH72" i="3"/>
  <c r="AH56" i="3"/>
  <c r="AH40" i="3"/>
  <c r="AH24" i="3"/>
  <c r="AH8" i="3"/>
  <c r="AH155" i="3"/>
  <c r="AH139" i="3"/>
  <c r="AH123" i="3"/>
  <c r="AH107" i="3"/>
  <c r="AH91" i="3"/>
  <c r="AH75" i="3"/>
  <c r="AH59" i="3"/>
  <c r="AH43" i="3"/>
  <c r="AH27" i="3"/>
  <c r="AH11" i="3"/>
  <c r="AH835" i="3"/>
  <c r="AH896" i="3"/>
  <c r="AH927" i="3"/>
  <c r="AH948" i="3"/>
  <c r="AH970" i="3"/>
  <c r="AH991" i="3"/>
  <c r="AH807" i="3"/>
  <c r="AH871" i="3"/>
  <c r="AH915" i="3"/>
  <c r="AH939" i="3"/>
  <c r="AH960" i="3"/>
  <c r="AH982" i="3"/>
  <c r="AH1003" i="3"/>
  <c r="AH811" i="3"/>
  <c r="AH875" i="3"/>
  <c r="AH916" i="3"/>
  <c r="AH940" i="3"/>
  <c r="AH962" i="3"/>
  <c r="AH983" i="3"/>
  <c r="AH4" i="3"/>
  <c r="AH847" i="3"/>
  <c r="AH903" i="3"/>
  <c r="AH931" i="3"/>
  <c r="AH952" i="3"/>
  <c r="AH974" i="3"/>
  <c r="AH995" i="3"/>
  <c r="AH892" i="3"/>
  <c r="AH876" i="3"/>
  <c r="AH860" i="3"/>
  <c r="AH844" i="3"/>
  <c r="AH828" i="3"/>
  <c r="AH812" i="3"/>
  <c r="AH796" i="3"/>
  <c r="AH780" i="3"/>
  <c r="AH764" i="3"/>
  <c r="AH748" i="3"/>
  <c r="AH732" i="3"/>
  <c r="AH716" i="3"/>
  <c r="AH700" i="3"/>
  <c r="AH684" i="3"/>
  <c r="AH668" i="3"/>
  <c r="AH652" i="3"/>
  <c r="AH636" i="3"/>
  <c r="AH620" i="3"/>
  <c r="AH604" i="3"/>
  <c r="AH588" i="3"/>
  <c r="AH572" i="3"/>
  <c r="AH556" i="3"/>
  <c r="AH540" i="3"/>
  <c r="AH524" i="3"/>
  <c r="AH508" i="3"/>
  <c r="AH492" i="3"/>
  <c r="AH476" i="3"/>
  <c r="AH460" i="3"/>
  <c r="AH444" i="3"/>
  <c r="AH428" i="3"/>
  <c r="AH412" i="3"/>
  <c r="AH396" i="3"/>
  <c r="AH380" i="3"/>
  <c r="AH364" i="3"/>
  <c r="AH348" i="3"/>
  <c r="AH332" i="3"/>
  <c r="AH316" i="3"/>
  <c r="AH300" i="3"/>
  <c r="AH284" i="3"/>
  <c r="AH268" i="3"/>
  <c r="AH252" i="3"/>
  <c r="AH236" i="3"/>
  <c r="AH220" i="3"/>
  <c r="AH204" i="3"/>
  <c r="AH188" i="3"/>
  <c r="AH172" i="3"/>
  <c r="AH152" i="3"/>
  <c r="AH130" i="3"/>
  <c r="AH106" i="3"/>
  <c r="AH49" i="3"/>
  <c r="AH771" i="3"/>
  <c r="AH755" i="3"/>
  <c r="AH739" i="3"/>
  <c r="AH723" i="3"/>
  <c r="AH707" i="3"/>
  <c r="AH691" i="3"/>
  <c r="AH675" i="3"/>
  <c r="AH659" i="3"/>
  <c r="AH643" i="3"/>
  <c r="AH627" i="3"/>
  <c r="AH611" i="3"/>
  <c r="AH595" i="3"/>
  <c r="AH579" i="3"/>
  <c r="AH563" i="3"/>
  <c r="AH547" i="3"/>
  <c r="AH531" i="3"/>
  <c r="AH515" i="3"/>
  <c r="AH499" i="3"/>
  <c r="AH483" i="3"/>
  <c r="AH467" i="3"/>
  <c r="AH451" i="3"/>
  <c r="AH435" i="3"/>
  <c r="AH419" i="3"/>
  <c r="AH403" i="3"/>
  <c r="AH387" i="3"/>
  <c r="AH371" i="3"/>
  <c r="AH355" i="3"/>
  <c r="AH339" i="3"/>
  <c r="AH323" i="3"/>
  <c r="AH307" i="3"/>
  <c r="AH291" i="3"/>
  <c r="AH275" i="3"/>
  <c r="AH259" i="3"/>
  <c r="AH243" i="3"/>
  <c r="AH227" i="3"/>
  <c r="AH211" i="3"/>
  <c r="AH195" i="3"/>
  <c r="AH179" i="3"/>
  <c r="AH161" i="3"/>
  <c r="AH140" i="3"/>
  <c r="AH118" i="3"/>
  <c r="AH77" i="3"/>
  <c r="AH918" i="3"/>
  <c r="AH902" i="3"/>
  <c r="AH886" i="3"/>
  <c r="AH870" i="3"/>
  <c r="AH854" i="3"/>
  <c r="AH838" i="3"/>
  <c r="AH822" i="3"/>
  <c r="AH806" i="3"/>
  <c r="AH790" i="3"/>
  <c r="AH774" i="3"/>
  <c r="AH758" i="3"/>
  <c r="AH742" i="3"/>
  <c r="AH726" i="3"/>
  <c r="AH710" i="3"/>
  <c r="AH694" i="3"/>
  <c r="AH678" i="3"/>
  <c r="AH662" i="3"/>
  <c r="AH646" i="3"/>
  <c r="AH630" i="3"/>
  <c r="AH614" i="3"/>
  <c r="AH598" i="3"/>
  <c r="AH582" i="3"/>
  <c r="AH566" i="3"/>
  <c r="AH550" i="3"/>
  <c r="AH534" i="3"/>
  <c r="AH518" i="3"/>
  <c r="AH502" i="3"/>
  <c r="AH486" i="3"/>
  <c r="AH470" i="3"/>
  <c r="AH454" i="3"/>
  <c r="AH438" i="3"/>
  <c r="AH422" i="3"/>
  <c r="AH406" i="3"/>
  <c r="AH390" i="3"/>
  <c r="AH374" i="3"/>
  <c r="AH358" i="3"/>
  <c r="AH342" i="3"/>
  <c r="AH326" i="3"/>
  <c r="AH310" i="3"/>
  <c r="AH294" i="3"/>
  <c r="AH278" i="3"/>
  <c r="AH262" i="3"/>
  <c r="AH246" i="3"/>
  <c r="AH230" i="3"/>
  <c r="AH214" i="3"/>
  <c r="AH198" i="3"/>
  <c r="AH182" i="3"/>
  <c r="AH165" i="3"/>
  <c r="AH144" i="3"/>
  <c r="AH122" i="3"/>
  <c r="AH89" i="3"/>
  <c r="AH1001" i="3"/>
  <c r="AH985" i="3"/>
  <c r="AH969" i="3"/>
  <c r="AH953" i="3"/>
  <c r="AH937" i="3"/>
  <c r="AH921" i="3"/>
  <c r="AH905" i="3"/>
  <c r="AH889" i="3"/>
  <c r="AH873" i="3"/>
  <c r="AH857" i="3"/>
  <c r="AH841" i="3"/>
  <c r="AH825" i="3"/>
  <c r="AH809" i="3"/>
  <c r="AH793" i="3"/>
  <c r="AH777" i="3"/>
  <c r="AH761" i="3"/>
  <c r="AH745" i="3"/>
  <c r="AH729" i="3"/>
  <c r="AH713" i="3"/>
  <c r="AH697" i="3"/>
  <c r="AH681" i="3"/>
  <c r="AH665" i="3"/>
  <c r="AH649" i="3"/>
  <c r="AH633" i="3"/>
  <c r="AH617" i="3"/>
  <c r="AH601" i="3"/>
  <c r="AH585" i="3"/>
  <c r="AH569" i="3"/>
  <c r="AH553" i="3"/>
  <c r="AH537" i="3"/>
  <c r="AH521" i="3"/>
  <c r="AH505" i="3"/>
  <c r="AH489" i="3"/>
  <c r="AH473" i="3"/>
  <c r="AH457" i="3"/>
  <c r="AH441" i="3"/>
  <c r="AH425" i="3"/>
  <c r="AH409" i="3"/>
  <c r="AH393" i="3"/>
  <c r="AH377" i="3"/>
  <c r="AH361" i="3"/>
  <c r="AH345" i="3"/>
  <c r="AH329" i="3"/>
  <c r="AH313" i="3"/>
  <c r="AH297" i="3"/>
  <c r="AH281" i="3"/>
  <c r="AH265" i="3"/>
  <c r="AH249" i="3"/>
  <c r="AH233" i="3"/>
  <c r="AH217" i="3"/>
  <c r="AH201" i="3"/>
  <c r="AH185" i="3"/>
  <c r="AH169" i="3"/>
  <c r="AH148" i="3"/>
  <c r="AH126" i="3"/>
  <c r="AH101" i="3"/>
  <c r="AH37" i="3"/>
  <c r="AH86" i="3"/>
  <c r="AH70" i="3"/>
  <c r="AH54" i="3"/>
  <c r="AH38" i="3"/>
  <c r="AH22" i="3"/>
  <c r="AH6" i="3"/>
  <c r="AH21" i="3"/>
  <c r="AH5" i="3"/>
  <c r="AH100" i="3"/>
  <c r="AH84" i="3"/>
  <c r="AH68" i="3"/>
  <c r="AH52" i="3"/>
  <c r="AH36" i="3"/>
  <c r="AH20" i="3"/>
  <c r="AH167" i="3"/>
  <c r="AH151" i="3"/>
  <c r="AH135" i="3"/>
  <c r="AH119" i="3"/>
  <c r="AH103" i="3"/>
  <c r="AH87" i="3"/>
  <c r="AH71" i="3"/>
  <c r="AH55" i="3"/>
  <c r="AH39" i="3"/>
  <c r="AH23" i="3"/>
  <c r="AH7" i="3"/>
  <c r="AH787" i="3"/>
  <c r="AH851" i="3"/>
  <c r="AH904" i="3"/>
  <c r="AH932" i="3"/>
  <c r="AH954" i="3"/>
  <c r="AH975" i="3"/>
  <c r="AH996" i="3"/>
  <c r="AH823" i="3"/>
  <c r="AH887" i="3"/>
  <c r="AH923" i="3"/>
  <c r="AH944" i="3"/>
  <c r="AH966" i="3"/>
  <c r="AH987" i="3"/>
  <c r="AH827" i="3"/>
  <c r="AH891" i="3"/>
  <c r="AH924" i="3"/>
  <c r="AH946" i="3"/>
  <c r="AH967" i="3"/>
  <c r="AH988" i="3"/>
  <c r="AH799" i="3"/>
  <c r="AH863" i="3"/>
  <c r="AH911" i="3"/>
  <c r="AH936" i="3"/>
  <c r="AH958" i="3"/>
  <c r="AH979" i="3"/>
  <c r="AH1000" i="3"/>
  <c r="AH888" i="3"/>
  <c r="AH872" i="3"/>
  <c r="AH856" i="3"/>
  <c r="AH840" i="3"/>
  <c r="AH824" i="3"/>
  <c r="AH808" i="3"/>
  <c r="AH792" i="3"/>
  <c r="AH776" i="3"/>
  <c r="AH760" i="3"/>
  <c r="AH744" i="3"/>
  <c r="AH728" i="3"/>
  <c r="AH712" i="3"/>
  <c r="AH696" i="3"/>
  <c r="AH680" i="3"/>
  <c r="AH664" i="3"/>
  <c r="AH648" i="3"/>
  <c r="AH632" i="3"/>
  <c r="AH616" i="3"/>
  <c r="AH600" i="3"/>
  <c r="AH584" i="3"/>
  <c r="AH568" i="3"/>
  <c r="AH552" i="3"/>
  <c r="AH536" i="3"/>
  <c r="AH520" i="3"/>
  <c r="AH504" i="3"/>
  <c r="AH488" i="3"/>
  <c r="AH472" i="3"/>
  <c r="AH456" i="3"/>
  <c r="AH440" i="3"/>
  <c r="AH424" i="3"/>
  <c r="AH408" i="3"/>
  <c r="AH392" i="3"/>
  <c r="AH376" i="3"/>
  <c r="AH360" i="3"/>
  <c r="AH344" i="3"/>
  <c r="AH328" i="3"/>
  <c r="AH312" i="3"/>
  <c r="AH296" i="3"/>
  <c r="AH280" i="3"/>
  <c r="AH264" i="3"/>
  <c r="AH248" i="3"/>
  <c r="AH232" i="3"/>
  <c r="AH216" i="3"/>
  <c r="AH200" i="3"/>
  <c r="AH184" i="3"/>
  <c r="AH168" i="3"/>
  <c r="AH146" i="3"/>
  <c r="AH125" i="3"/>
  <c r="AH97" i="3"/>
  <c r="AH783" i="3"/>
  <c r="AH767" i="3"/>
  <c r="AH751" i="3"/>
  <c r="AH735" i="3"/>
  <c r="AH719" i="3"/>
  <c r="AH703" i="3"/>
  <c r="AH687" i="3"/>
  <c r="AH671" i="3"/>
  <c r="AH655" i="3"/>
  <c r="AH639" i="3"/>
  <c r="AH623" i="3"/>
  <c r="AH607" i="3"/>
  <c r="AH591" i="3"/>
  <c r="AH575" i="3"/>
  <c r="AH559" i="3"/>
  <c r="AH543" i="3"/>
  <c r="AH527" i="3"/>
  <c r="AH511" i="3"/>
  <c r="AH495" i="3"/>
  <c r="AH479" i="3"/>
  <c r="AH463" i="3"/>
  <c r="AH447" i="3"/>
  <c r="AH431" i="3"/>
  <c r="AH415" i="3"/>
  <c r="AH399" i="3"/>
  <c r="AH383" i="3"/>
  <c r="AH367" i="3"/>
  <c r="AH351" i="3"/>
  <c r="AH335" i="3"/>
  <c r="AH319" i="3"/>
  <c r="AH303" i="3"/>
  <c r="AH287" i="3"/>
  <c r="AH271" i="3"/>
  <c r="AH255" i="3"/>
  <c r="AH239" i="3"/>
  <c r="AH223" i="3"/>
  <c r="AH207" i="3"/>
  <c r="AH191" i="3"/>
  <c r="AH175" i="3"/>
  <c r="AH156" i="3"/>
  <c r="AH134" i="3"/>
  <c r="AH113" i="3"/>
  <c r="AH61" i="3"/>
  <c r="AH914" i="3"/>
  <c r="AH898" i="3"/>
  <c r="AH882" i="3"/>
  <c r="AH866" i="3"/>
  <c r="AH850" i="3"/>
  <c r="AH834" i="3"/>
  <c r="AH818" i="3"/>
  <c r="AH802" i="3"/>
  <c r="AH786" i="3"/>
  <c r="AH770" i="3"/>
  <c r="AH754" i="3"/>
  <c r="AH738" i="3"/>
  <c r="AH722" i="3"/>
  <c r="AH706" i="3"/>
  <c r="AH690" i="3"/>
  <c r="AH674" i="3"/>
  <c r="AH658" i="3"/>
  <c r="AH642" i="3"/>
  <c r="AH626" i="3"/>
  <c r="AH610" i="3"/>
  <c r="AH594" i="3"/>
  <c r="AH578" i="3"/>
  <c r="AH562" i="3"/>
  <c r="AH546" i="3"/>
  <c r="AH530" i="3"/>
  <c r="AH514" i="3"/>
  <c r="AH498" i="3"/>
  <c r="AH482" i="3"/>
  <c r="AH466" i="3"/>
  <c r="AH450" i="3"/>
  <c r="AH434" i="3"/>
  <c r="AH418" i="3"/>
  <c r="AH402" i="3"/>
  <c r="AH386" i="3"/>
  <c r="AH370" i="3"/>
  <c r="AH354" i="3"/>
  <c r="AH338" i="3"/>
  <c r="AH322" i="3"/>
  <c r="AH306" i="3"/>
  <c r="AH290" i="3"/>
  <c r="AH274" i="3"/>
  <c r="AH258" i="3"/>
  <c r="AH242" i="3"/>
  <c r="AH226" i="3"/>
  <c r="AH210" i="3"/>
  <c r="AH194" i="3"/>
  <c r="AH178" i="3"/>
  <c r="AH160" i="3"/>
  <c r="AH138" i="3"/>
  <c r="AH117" i="3"/>
  <c r="AH73" i="3"/>
  <c r="AH997" i="3"/>
  <c r="AH981" i="3"/>
  <c r="AH965" i="3"/>
  <c r="AH949" i="3"/>
  <c r="AH933" i="3"/>
  <c r="AH917" i="3"/>
  <c r="AH901" i="3"/>
  <c r="AH885" i="3"/>
  <c r="AH869" i="3"/>
  <c r="AH853" i="3"/>
  <c r="AH837" i="3"/>
  <c r="AH821" i="3"/>
  <c r="AH805" i="3"/>
  <c r="AH789" i="3"/>
  <c r="AH773" i="3"/>
  <c r="AH757" i="3"/>
  <c r="AH741" i="3"/>
  <c r="AH725" i="3"/>
  <c r="AH709" i="3"/>
  <c r="AH693" i="3"/>
  <c r="AH677" i="3"/>
  <c r="AH661" i="3"/>
  <c r="AH645" i="3"/>
  <c r="AH629" i="3"/>
  <c r="AH613" i="3"/>
  <c r="AH597" i="3"/>
  <c r="AH581" i="3"/>
  <c r="AH565" i="3"/>
  <c r="AH549" i="3"/>
  <c r="AH533" i="3"/>
  <c r="AH517" i="3"/>
  <c r="AH501" i="3"/>
  <c r="AH485" i="3"/>
  <c r="AH469" i="3"/>
  <c r="AH453" i="3"/>
  <c r="AH437" i="3"/>
  <c r="AH421" i="3"/>
  <c r="AH405" i="3"/>
  <c r="AH389" i="3"/>
  <c r="AH373" i="3"/>
  <c r="AH357" i="3"/>
  <c r="AH341" i="3"/>
  <c r="AH325" i="3"/>
  <c r="AH309" i="3"/>
  <c r="AH293" i="3"/>
  <c r="AH277" i="3"/>
  <c r="AH261" i="3"/>
  <c r="AH245" i="3"/>
  <c r="AH229" i="3"/>
  <c r="AH213" i="3"/>
  <c r="AH197" i="3"/>
  <c r="AH181" i="3"/>
  <c r="AH164" i="3"/>
  <c r="AH142" i="3"/>
  <c r="AH121" i="3"/>
  <c r="AH85" i="3"/>
  <c r="AH98" i="3"/>
  <c r="AH82" i="3"/>
  <c r="AH66" i="3"/>
  <c r="AH50" i="3"/>
  <c r="AH34" i="3"/>
  <c r="AH18" i="3"/>
  <c r="AH33" i="3"/>
  <c r="AH17" i="3"/>
  <c r="AH112" i="3"/>
  <c r="AH96" i="3"/>
  <c r="AH80" i="3"/>
  <c r="AH64" i="3"/>
  <c r="AH48" i="3"/>
  <c r="AH32" i="3"/>
  <c r="AH16" i="3"/>
  <c r="AH163" i="3"/>
  <c r="AH147" i="3"/>
  <c r="AH131" i="3"/>
  <c r="AH115" i="3"/>
  <c r="AH99" i="3"/>
  <c r="AH83" i="3"/>
  <c r="AH67" i="3"/>
  <c r="AH51" i="3"/>
  <c r="AH35" i="3"/>
  <c r="AH19" i="3"/>
  <c r="AA22" i="3"/>
  <c r="AA21" i="3"/>
  <c r="AC15" i="3"/>
  <c r="AC16" i="3" s="1"/>
  <c r="AC10" i="3"/>
  <c r="Y15" i="3"/>
  <c r="Y16" i="3" s="1"/>
  <c r="Y10" i="3"/>
  <c r="AA15" i="3"/>
  <c r="AA16" i="3" s="1"/>
  <c r="AA10" i="3"/>
  <c r="AE19" i="3"/>
  <c r="AE20" i="3" s="1"/>
  <c r="AE6" i="3"/>
  <c r="AE13" i="3"/>
  <c r="AE14" i="3" s="1"/>
  <c r="AE12" i="3"/>
  <c r="Y21" i="3"/>
  <c r="Y22" i="3"/>
  <c r="Y4" i="3"/>
  <c r="X21" i="2"/>
  <c r="X22" i="2"/>
  <c r="X4" i="2"/>
  <c r="V8" i="2"/>
  <c r="V17" i="2"/>
  <c r="V18" i="2" s="1"/>
  <c r="R15" i="2"/>
  <c r="R16" i="2" s="1"/>
  <c r="R10" i="2"/>
  <c r="T8" i="2"/>
  <c r="T17" i="2"/>
  <c r="T18" i="2" s="1"/>
  <c r="X15" i="2"/>
  <c r="X16" i="2" s="1"/>
  <c r="X10" i="2"/>
  <c r="R17" i="2"/>
  <c r="R18" i="2" s="1"/>
  <c r="R8" i="2"/>
  <c r="X17" i="2"/>
  <c r="X18" i="2" s="1"/>
  <c r="X8" i="2"/>
  <c r="V15" i="2"/>
  <c r="V16" i="2" s="1"/>
  <c r="V10" i="2"/>
  <c r="T15" i="2"/>
  <c r="T16" i="2" s="1"/>
  <c r="T10" i="2"/>
  <c r="L7" i="2" a="1"/>
  <c r="L7" i="2" s="1"/>
  <c r="R3" i="2" s="1"/>
  <c r="R5" i="2"/>
  <c r="X5" i="2"/>
  <c r="V5" i="2"/>
  <c r="T5" i="2"/>
  <c r="L3" i="2" a="1"/>
  <c r="L3" i="2" s="1"/>
  <c r="N3" i="2" a="1"/>
  <c r="N3" i="2" s="1"/>
  <c r="V11" i="2" s="1"/>
  <c r="M3" i="2" a="1"/>
  <c r="M3" i="2" s="1"/>
  <c r="T11" i="2" s="1"/>
  <c r="O3" i="2" a="1"/>
  <c r="O3" i="2" s="1"/>
  <c r="X11" i="2" s="1"/>
  <c r="AR4" i="5"/>
  <c r="BC1" i="3" l="1"/>
  <c r="AS4" i="5" a="1"/>
  <c r="AS4" i="5" s="1"/>
  <c r="V21" i="2"/>
  <c r="V22" i="2"/>
  <c r="AA13" i="3"/>
  <c r="AA14" i="3" s="1"/>
  <c r="BC3" i="3"/>
  <c r="AC13" i="3"/>
  <c r="AC14" i="3" s="1"/>
  <c r="BB3" i="3"/>
  <c r="BA3" i="3"/>
  <c r="AZ3" i="3"/>
  <c r="AX3" i="3"/>
  <c r="AW3" i="3"/>
  <c r="AV3" i="3"/>
  <c r="AU3" i="3"/>
  <c r="AS3" i="3"/>
  <c r="AR3" i="3"/>
  <c r="AQ3" i="3"/>
  <c r="AP3" i="3"/>
  <c r="T21" i="2"/>
  <c r="T4" i="2"/>
  <c r="AA854" i="2" l="1" a="1"/>
  <c r="AA854" i="2" s="1"/>
  <c r="AA783" i="2" a="1"/>
  <c r="AA783" i="2" s="1"/>
  <c r="AA929" i="2" a="1"/>
  <c r="AA929" i="2" s="1"/>
  <c r="AA992" i="2" a="1"/>
  <c r="AA992" i="2" s="1"/>
  <c r="AA478" i="2" a="1"/>
  <c r="AA478" i="2" s="1"/>
  <c r="AA976" i="2" a="1"/>
  <c r="AA976" i="2" s="1"/>
  <c r="AA884" i="2" a="1"/>
  <c r="AA884" i="2" s="1"/>
  <c r="AA826" i="2" a="1"/>
  <c r="AA826" i="2" s="1"/>
  <c r="AA700" i="2" a="1"/>
  <c r="AA700" i="2" s="1"/>
  <c r="AA985" i="2" a="1"/>
  <c r="AA985" i="2" s="1"/>
  <c r="AA916" i="2" a="1"/>
  <c r="AA916" i="2" s="1"/>
  <c r="AA719" i="2" a="1"/>
  <c r="AA719" i="2" s="1"/>
  <c r="AA962" i="2" a="1"/>
  <c r="AA962" i="2" s="1"/>
  <c r="AA1001" i="2" a="1"/>
  <c r="AA1001" i="2" s="1"/>
  <c r="AA969" i="2" a="1"/>
  <c r="AA969" i="2" s="1"/>
  <c r="AA847" i="2" a="1"/>
  <c r="AA847" i="2" s="1"/>
  <c r="AA698" i="2" a="1"/>
  <c r="AA698" i="2" s="1"/>
  <c r="AA54" i="2" a="1"/>
  <c r="AA54" i="2" s="1"/>
  <c r="AA1000" i="2" a="1"/>
  <c r="AA1000" i="2" s="1"/>
  <c r="AA984" i="2" a="1"/>
  <c r="AA984" i="2" s="1"/>
  <c r="AA968" i="2" a="1"/>
  <c r="AA968" i="2" s="1"/>
  <c r="AA913" i="2" a="1"/>
  <c r="AA913" i="2" s="1"/>
  <c r="AA881" i="2" a="1"/>
  <c r="AA881" i="2" s="1"/>
  <c r="AA843" i="2" a="1"/>
  <c r="AA843" i="2" s="1"/>
  <c r="AA779" i="2" a="1"/>
  <c r="AA779" i="2" s="1"/>
  <c r="AA715" i="2" a="1"/>
  <c r="AA715" i="2" s="1"/>
  <c r="AA822" i="2" a="1"/>
  <c r="AA822" i="2" s="1"/>
  <c r="AA690" i="2" a="1"/>
  <c r="AA690" i="2" s="1"/>
  <c r="AA849" i="2" a="1"/>
  <c r="AA849" i="2" s="1"/>
  <c r="AA961" i="2" a="1"/>
  <c r="AA961" i="2" s="1"/>
  <c r="AA696" i="2" a="1"/>
  <c r="AA696" i="2" s="1"/>
  <c r="AA543" i="2" a="1"/>
  <c r="AA543" i="2" s="1"/>
  <c r="AA993" i="2" a="1"/>
  <c r="AA993" i="2" s="1"/>
  <c r="AA977" i="2" a="1"/>
  <c r="AA977" i="2" s="1"/>
  <c r="AA932" i="2" a="1"/>
  <c r="AA932" i="2" s="1"/>
  <c r="AA900" i="2" a="1"/>
  <c r="AA900" i="2" s="1"/>
  <c r="AA868" i="2" a="1"/>
  <c r="AA868" i="2" s="1"/>
  <c r="AA815" i="2" a="1"/>
  <c r="AA815" i="2" s="1"/>
  <c r="AA751" i="2" a="1"/>
  <c r="AA751" i="2" s="1"/>
  <c r="AA687" i="2" a="1"/>
  <c r="AA687" i="2" s="1"/>
  <c r="AA778" i="2" a="1"/>
  <c r="AA778" i="2" s="1"/>
  <c r="AA898" i="2" a="1"/>
  <c r="AA898" i="2" s="1"/>
  <c r="AA769" i="2" a="1"/>
  <c r="AA769" i="2" s="1"/>
  <c r="AA933" i="2" a="1"/>
  <c r="AA933" i="2" s="1"/>
  <c r="AA584" i="2" a="1"/>
  <c r="AA584" i="2" s="1"/>
  <c r="AA897" i="2" a="1"/>
  <c r="AA897" i="2" s="1"/>
  <c r="AA865" i="2" a="1"/>
  <c r="AA865" i="2" s="1"/>
  <c r="AA811" i="2" a="1"/>
  <c r="AA811" i="2" s="1"/>
  <c r="AA747" i="2" a="1"/>
  <c r="AA747" i="2" s="1"/>
  <c r="AA855" i="2" a="1"/>
  <c r="AA855" i="2" s="1"/>
  <c r="AA774" i="2" a="1"/>
  <c r="AA774" i="2" s="1"/>
  <c r="AA895" i="2" a="1"/>
  <c r="AA895" i="2" s="1"/>
  <c r="AA761" i="2" a="1"/>
  <c r="AA761" i="2" s="1"/>
  <c r="AA853" i="2" a="1"/>
  <c r="AA853" i="2" s="1"/>
  <c r="AA661" i="2" a="1"/>
  <c r="AA661" i="2" s="1"/>
  <c r="AA253" i="2" a="1"/>
  <c r="AA253" i="2" s="1"/>
  <c r="F3" i="2"/>
  <c r="H3" i="2"/>
  <c r="G3" i="2"/>
  <c r="AA997" i="2" a="1"/>
  <c r="AA997" i="2" s="1"/>
  <c r="AA989" i="2" a="1"/>
  <c r="AA989" i="2" s="1"/>
  <c r="AA981" i="2" a="1"/>
  <c r="AA981" i="2" s="1"/>
  <c r="AA973" i="2" a="1"/>
  <c r="AA973" i="2" s="1"/>
  <c r="AA965" i="2" a="1"/>
  <c r="AA965" i="2" s="1"/>
  <c r="AA924" i="2" a="1"/>
  <c r="AA924" i="2" s="1"/>
  <c r="AA908" i="2" a="1"/>
  <c r="AA908" i="2" s="1"/>
  <c r="AA892" i="2" a="1"/>
  <c r="AA892" i="2" s="1"/>
  <c r="AA876" i="2" a="1"/>
  <c r="AA876" i="2" s="1"/>
  <c r="AA860" i="2" a="1"/>
  <c r="AA860" i="2" s="1"/>
  <c r="AA831" i="2" a="1"/>
  <c r="AA831" i="2" s="1"/>
  <c r="AA799" i="2" a="1"/>
  <c r="AA799" i="2" s="1"/>
  <c r="AA767" i="2" a="1"/>
  <c r="AA767" i="2" s="1"/>
  <c r="AA735" i="2" a="1"/>
  <c r="AA735" i="2" s="1"/>
  <c r="AA703" i="2" a="1"/>
  <c r="AA703" i="2" s="1"/>
  <c r="AA842" i="2" a="1"/>
  <c r="AA842" i="2" s="1"/>
  <c r="AA809" i="2" a="1"/>
  <c r="AA809" i="2" s="1"/>
  <c r="AA738" i="2" a="1"/>
  <c r="AA738" i="2" s="1"/>
  <c r="AA919" i="2" a="1"/>
  <c r="AA919" i="2" s="1"/>
  <c r="AA878" i="2" a="1"/>
  <c r="AA878" i="2" s="1"/>
  <c r="AA807" i="2" a="1"/>
  <c r="AA807" i="2" s="1"/>
  <c r="AA725" i="2" a="1"/>
  <c r="AA725" i="2" s="1"/>
  <c r="AA949" i="2" a="1"/>
  <c r="AA949" i="2" s="1"/>
  <c r="AA792" i="2" a="1"/>
  <c r="AA792" i="2" s="1"/>
  <c r="AA615" i="2" a="1"/>
  <c r="AA615" i="2" s="1"/>
  <c r="AA559" i="2" a="1"/>
  <c r="AA559" i="2" s="1"/>
  <c r="AA410" i="2" a="1"/>
  <c r="AA410" i="2" s="1"/>
  <c r="AA996" i="2" a="1"/>
  <c r="AA996" i="2" s="1"/>
  <c r="AA988" i="2" a="1"/>
  <c r="AA988" i="2" s="1"/>
  <c r="AA980" i="2" a="1"/>
  <c r="AA980" i="2" s="1"/>
  <c r="AA972" i="2" a="1"/>
  <c r="AA972" i="2" s="1"/>
  <c r="AA964" i="2" a="1"/>
  <c r="AA964" i="2" s="1"/>
  <c r="AA921" i="2" a="1"/>
  <c r="AA921" i="2" s="1"/>
  <c r="AA905" i="2" a="1"/>
  <c r="AA905" i="2" s="1"/>
  <c r="AA889" i="2" a="1"/>
  <c r="AA889" i="2" s="1"/>
  <c r="AA873" i="2" a="1"/>
  <c r="AA873" i="2" s="1"/>
  <c r="AA857" i="2" a="1"/>
  <c r="AA857" i="2" s="1"/>
  <c r="AA827" i="2" a="1"/>
  <c r="AA827" i="2" s="1"/>
  <c r="AA795" i="2" a="1"/>
  <c r="AA795" i="2" s="1"/>
  <c r="AA763" i="2" a="1"/>
  <c r="AA763" i="2" s="1"/>
  <c r="AA731" i="2" a="1"/>
  <c r="AA731" i="2" s="1"/>
  <c r="AA699" i="2" a="1"/>
  <c r="AA699" i="2" s="1"/>
  <c r="AA838" i="2" a="1"/>
  <c r="AA838" i="2" s="1"/>
  <c r="AA808" i="2" a="1"/>
  <c r="AA808" i="2" s="1"/>
  <c r="AA734" i="2" a="1"/>
  <c r="AA734" i="2" s="1"/>
  <c r="AA918" i="2" a="1"/>
  <c r="AA918" i="2" s="1"/>
  <c r="AA874" i="2" a="1"/>
  <c r="AA874" i="2" s="1"/>
  <c r="AA806" i="2" a="1"/>
  <c r="AA806" i="2" s="1"/>
  <c r="AA721" i="2" a="1"/>
  <c r="AA721" i="2" s="1"/>
  <c r="AA948" i="2" a="1"/>
  <c r="AA948" i="2" s="1"/>
  <c r="AA776" i="2" a="1"/>
  <c r="AA776" i="2" s="1"/>
  <c r="AA609" i="2" a="1"/>
  <c r="AA609" i="2" s="1"/>
  <c r="AA558" i="2" a="1"/>
  <c r="AA558" i="2" s="1"/>
  <c r="AA523" i="2" a="1"/>
  <c r="AA523" i="2" s="1"/>
  <c r="AA794" i="2" a="1"/>
  <c r="AA794" i="2" s="1"/>
  <c r="AA762" i="2" a="1"/>
  <c r="AA762" i="2" s="1"/>
  <c r="AA718" i="2" a="1"/>
  <c r="AA718" i="2" s="1"/>
  <c r="AA930" i="2" a="1"/>
  <c r="AA930" i="2" s="1"/>
  <c r="AA910" i="2" a="1"/>
  <c r="AA910" i="2" s="1"/>
  <c r="AA887" i="2" a="1"/>
  <c r="AA887" i="2" s="1"/>
  <c r="AA866" i="2" a="1"/>
  <c r="AA866" i="2" s="1"/>
  <c r="AA833" i="2" a="1"/>
  <c r="AA833" i="2" s="1"/>
  <c r="AA789" i="2" a="1"/>
  <c r="AA789" i="2" s="1"/>
  <c r="AA745" i="2" a="1"/>
  <c r="AA745" i="2" s="1"/>
  <c r="AA705" i="2" a="1"/>
  <c r="AA705" i="2" s="1"/>
  <c r="AA957" i="2" a="1"/>
  <c r="AA957" i="2" s="1"/>
  <c r="AA941" i="2" a="1"/>
  <c r="AA941" i="2" s="1"/>
  <c r="AA828" i="2" a="1"/>
  <c r="AA828" i="2" s="1"/>
  <c r="AA744" i="2" a="1"/>
  <c r="AA744" i="2" s="1"/>
  <c r="AA663" i="2" a="1"/>
  <c r="AA663" i="2" s="1"/>
  <c r="AA670" i="2" a="1"/>
  <c r="AA670" i="2" s="1"/>
  <c r="AA606" i="2" a="1"/>
  <c r="AA606" i="2" s="1"/>
  <c r="AA668" i="2" a="1"/>
  <c r="AA668" i="2" s="1"/>
  <c r="AA469" i="2" a="1"/>
  <c r="AA469" i="2" s="1"/>
  <c r="AA495" i="2" a="1"/>
  <c r="AA495" i="2" s="1"/>
  <c r="AA790" i="2" a="1"/>
  <c r="AA790" i="2" s="1"/>
  <c r="AA754" i="2" a="1"/>
  <c r="AA754" i="2" s="1"/>
  <c r="AA714" i="2" a="1"/>
  <c r="AA714" i="2" s="1"/>
  <c r="AA927" i="2" a="1"/>
  <c r="AA927" i="2" s="1"/>
  <c r="AA906" i="2" a="1"/>
  <c r="AA906" i="2" s="1"/>
  <c r="AA886" i="2" a="1"/>
  <c r="AA886" i="2" s="1"/>
  <c r="AA863" i="2" a="1"/>
  <c r="AA863" i="2" s="1"/>
  <c r="AA825" i="2" a="1"/>
  <c r="AA825" i="2" s="1"/>
  <c r="AA785" i="2" a="1"/>
  <c r="AA785" i="2" s="1"/>
  <c r="AA741" i="2" a="1"/>
  <c r="AA741" i="2" s="1"/>
  <c r="AA697" i="2" a="1"/>
  <c r="AA697" i="2" s="1"/>
  <c r="AA956" i="2" a="1"/>
  <c r="AA956" i="2" s="1"/>
  <c r="AA940" i="2" a="1"/>
  <c r="AA940" i="2" s="1"/>
  <c r="AA824" i="2" a="1"/>
  <c r="AA824" i="2" s="1"/>
  <c r="AA732" i="2" a="1"/>
  <c r="AA732" i="2" s="1"/>
  <c r="AA647" i="2" a="1"/>
  <c r="AA647" i="2" s="1"/>
  <c r="AA666" i="2" a="1"/>
  <c r="AA666" i="2" s="1"/>
  <c r="AA587" i="2" a="1"/>
  <c r="AA587" i="2" s="1"/>
  <c r="AA636" i="2" a="1"/>
  <c r="AA636" i="2" s="1"/>
  <c r="AA442" i="2" a="1"/>
  <c r="AA442" i="2" s="1"/>
  <c r="AA12" i="2" a="1"/>
  <c r="AA12" i="2" s="1"/>
  <c r="AA167" i="2" a="1"/>
  <c r="AA167" i="2" s="1"/>
  <c r="AA241" i="2" a="1"/>
  <c r="AA241" i="2" s="1"/>
  <c r="AA503" i="2" a="1"/>
  <c r="AA503" i="2" s="1"/>
  <c r="AA389" i="2" a="1"/>
  <c r="AA389" i="2" s="1"/>
  <c r="AA421" i="2" a="1"/>
  <c r="AA421" i="2" s="1"/>
  <c r="AA445" i="2" a="1"/>
  <c r="AA445" i="2" s="1"/>
  <c r="AA531" i="2" a="1"/>
  <c r="AA531" i="2" s="1"/>
  <c r="AA586" i="2" a="1"/>
  <c r="AA586" i="2" s="1"/>
  <c r="AA672" i="2" a="1"/>
  <c r="AA672" i="2" s="1"/>
  <c r="AA566" i="2" a="1"/>
  <c r="AA566" i="2" s="1"/>
  <c r="AA629" i="2" a="1"/>
  <c r="AA629" i="2" s="1"/>
  <c r="AA588" i="2" a="1"/>
  <c r="AA588" i="2" s="1"/>
  <c r="AA585" i="2" a="1"/>
  <c r="AA585" i="2" s="1"/>
  <c r="AA631" i="2" a="1"/>
  <c r="AA631" i="2" s="1"/>
  <c r="AA667" i="2" a="1"/>
  <c r="AA667" i="2" s="1"/>
  <c r="AA712" i="2" a="1"/>
  <c r="AA712" i="2" s="1"/>
  <c r="AA760" i="2" a="1"/>
  <c r="AA760" i="2" s="1"/>
  <c r="AA796" i="2" a="1"/>
  <c r="AA796" i="2" s="1"/>
  <c r="AA840" i="2" a="1"/>
  <c r="AA840" i="2" s="1"/>
  <c r="AA936" i="2" a="1"/>
  <c r="AA936" i="2" s="1"/>
  <c r="AA944" i="2" a="1"/>
  <c r="AA944" i="2" s="1"/>
  <c r="AA952" i="2" a="1"/>
  <c r="AA952" i="2" s="1"/>
  <c r="AA958" i="2" a="1"/>
  <c r="AA958" i="2" s="1"/>
  <c r="AA689" i="2" a="1"/>
  <c r="AA689" i="2" s="1"/>
  <c r="AA709" i="2" a="1"/>
  <c r="AA709" i="2" s="1"/>
  <c r="AA729" i="2" a="1"/>
  <c r="AA729" i="2" s="1"/>
  <c r="AA753" i="2" a="1"/>
  <c r="AA753" i="2" s="1"/>
  <c r="AA773" i="2" a="1"/>
  <c r="AA773" i="2" s="1"/>
  <c r="AA793" i="2" a="1"/>
  <c r="AA793" i="2" s="1"/>
  <c r="AA817" i="2" a="1"/>
  <c r="AA817" i="2" s="1"/>
  <c r="AA837" i="2" a="1"/>
  <c r="AA837" i="2" s="1"/>
  <c r="AA858" i="2" a="1"/>
  <c r="AA858" i="2" s="1"/>
  <c r="AA870" i="2" a="1"/>
  <c r="AA870" i="2" s="1"/>
  <c r="AA879" i="2" a="1"/>
  <c r="AA879" i="2" s="1"/>
  <c r="AA890" i="2" a="1"/>
  <c r="AA890" i="2" s="1"/>
  <c r="AA902" i="2" a="1"/>
  <c r="AA902" i="2" s="1"/>
  <c r="AA911" i="2" a="1"/>
  <c r="AA911" i="2" s="1"/>
  <c r="AA922" i="2" a="1"/>
  <c r="AA922" i="2" s="1"/>
  <c r="AA681" i="2" a="1"/>
  <c r="AA681" i="2" s="1"/>
  <c r="AA702" i="2" a="1"/>
  <c r="AA702" i="2" s="1"/>
  <c r="AA722" i="2" a="1"/>
  <c r="AA722" i="2" s="1"/>
  <c r="AA746" i="2" a="1"/>
  <c r="AA746" i="2" s="1"/>
  <c r="AA766" i="2" a="1"/>
  <c r="AA766" i="2" s="1"/>
  <c r="AA782" i="2" a="1"/>
  <c r="AA782" i="2" s="1"/>
  <c r="AA798" i="2" a="1"/>
  <c r="AA798" i="2" s="1"/>
  <c r="AA814" i="2" a="1"/>
  <c r="AA814" i="2" s="1"/>
  <c r="AA830" i="2" a="1"/>
  <c r="AA830" i="2" s="1"/>
  <c r="AA846" i="2" a="1"/>
  <c r="AA846" i="2" s="1"/>
  <c r="AA691" i="2" a="1"/>
  <c r="AA691" i="2" s="1"/>
  <c r="AA707" i="2" a="1"/>
  <c r="AA707" i="2" s="1"/>
  <c r="AA723" i="2" a="1"/>
  <c r="AA723" i="2" s="1"/>
  <c r="AA739" i="2" a="1"/>
  <c r="AA739" i="2" s="1"/>
  <c r="AA755" i="2" a="1"/>
  <c r="AA755" i="2" s="1"/>
  <c r="AA771" i="2" a="1"/>
  <c r="AA771" i="2" s="1"/>
  <c r="AA787" i="2" a="1"/>
  <c r="AA787" i="2" s="1"/>
  <c r="AA803" i="2" a="1"/>
  <c r="AA803" i="2" s="1"/>
  <c r="AA819" i="2" a="1"/>
  <c r="AA819" i="2" s="1"/>
  <c r="AA835" i="2" a="1"/>
  <c r="AA835" i="2" s="1"/>
  <c r="AA851" i="2" a="1"/>
  <c r="AA851" i="2" s="1"/>
  <c r="AA861" i="2" a="1"/>
  <c r="AA861" i="2" s="1"/>
  <c r="AA869" i="2" a="1"/>
  <c r="AA869" i="2" s="1"/>
  <c r="AA877" i="2" a="1"/>
  <c r="AA877" i="2" s="1"/>
  <c r="AA885" i="2" a="1"/>
  <c r="AA885" i="2" s="1"/>
  <c r="AA893" i="2" a="1"/>
  <c r="AA893" i="2" s="1"/>
  <c r="AA901" i="2" a="1"/>
  <c r="AA901" i="2" s="1"/>
  <c r="AA909" i="2" a="1"/>
  <c r="AA909" i="2" s="1"/>
  <c r="AA917" i="2" a="1"/>
  <c r="AA917" i="2" s="1"/>
  <c r="AA925" i="2" a="1"/>
  <c r="AA925" i="2" s="1"/>
  <c r="AA4" i="2" a="1"/>
  <c r="AA4" i="2" s="1"/>
  <c r="AA966" i="2" a="1"/>
  <c r="AA966" i="2" s="1"/>
  <c r="AA970" i="2" a="1"/>
  <c r="AA970" i="2" s="1"/>
  <c r="AA974" i="2" a="1"/>
  <c r="AA974" i="2" s="1"/>
  <c r="AA978" i="2" a="1"/>
  <c r="AA978" i="2" s="1"/>
  <c r="AA982" i="2" a="1"/>
  <c r="AA982" i="2" s="1"/>
  <c r="AA986" i="2" a="1"/>
  <c r="AA986" i="2" s="1"/>
  <c r="AA990" i="2" a="1"/>
  <c r="AA990" i="2" s="1"/>
  <c r="AA994" i="2" a="1"/>
  <c r="AA994" i="2" s="1"/>
  <c r="AA998" i="2" a="1"/>
  <c r="AA998" i="2" s="1"/>
  <c r="AA1002" i="2" a="1"/>
  <c r="AA1002" i="2" s="1"/>
  <c r="AA310" i="2" a="1"/>
  <c r="AA310" i="2" s="1"/>
  <c r="AA247" i="2" a="1"/>
  <c r="AA247" i="2" s="1"/>
  <c r="AA511" i="2" a="1"/>
  <c r="AA511" i="2" s="1"/>
  <c r="AA401" i="2" a="1"/>
  <c r="AA401" i="2" s="1"/>
  <c r="AA425" i="2" a="1"/>
  <c r="AA425" i="2" s="1"/>
  <c r="AA453" i="2" a="1"/>
  <c r="AA453" i="2" s="1"/>
  <c r="AA542" i="2" a="1"/>
  <c r="AA542" i="2" s="1"/>
  <c r="AA590" i="2" a="1"/>
  <c r="AA590" i="2" s="1"/>
  <c r="AA550" i="2" a="1"/>
  <c r="AA550" i="2" s="1"/>
  <c r="AA583" i="2" a="1"/>
  <c r="AA583" i="2" s="1"/>
  <c r="AA633" i="2" a="1"/>
  <c r="AA633" i="2" s="1"/>
  <c r="AA634" i="2" a="1"/>
  <c r="AA634" i="2" s="1"/>
  <c r="AA607" i="2" a="1"/>
  <c r="AA607" i="2" s="1"/>
  <c r="AA635" i="2" a="1"/>
  <c r="AA635" i="2" s="1"/>
  <c r="AA679" i="2" a="1"/>
  <c r="AA679" i="2" s="1"/>
  <c r="AA728" i="2" a="1"/>
  <c r="AA728" i="2" s="1"/>
  <c r="AA764" i="2" a="1"/>
  <c r="AA764" i="2" s="1"/>
  <c r="AA805" i="2" a="1"/>
  <c r="AA805" i="2" s="1"/>
  <c r="AA844" i="2" a="1"/>
  <c r="AA844" i="2" s="1"/>
  <c r="AA937" i="2" a="1"/>
  <c r="AA937" i="2" s="1"/>
  <c r="AA945" i="2" a="1"/>
  <c r="AA945" i="2" s="1"/>
  <c r="AA953" i="2" a="1"/>
  <c r="AA953" i="2" s="1"/>
  <c r="AA960" i="2" a="1"/>
  <c r="AA960" i="2" s="1"/>
  <c r="AA693" i="2" a="1"/>
  <c r="AA693" i="2" s="1"/>
  <c r="AA713" i="2" a="1"/>
  <c r="AA713" i="2" s="1"/>
  <c r="AA737" i="2" a="1"/>
  <c r="AA737" i="2" s="1"/>
  <c r="AA757" i="2" a="1"/>
  <c r="AA757" i="2" s="1"/>
  <c r="AA777" i="2" a="1"/>
  <c r="AA777" i="2" s="1"/>
  <c r="AA801" i="2" a="1"/>
  <c r="AA801" i="2" s="1"/>
  <c r="AA821" i="2" a="1"/>
  <c r="AA821" i="2" s="1"/>
  <c r="AA841" i="2" a="1"/>
  <c r="AA841" i="2" s="1"/>
  <c r="AA862" i="2" a="1"/>
  <c r="AA862" i="2" s="1"/>
  <c r="AA871" i="2" a="1"/>
  <c r="AA871" i="2" s="1"/>
  <c r="AA882" i="2" a="1"/>
  <c r="AA882" i="2" s="1"/>
  <c r="AA894" i="2" a="1"/>
  <c r="AA894" i="2" s="1"/>
  <c r="AA903" i="2" a="1"/>
  <c r="AA903" i="2" s="1"/>
  <c r="AA914" i="2" a="1"/>
  <c r="AA914" i="2" s="1"/>
  <c r="AA926" i="2" a="1"/>
  <c r="AA926" i="2" s="1"/>
  <c r="AA686" i="2" a="1"/>
  <c r="AA686" i="2" s="1"/>
  <c r="AA706" i="2" a="1"/>
  <c r="AA706" i="2" s="1"/>
  <c r="AA730" i="2" a="1"/>
  <c r="AA730" i="2" s="1"/>
  <c r="AA750" i="2" a="1"/>
  <c r="AA750" i="2" s="1"/>
  <c r="AA770" i="2" a="1"/>
  <c r="AA770" i="2" s="1"/>
  <c r="AA786" i="2" a="1"/>
  <c r="AA786" i="2" s="1"/>
  <c r="AA802" i="2" a="1"/>
  <c r="AA802" i="2" s="1"/>
  <c r="AA818" i="2" a="1"/>
  <c r="AA818" i="2" s="1"/>
  <c r="AA834" i="2" a="1"/>
  <c r="AA834" i="2" s="1"/>
  <c r="AA850" i="2" a="1"/>
  <c r="AA850" i="2" s="1"/>
  <c r="AA695" i="2" a="1"/>
  <c r="AA695" i="2" s="1"/>
  <c r="AA711" i="2" a="1"/>
  <c r="AA711" i="2" s="1"/>
  <c r="AA727" i="2" a="1"/>
  <c r="AA727" i="2" s="1"/>
  <c r="AA743" i="2" a="1"/>
  <c r="AA743" i="2" s="1"/>
  <c r="AA759" i="2" a="1"/>
  <c r="AA759" i="2" s="1"/>
  <c r="AA775" i="2" a="1"/>
  <c r="AA775" i="2" s="1"/>
  <c r="AA791" i="2" a="1"/>
  <c r="AA791" i="2" s="1"/>
  <c r="AA810" i="2" a="1"/>
  <c r="AA810" i="2" s="1"/>
  <c r="AA823" i="2" a="1"/>
  <c r="AA823" i="2" s="1"/>
  <c r="AA839" i="2" a="1"/>
  <c r="AA839" i="2" s="1"/>
  <c r="AA856" i="2" a="1"/>
  <c r="AA856" i="2" s="1"/>
  <c r="AA864" i="2" a="1"/>
  <c r="AA864" i="2" s="1"/>
  <c r="AA872" i="2" a="1"/>
  <c r="AA872" i="2" s="1"/>
  <c r="AA880" i="2" a="1"/>
  <c r="AA880" i="2" s="1"/>
  <c r="AA888" i="2" a="1"/>
  <c r="AA888" i="2" s="1"/>
  <c r="AA896" i="2" a="1"/>
  <c r="AA896" i="2" s="1"/>
  <c r="AA904" i="2" a="1"/>
  <c r="AA904" i="2" s="1"/>
  <c r="AA912" i="2" a="1"/>
  <c r="AA912" i="2" s="1"/>
  <c r="AA920" i="2" a="1"/>
  <c r="AA920" i="2" s="1"/>
  <c r="AA928" i="2" a="1"/>
  <c r="AA928" i="2" s="1"/>
  <c r="AA963" i="2" a="1"/>
  <c r="AA963" i="2" s="1"/>
  <c r="AA967" i="2" a="1"/>
  <c r="AA967" i="2" s="1"/>
  <c r="AA971" i="2" a="1"/>
  <c r="AA971" i="2" s="1"/>
  <c r="AA975" i="2" a="1"/>
  <c r="AA975" i="2" s="1"/>
  <c r="AA979" i="2" a="1"/>
  <c r="AA979" i="2" s="1"/>
  <c r="AA983" i="2" a="1"/>
  <c r="AA983" i="2" s="1"/>
  <c r="AA987" i="2" a="1"/>
  <c r="AA987" i="2" s="1"/>
  <c r="AA991" i="2" a="1"/>
  <c r="AA991" i="2" s="1"/>
  <c r="AA995" i="2" a="1"/>
  <c r="AA995" i="2" s="1"/>
  <c r="AA999" i="2" a="1"/>
  <c r="AA999" i="2" s="1"/>
  <c r="AA1003" i="2" a="1"/>
  <c r="AA1003" i="2" s="1"/>
  <c r="AA342" i="2" a="1"/>
  <c r="AA342" i="2" s="1"/>
  <c r="AA317" i="2" a="1"/>
  <c r="AA317" i="2" s="1"/>
  <c r="AA520" i="2" a="1"/>
  <c r="AA520" i="2" s="1"/>
  <c r="AA402" i="2" a="1"/>
  <c r="AA402" i="2" s="1"/>
  <c r="AA433" i="2" a="1"/>
  <c r="AA433" i="2" s="1"/>
  <c r="AA465" i="2" a="1"/>
  <c r="AA465" i="2" s="1"/>
  <c r="AA812" i="2" a="1"/>
  <c r="AA812" i="2" s="1"/>
  <c r="AA780" i="2" a="1"/>
  <c r="AA780" i="2" s="1"/>
  <c r="AA748" i="2" a="1"/>
  <c r="AA748" i="2" s="1"/>
  <c r="AA716" i="2" a="1"/>
  <c r="AA716" i="2" s="1"/>
  <c r="AA683" i="2" a="1"/>
  <c r="AA683" i="2" s="1"/>
  <c r="AA651" i="2" a="1"/>
  <c r="AA651" i="2" s="1"/>
  <c r="AA619" i="2" a="1"/>
  <c r="AA619" i="2" s="1"/>
  <c r="AA589" i="2" a="1"/>
  <c r="AA589" i="2" s="1"/>
  <c r="AA638" i="2" a="1"/>
  <c r="AA638" i="2" s="1"/>
  <c r="AA665" i="2" a="1"/>
  <c r="AA665" i="2" s="1"/>
  <c r="AA608" i="2" a="1"/>
  <c r="AA608" i="2" s="1"/>
  <c r="AA567" i="2" a="1"/>
  <c r="AA567" i="2" s="1"/>
  <c r="AA551" i="2" a="1"/>
  <c r="AA551" i="2" s="1"/>
  <c r="AA640" i="2" a="1"/>
  <c r="AA640" i="2" s="1"/>
  <c r="AA482" i="2" a="1"/>
  <c r="AA482" i="2" s="1"/>
  <c r="AA534" i="2" a="1"/>
  <c r="AA534" i="2" s="1"/>
  <c r="AA457" i="2" a="1"/>
  <c r="AA457" i="2" s="1"/>
  <c r="AA434" i="2" a="1"/>
  <c r="AA434" i="2" s="1"/>
  <c r="AA413" i="2" a="1"/>
  <c r="AA413" i="2" s="1"/>
  <c r="AA393" i="2" a="1"/>
  <c r="AA393" i="2" s="1"/>
  <c r="AA512" i="2" a="1"/>
  <c r="AA512" i="2" s="1"/>
  <c r="AA471" i="2" a="1"/>
  <c r="AA471" i="2" s="1"/>
  <c r="AA300" i="2" a="1"/>
  <c r="AA300" i="2" s="1"/>
  <c r="AA326" i="2" a="1"/>
  <c r="AA326" i="2" s="1"/>
  <c r="AA147" i="2" a="1"/>
  <c r="AA147" i="2" s="1"/>
  <c r="AA354" i="2" a="1"/>
  <c r="AA354" i="2" s="1"/>
  <c r="AA199" i="2" a="1"/>
  <c r="AA199" i="2" s="1"/>
  <c r="AA44" i="2" a="1"/>
  <c r="AA44" i="2" s="1"/>
  <c r="AA36" i="2" a="1"/>
  <c r="AA36" i="2" s="1"/>
  <c r="AA88" i="2" a="1"/>
  <c r="AA88" i="2" s="1"/>
  <c r="AA207" i="2" a="1"/>
  <c r="AA207" i="2" s="1"/>
  <c r="AA299" i="2" a="1"/>
  <c r="AA299" i="2" s="1"/>
  <c r="AA370" i="2" a="1"/>
  <c r="AA370" i="2" s="1"/>
  <c r="AA308" i="2" a="1"/>
  <c r="AA308" i="2" s="1"/>
  <c r="AA271" i="2" a="1"/>
  <c r="AA271" i="2" s="1"/>
  <c r="AA472" i="2" a="1"/>
  <c r="AA472" i="2" s="1"/>
  <c r="AA504" i="2" a="1"/>
  <c r="AA504" i="2" s="1"/>
  <c r="AA515" i="2" a="1"/>
  <c r="AA515" i="2" s="1"/>
  <c r="AA385" i="2" a="1"/>
  <c r="AA385" i="2" s="1"/>
  <c r="AA394" i="2" a="1"/>
  <c r="AA394" i="2" s="1"/>
  <c r="AA405" i="2" a="1"/>
  <c r="AA405" i="2" s="1"/>
  <c r="AA417" i="2" a="1"/>
  <c r="AA417" i="2" s="1"/>
  <c r="AA426" i="2" a="1"/>
  <c r="AA426" i="2" s="1"/>
  <c r="AA437" i="2" a="1"/>
  <c r="AA437" i="2" s="1"/>
  <c r="AA449" i="2" a="1"/>
  <c r="AA449" i="2" s="1"/>
  <c r="AA458" i="2" a="1"/>
  <c r="AA458" i="2" s="1"/>
  <c r="AA481" i="2" a="1"/>
  <c r="AA481" i="2" s="1"/>
  <c r="AA538" i="2" a="1"/>
  <c r="AA538" i="2" s="1"/>
  <c r="AA546" i="2" a="1"/>
  <c r="AA546" i="2" s="1"/>
  <c r="AA527" i="2" a="1"/>
  <c r="AA527" i="2" s="1"/>
  <c r="AA620" i="2" a="1"/>
  <c r="AA620" i="2" s="1"/>
  <c r="AA652" i="2" a="1"/>
  <c r="AA652" i="2" s="1"/>
  <c r="AA684" i="2" a="1"/>
  <c r="AA684" i="2" s="1"/>
  <c r="AA554" i="2" a="1"/>
  <c r="AA554" i="2" s="1"/>
  <c r="AA562" i="2" a="1"/>
  <c r="AA562" i="2" s="1"/>
  <c r="AA570" i="2" a="1"/>
  <c r="AA570" i="2" s="1"/>
  <c r="AA598" i="2" a="1"/>
  <c r="AA598" i="2" s="1"/>
  <c r="AA614" i="2" a="1"/>
  <c r="AA614" i="2" s="1"/>
  <c r="AA645" i="2" a="1"/>
  <c r="AA645" i="2" s="1"/>
  <c r="AA677" i="2" a="1"/>
  <c r="AA677" i="2" s="1"/>
  <c r="AA618" i="2" a="1"/>
  <c r="AA618" i="2" s="1"/>
  <c r="AA650" i="2" a="1"/>
  <c r="AA650" i="2" s="1"/>
  <c r="AA682" i="2" a="1"/>
  <c r="AA682" i="2" s="1"/>
  <c r="AA599" i="2" a="1"/>
  <c r="AA599" i="2" s="1"/>
  <c r="AA611" i="2" a="1"/>
  <c r="AA611" i="2" s="1"/>
  <c r="AA623" i="2" a="1"/>
  <c r="AA623" i="2" s="1"/>
  <c r="AA639" i="2" a="1"/>
  <c r="AA639" i="2" s="1"/>
  <c r="AA655" i="2" a="1"/>
  <c r="AA655" i="2" s="1"/>
  <c r="AA671" i="2" a="1"/>
  <c r="AA671" i="2" s="1"/>
  <c r="AA688" i="2" a="1"/>
  <c r="AA688" i="2" s="1"/>
  <c r="AA704" i="2" a="1"/>
  <c r="AA704" i="2" s="1"/>
  <c r="AA720" i="2" a="1"/>
  <c r="AA720" i="2" s="1"/>
  <c r="AA736" i="2" a="1"/>
  <c r="AA736" i="2" s="1"/>
  <c r="AA752" i="2" a="1"/>
  <c r="AA752" i="2" s="1"/>
  <c r="AA768" i="2" a="1"/>
  <c r="AA768" i="2" s="1"/>
  <c r="AA784" i="2" a="1"/>
  <c r="AA784" i="2" s="1"/>
  <c r="AA800" i="2" a="1"/>
  <c r="AA800" i="2" s="1"/>
  <c r="AA816" i="2" a="1"/>
  <c r="AA816" i="2" s="1"/>
  <c r="AA832" i="2" a="1"/>
  <c r="AA832" i="2" s="1"/>
  <c r="AA848" i="2" a="1"/>
  <c r="AA848" i="2" s="1"/>
  <c r="AA934" i="2" a="1"/>
  <c r="AA934" i="2" s="1"/>
  <c r="AA938" i="2" a="1"/>
  <c r="AA938" i="2" s="1"/>
  <c r="AA942" i="2" a="1"/>
  <c r="AA942" i="2" s="1"/>
  <c r="AA946" i="2" a="1"/>
  <c r="AA946" i="2" s="1"/>
  <c r="AA950" i="2" a="1"/>
  <c r="AA950" i="2" s="1"/>
  <c r="AA954" i="2" a="1"/>
  <c r="AA954" i="2" s="1"/>
  <c r="AA53" i="2" a="1"/>
  <c r="AA53" i="2" s="1"/>
  <c r="AA124" i="2" a="1"/>
  <c r="AA124" i="2" s="1"/>
  <c r="AA231" i="2" a="1"/>
  <c r="AA231" i="2" s="1"/>
  <c r="AA338" i="2" a="1"/>
  <c r="AA338" i="2" s="1"/>
  <c r="AA374" i="2" a="1"/>
  <c r="AA374" i="2" s="1"/>
  <c r="AA233" i="2" a="1"/>
  <c r="AA233" i="2" s="1"/>
  <c r="AA309" i="2" a="1"/>
  <c r="AA309" i="2" s="1"/>
  <c r="AA480" i="2" a="1"/>
  <c r="AA480" i="2" s="1"/>
  <c r="AA507" i="2" a="1"/>
  <c r="AA507" i="2" s="1"/>
  <c r="AA519" i="2" a="1"/>
  <c r="AA519" i="2" s="1"/>
  <c r="AA386" i="2" a="1"/>
  <c r="AA386" i="2" s="1"/>
  <c r="AA397" i="2" a="1"/>
  <c r="AA397" i="2" s="1"/>
  <c r="AA409" i="2" a="1"/>
  <c r="AA409" i="2" s="1"/>
  <c r="AA418" i="2" a="1"/>
  <c r="AA418" i="2" s="1"/>
  <c r="AA429" i="2" a="1"/>
  <c r="AA429" i="2" s="1"/>
  <c r="AA441" i="2" a="1"/>
  <c r="AA441" i="2" s="1"/>
  <c r="AA450" i="2" a="1"/>
  <c r="AA450" i="2" s="1"/>
  <c r="AA461" i="2" a="1"/>
  <c r="AA461" i="2" s="1"/>
  <c r="AA530" i="2" a="1"/>
  <c r="AA530" i="2" s="1"/>
  <c r="AA539" i="2" a="1"/>
  <c r="AA539" i="2" s="1"/>
  <c r="AA466" i="2" a="1"/>
  <c r="AA466" i="2" s="1"/>
  <c r="AA574" i="2" a="1"/>
  <c r="AA574" i="2" s="1"/>
  <c r="AA624" i="2" a="1"/>
  <c r="AA624" i="2" s="1"/>
  <c r="AA656" i="2" a="1"/>
  <c r="AA656" i="2" s="1"/>
  <c r="AA547" i="2" a="1"/>
  <c r="AA547" i="2" s="1"/>
  <c r="AA555" i="2" a="1"/>
  <c r="AA555" i="2" s="1"/>
  <c r="AA563" i="2" a="1"/>
  <c r="AA563" i="2" s="1"/>
  <c r="AA571" i="2" a="1"/>
  <c r="AA571" i="2" s="1"/>
  <c r="AA600" i="2" a="1"/>
  <c r="AA600" i="2" s="1"/>
  <c r="AA617" i="2" a="1"/>
  <c r="AA617" i="2" s="1"/>
  <c r="AA649" i="2" a="1"/>
  <c r="AA649" i="2" s="1"/>
  <c r="AA572" i="2" a="1"/>
  <c r="AA572" i="2" s="1"/>
  <c r="AA622" i="2" a="1"/>
  <c r="AA622" i="2" s="1"/>
  <c r="AA654" i="2" a="1"/>
  <c r="AA654" i="2" s="1"/>
  <c r="AA573" i="2" a="1"/>
  <c r="AA573" i="2" s="1"/>
  <c r="AA601" i="2" a="1"/>
  <c r="AA601" i="2" s="1"/>
  <c r="AA613" i="2" a="1"/>
  <c r="AA613" i="2" s="1"/>
  <c r="AA627" i="2" a="1"/>
  <c r="AA627" i="2" s="1"/>
  <c r="AA643" i="2" a="1"/>
  <c r="AA643" i="2" s="1"/>
  <c r="AA659" i="2" a="1"/>
  <c r="AA659" i="2" s="1"/>
  <c r="AA675" i="2" a="1"/>
  <c r="AA675" i="2" s="1"/>
  <c r="AA692" i="2" a="1"/>
  <c r="AA692" i="2" s="1"/>
  <c r="AA708" i="2" a="1"/>
  <c r="AA708" i="2" s="1"/>
  <c r="AA724" i="2" a="1"/>
  <c r="AA724" i="2" s="1"/>
  <c r="AA740" i="2" a="1"/>
  <c r="AA740" i="2" s="1"/>
  <c r="AA756" i="2" a="1"/>
  <c r="AA756" i="2" s="1"/>
  <c r="AA772" i="2" a="1"/>
  <c r="AA772" i="2" s="1"/>
  <c r="AA788" i="2" a="1"/>
  <c r="AA788" i="2" s="1"/>
  <c r="AA804" i="2" a="1"/>
  <c r="AA804" i="2" s="1"/>
  <c r="AA820" i="2" a="1"/>
  <c r="AA820" i="2" s="1"/>
  <c r="AA836" i="2" a="1"/>
  <c r="AA836" i="2" s="1"/>
  <c r="AA852" i="2" a="1"/>
  <c r="AA852" i="2" s="1"/>
  <c r="AA935" i="2" a="1"/>
  <c r="AA935" i="2" s="1"/>
  <c r="AA939" i="2" a="1"/>
  <c r="AA939" i="2" s="1"/>
  <c r="AA943" i="2" a="1"/>
  <c r="AA943" i="2" s="1"/>
  <c r="AA947" i="2" a="1"/>
  <c r="AA947" i="2" s="1"/>
  <c r="AA951" i="2" a="1"/>
  <c r="AA951" i="2" s="1"/>
  <c r="AA955" i="2" a="1"/>
  <c r="AA955" i="2" s="1"/>
  <c r="AA959" i="2" a="1"/>
  <c r="AA959" i="2" s="1"/>
  <c r="AA685" i="2" a="1"/>
  <c r="AA685" i="2" s="1"/>
  <c r="AA701" i="2" a="1"/>
  <c r="AA701" i="2" s="1"/>
  <c r="AA717" i="2" a="1"/>
  <c r="AA717" i="2" s="1"/>
  <c r="AA733" i="2" a="1"/>
  <c r="AA733" i="2" s="1"/>
  <c r="AA749" i="2" a="1"/>
  <c r="AA749" i="2" s="1"/>
  <c r="AA765" i="2" a="1"/>
  <c r="AA765" i="2" s="1"/>
  <c r="AA781" i="2" a="1"/>
  <c r="AA781" i="2" s="1"/>
  <c r="AA797" i="2" a="1"/>
  <c r="AA797" i="2" s="1"/>
  <c r="AA813" i="2" a="1"/>
  <c r="AA813" i="2" s="1"/>
  <c r="AA829" i="2" a="1"/>
  <c r="AA829" i="2" s="1"/>
  <c r="AA845" i="2" a="1"/>
  <c r="AA845" i="2" s="1"/>
  <c r="AA859" i="2" a="1"/>
  <c r="AA859" i="2" s="1"/>
  <c r="AA867" i="2" a="1"/>
  <c r="AA867" i="2" s="1"/>
  <c r="AA875" i="2" a="1"/>
  <c r="AA875" i="2" s="1"/>
  <c r="AA883" i="2" a="1"/>
  <c r="AA883" i="2" s="1"/>
  <c r="AA891" i="2" a="1"/>
  <c r="AA891" i="2" s="1"/>
  <c r="AA899" i="2" a="1"/>
  <c r="AA899" i="2" s="1"/>
  <c r="AA907" i="2" a="1"/>
  <c r="AA907" i="2" s="1"/>
  <c r="AA915" i="2" a="1"/>
  <c r="AA915" i="2" s="1"/>
  <c r="AA923" i="2" a="1"/>
  <c r="AA923" i="2" s="1"/>
  <c r="AA931" i="2" a="1"/>
  <c r="AA931" i="2" s="1"/>
  <c r="AA694" i="2" a="1"/>
  <c r="AA694" i="2" s="1"/>
  <c r="AA710" i="2" a="1"/>
  <c r="AA710" i="2" s="1"/>
  <c r="AA726" i="2" a="1"/>
  <c r="AA726" i="2" s="1"/>
  <c r="AA742" i="2" a="1"/>
  <c r="AA742" i="2" s="1"/>
  <c r="AA758" i="2" a="1"/>
  <c r="AA758" i="2" s="1"/>
  <c r="X12" i="2"/>
  <c r="X13" i="2"/>
  <c r="X14" i="2" s="1"/>
  <c r="AA535" i="2" a="1"/>
  <c r="AA535" i="2" s="1"/>
  <c r="AA485" i="2" a="1"/>
  <c r="AA485" i="2" s="1"/>
  <c r="AA462" i="2" a="1"/>
  <c r="AA462" i="2" s="1"/>
  <c r="AA454" i="2" a="1"/>
  <c r="AA454" i="2" s="1"/>
  <c r="AA446" i="2" a="1"/>
  <c r="AA446" i="2" s="1"/>
  <c r="AA438" i="2" a="1"/>
  <c r="AA438" i="2" s="1"/>
  <c r="AA430" i="2" a="1"/>
  <c r="AA430" i="2" s="1"/>
  <c r="AA422" i="2" a="1"/>
  <c r="AA422" i="2" s="1"/>
  <c r="AA414" i="2" a="1"/>
  <c r="AA414" i="2" s="1"/>
  <c r="AA406" i="2" a="1"/>
  <c r="AA406" i="2" s="1"/>
  <c r="AA398" i="2" a="1"/>
  <c r="AA398" i="2" s="1"/>
  <c r="AA390" i="2" a="1"/>
  <c r="AA390" i="2" s="1"/>
  <c r="AA524" i="2" a="1"/>
  <c r="AA524" i="2" s="1"/>
  <c r="AA516" i="2" a="1"/>
  <c r="AA516" i="2" s="1"/>
  <c r="AA508" i="2" a="1"/>
  <c r="AA508" i="2" s="1"/>
  <c r="AA497" i="2" a="1"/>
  <c r="AA497" i="2" s="1"/>
  <c r="AA479" i="2" a="1"/>
  <c r="AA479" i="2" s="1"/>
  <c r="AA287" i="2" a="1"/>
  <c r="AA287" i="2" s="1"/>
  <c r="AA235" i="2" a="1"/>
  <c r="AA235" i="2" s="1"/>
  <c r="AA269" i="2" a="1"/>
  <c r="AA269" i="2" s="1"/>
  <c r="AA358" i="2" a="1"/>
  <c r="AA358" i="2" s="1"/>
  <c r="AA315" i="2" a="1"/>
  <c r="AA315" i="2" s="1"/>
  <c r="AA257" i="2" a="1"/>
  <c r="AA257" i="2" s="1"/>
  <c r="AA175" i="2" a="1"/>
  <c r="AA175" i="2" s="1"/>
  <c r="AA123" i="2" a="1"/>
  <c r="AA123" i="2" s="1"/>
  <c r="T12" i="2"/>
  <c r="T13" i="2"/>
  <c r="T14" i="2" s="1"/>
  <c r="V12" i="2"/>
  <c r="V13" i="2"/>
  <c r="V14" i="2" s="1"/>
  <c r="T6" i="2"/>
  <c r="T19" i="2"/>
  <c r="T20" i="2" s="1"/>
  <c r="R21" i="2"/>
  <c r="R4" i="2"/>
  <c r="R22" i="2"/>
  <c r="AA8" i="2" a="1"/>
  <c r="AA8" i="2" s="1"/>
  <c r="R11" i="2"/>
  <c r="AA20" i="2" a="1"/>
  <c r="AA20" i="2" s="1"/>
  <c r="AA64" i="2" a="1"/>
  <c r="AA64" i="2" s="1"/>
  <c r="AA84" i="2" a="1"/>
  <c r="AA84" i="2" s="1"/>
  <c r="AA87" i="2" a="1"/>
  <c r="AA87" i="2" s="1"/>
  <c r="AA146" i="2" a="1"/>
  <c r="AA146" i="2" s="1"/>
  <c r="AA183" i="2" a="1"/>
  <c r="AA183" i="2" s="1"/>
  <c r="AA215" i="2" a="1"/>
  <c r="AA215" i="2" s="1"/>
  <c r="AA283" i="2" a="1"/>
  <c r="AA283" i="2" s="1"/>
  <c r="AA259" i="2" a="1"/>
  <c r="AA259" i="2" s="1"/>
  <c r="AA330" i="2" a="1"/>
  <c r="AA330" i="2" s="1"/>
  <c r="AA346" i="2" a="1"/>
  <c r="AA346" i="2" s="1"/>
  <c r="AA362" i="2" a="1"/>
  <c r="AA362" i="2" s="1"/>
  <c r="AA378" i="2" a="1"/>
  <c r="AA378" i="2" s="1"/>
  <c r="AA281" i="2" a="1"/>
  <c r="AA281" i="2" s="1"/>
  <c r="AA316" i="2" a="1"/>
  <c r="AA316" i="2" s="1"/>
  <c r="AA237" i="2" a="1"/>
  <c r="AA237" i="2" s="1"/>
  <c r="AA255" i="2" a="1"/>
  <c r="AA255" i="2" s="1"/>
  <c r="AA293" i="2" a="1"/>
  <c r="AA293" i="2" s="1"/>
  <c r="AA325" i="2" a="1"/>
  <c r="AA325" i="2" s="1"/>
  <c r="AA487" i="2" a="1"/>
  <c r="AA487" i="2" s="1"/>
  <c r="AA488" i="2" a="1"/>
  <c r="AA488" i="2" s="1"/>
  <c r="AA499" i="2" a="1"/>
  <c r="AA499" i="2" s="1"/>
  <c r="AA505" i="2" a="1"/>
  <c r="AA505" i="2" s="1"/>
  <c r="AA509" i="2" a="1"/>
  <c r="AA509" i="2" s="1"/>
  <c r="AA513" i="2" a="1"/>
  <c r="AA513" i="2" s="1"/>
  <c r="AA517" i="2" a="1"/>
  <c r="AA517" i="2" s="1"/>
  <c r="AA521" i="2" a="1"/>
  <c r="AA521" i="2" s="1"/>
  <c r="AA525" i="2" a="1"/>
  <c r="AA525" i="2" s="1"/>
  <c r="AA387" i="2" a="1"/>
  <c r="AA387" i="2" s="1"/>
  <c r="AA391" i="2" a="1"/>
  <c r="AA391" i="2" s="1"/>
  <c r="AA395" i="2" a="1"/>
  <c r="AA395" i="2" s="1"/>
  <c r="AA399" i="2" a="1"/>
  <c r="AA399" i="2" s="1"/>
  <c r="AA403" i="2" a="1"/>
  <c r="AA403" i="2" s="1"/>
  <c r="AA407" i="2" a="1"/>
  <c r="AA407" i="2" s="1"/>
  <c r="AA411" i="2" a="1"/>
  <c r="AA411" i="2" s="1"/>
  <c r="AA415" i="2" a="1"/>
  <c r="AA415" i="2" s="1"/>
  <c r="AA419" i="2" a="1"/>
  <c r="AA419" i="2" s="1"/>
  <c r="AA423" i="2" a="1"/>
  <c r="AA423" i="2" s="1"/>
  <c r="AA427" i="2" a="1"/>
  <c r="AA427" i="2" s="1"/>
  <c r="AA431" i="2" a="1"/>
  <c r="AA431" i="2" s="1"/>
  <c r="AA435" i="2" a="1"/>
  <c r="AA435" i="2" s="1"/>
  <c r="AA439" i="2" a="1"/>
  <c r="AA439" i="2" s="1"/>
  <c r="AA443" i="2" a="1"/>
  <c r="AA443" i="2" s="1"/>
  <c r="AA447" i="2" a="1"/>
  <c r="AA447" i="2" s="1"/>
  <c r="AA451" i="2" a="1"/>
  <c r="AA451" i="2" s="1"/>
  <c r="AA455" i="2" a="1"/>
  <c r="AA455" i="2" s="1"/>
  <c r="AA459" i="2" a="1"/>
  <c r="AA459" i="2" s="1"/>
  <c r="AA463" i="2" a="1"/>
  <c r="AA463" i="2" s="1"/>
  <c r="AA473" i="2" a="1"/>
  <c r="AA473" i="2" s="1"/>
  <c r="AA489" i="2" a="1"/>
  <c r="AA489" i="2" s="1"/>
  <c r="AA532" i="2" a="1"/>
  <c r="AA532" i="2" s="1"/>
  <c r="AA536" i="2" a="1"/>
  <c r="AA536" i="2" s="1"/>
  <c r="AA540" i="2" a="1"/>
  <c r="AA540" i="2" s="1"/>
  <c r="AA544" i="2" a="1"/>
  <c r="AA544" i="2" s="1"/>
  <c r="AA470" i="2" a="1"/>
  <c r="AA470" i="2" s="1"/>
  <c r="AA486" i="2" a="1"/>
  <c r="AA486" i="2" s="1"/>
  <c r="AA578" i="2" a="1"/>
  <c r="AA578" i="2" s="1"/>
  <c r="AA594" i="2" a="1"/>
  <c r="AA594" i="2" s="1"/>
  <c r="AA628" i="2" a="1"/>
  <c r="AA628" i="2" s="1"/>
  <c r="AA644" i="2" a="1"/>
  <c r="AA644" i="2" s="1"/>
  <c r="AA660" i="2" a="1"/>
  <c r="AA660" i="2" s="1"/>
  <c r="AA676" i="2" a="1"/>
  <c r="AA676" i="2" s="1"/>
  <c r="AA548" i="2" a="1"/>
  <c r="AA548" i="2" s="1"/>
  <c r="AA552" i="2" a="1"/>
  <c r="AA552" i="2" s="1"/>
  <c r="AA556" i="2" a="1"/>
  <c r="AA556" i="2" s="1"/>
  <c r="AA560" i="2" a="1"/>
  <c r="AA560" i="2" s="1"/>
  <c r="AA564" i="2" a="1"/>
  <c r="AA564" i="2" s="1"/>
  <c r="AA568" i="2" a="1"/>
  <c r="AA568" i="2" s="1"/>
  <c r="AA575" i="2" a="1"/>
  <c r="AA575" i="2" s="1"/>
  <c r="AA591" i="2" a="1"/>
  <c r="AA591" i="2" s="1"/>
  <c r="AA602" i="2" a="1"/>
  <c r="AA602" i="2" s="1"/>
  <c r="AA610" i="2" a="1"/>
  <c r="AA610" i="2" s="1"/>
  <c r="AA621" i="2" a="1"/>
  <c r="AA621" i="2" s="1"/>
  <c r="AA637" i="2" a="1"/>
  <c r="AA637" i="2" s="1"/>
  <c r="AA653" i="2" a="1"/>
  <c r="AA653" i="2" s="1"/>
  <c r="AA669" i="2" a="1"/>
  <c r="AA669" i="2" s="1"/>
  <c r="AA576" i="2" a="1"/>
  <c r="AA576" i="2" s="1"/>
  <c r="AA592" i="2" a="1"/>
  <c r="AA592" i="2" s="1"/>
  <c r="AA626" i="2" a="1"/>
  <c r="AA626" i="2" s="1"/>
  <c r="AA642" i="2" a="1"/>
  <c r="AA642" i="2" s="1"/>
  <c r="AA658" i="2" a="1"/>
  <c r="AA658" i="2" s="1"/>
  <c r="AA674" i="2" a="1"/>
  <c r="AA674" i="2" s="1"/>
  <c r="AA577" i="2" a="1"/>
  <c r="AA577" i="2" s="1"/>
  <c r="AA593" i="2" a="1"/>
  <c r="AA593" i="2" s="1"/>
  <c r="AA603" i="2" a="1"/>
  <c r="AA603" i="2" s="1"/>
  <c r="AA28" i="2" a="1"/>
  <c r="AA28" i="2" s="1"/>
  <c r="AA58" i="2" a="1"/>
  <c r="AA58" i="2" s="1"/>
  <c r="AA101" i="2" a="1"/>
  <c r="AA101" i="2" s="1"/>
  <c r="AA111" i="2" a="1"/>
  <c r="AA111" i="2" s="1"/>
  <c r="AA152" i="2" a="1"/>
  <c r="AA152" i="2" s="1"/>
  <c r="AA191" i="2" a="1"/>
  <c r="AA191" i="2" s="1"/>
  <c r="AA223" i="2" a="1"/>
  <c r="AA223" i="2" s="1"/>
  <c r="AA294" i="2" a="1"/>
  <c r="AA294" i="2" s="1"/>
  <c r="AA275" i="2" a="1"/>
  <c r="AA275" i="2" s="1"/>
  <c r="AA334" i="2" a="1"/>
  <c r="AA334" i="2" s="1"/>
  <c r="AA350" i="2" a="1"/>
  <c r="AA350" i="2" s="1"/>
  <c r="AA366" i="2" a="1"/>
  <c r="AA366" i="2" s="1"/>
  <c r="AA382" i="2" a="1"/>
  <c r="AA382" i="2" s="1"/>
  <c r="AA292" i="2" a="1"/>
  <c r="AA292" i="2" s="1"/>
  <c r="AA324" i="2" a="1"/>
  <c r="AA324" i="2" s="1"/>
  <c r="AA239" i="2" a="1"/>
  <c r="AA239" i="2" s="1"/>
  <c r="AA263" i="2" a="1"/>
  <c r="AA263" i="2" s="1"/>
  <c r="AA301" i="2" a="1"/>
  <c r="AA301" i="2" s="1"/>
  <c r="AA384" i="2" a="1"/>
  <c r="AA384" i="2" s="1"/>
  <c r="AA528" i="2" a="1"/>
  <c r="AA528" i="2" s="1"/>
  <c r="AA493" i="2" a="1"/>
  <c r="AA493" i="2" s="1"/>
  <c r="AA501" i="2" a="1"/>
  <c r="AA501" i="2" s="1"/>
  <c r="AA506" i="2" a="1"/>
  <c r="AA506" i="2" s="1"/>
  <c r="AA510" i="2" a="1"/>
  <c r="AA510" i="2" s="1"/>
  <c r="AA514" i="2" a="1"/>
  <c r="AA514" i="2" s="1"/>
  <c r="AA518" i="2" a="1"/>
  <c r="AA518" i="2" s="1"/>
  <c r="AA522" i="2" a="1"/>
  <c r="AA522" i="2" s="1"/>
  <c r="AA526" i="2" a="1"/>
  <c r="AA526" i="2" s="1"/>
  <c r="AA388" i="2" a="1"/>
  <c r="AA388" i="2" s="1"/>
  <c r="AA392" i="2" a="1"/>
  <c r="AA392" i="2" s="1"/>
  <c r="AA396" i="2" a="1"/>
  <c r="AA396" i="2" s="1"/>
  <c r="AA400" i="2" a="1"/>
  <c r="AA400" i="2" s="1"/>
  <c r="AA404" i="2" a="1"/>
  <c r="AA404" i="2" s="1"/>
  <c r="AA408" i="2" a="1"/>
  <c r="AA408" i="2" s="1"/>
  <c r="AA412" i="2" a="1"/>
  <c r="AA412" i="2" s="1"/>
  <c r="AA416" i="2" a="1"/>
  <c r="AA416" i="2" s="1"/>
  <c r="AA420" i="2" a="1"/>
  <c r="AA420" i="2" s="1"/>
  <c r="AA424" i="2" a="1"/>
  <c r="AA424" i="2" s="1"/>
  <c r="AA428" i="2" a="1"/>
  <c r="AA428" i="2" s="1"/>
  <c r="AA432" i="2" a="1"/>
  <c r="AA432" i="2" s="1"/>
  <c r="AA436" i="2" a="1"/>
  <c r="AA436" i="2" s="1"/>
  <c r="AA440" i="2" a="1"/>
  <c r="AA440" i="2" s="1"/>
  <c r="AA444" i="2" a="1"/>
  <c r="AA444" i="2" s="1"/>
  <c r="AA448" i="2" a="1"/>
  <c r="AA448" i="2" s="1"/>
  <c r="AA452" i="2" a="1"/>
  <c r="AA452" i="2" s="1"/>
  <c r="AA456" i="2" a="1"/>
  <c r="AA456" i="2" s="1"/>
  <c r="AA460" i="2" a="1"/>
  <c r="AA460" i="2" s="1"/>
  <c r="AA464" i="2" a="1"/>
  <c r="AA464" i="2" s="1"/>
  <c r="AA477" i="2" a="1"/>
  <c r="AA477" i="2" s="1"/>
  <c r="AA529" i="2" a="1"/>
  <c r="AA529" i="2" s="1"/>
  <c r="AA533" i="2" a="1"/>
  <c r="AA533" i="2" s="1"/>
  <c r="AA537" i="2" a="1"/>
  <c r="AA537" i="2" s="1"/>
  <c r="AA541" i="2" a="1"/>
  <c r="AA541" i="2" s="1"/>
  <c r="AA545" i="2" a="1"/>
  <c r="AA545" i="2" s="1"/>
  <c r="AA474" i="2" a="1"/>
  <c r="AA474" i="2" s="1"/>
  <c r="AA490" i="2" a="1"/>
  <c r="AA490" i="2" s="1"/>
  <c r="AA582" i="2" a="1"/>
  <c r="AA582" i="2" s="1"/>
  <c r="AA616" i="2" a="1"/>
  <c r="AA616" i="2" s="1"/>
  <c r="AA632" i="2" a="1"/>
  <c r="AA632" i="2" s="1"/>
  <c r="AA648" i="2" a="1"/>
  <c r="AA648" i="2" s="1"/>
  <c r="AA664" i="2" a="1"/>
  <c r="AA664" i="2" s="1"/>
  <c r="AA680" i="2" a="1"/>
  <c r="AA680" i="2" s="1"/>
  <c r="AA549" i="2" a="1"/>
  <c r="AA549" i="2" s="1"/>
  <c r="AA553" i="2" a="1"/>
  <c r="AA553" i="2" s="1"/>
  <c r="AA557" i="2" a="1"/>
  <c r="AA557" i="2" s="1"/>
  <c r="AA561" i="2" a="1"/>
  <c r="AA561" i="2" s="1"/>
  <c r="AA565" i="2" a="1"/>
  <c r="AA565" i="2" s="1"/>
  <c r="AA569" i="2" a="1"/>
  <c r="AA569" i="2" s="1"/>
  <c r="AA579" i="2" a="1"/>
  <c r="AA579" i="2" s="1"/>
  <c r="AA595" i="2" a="1"/>
  <c r="AA595" i="2" s="1"/>
  <c r="AA604" i="2" a="1"/>
  <c r="AA604" i="2" s="1"/>
  <c r="AA612" i="2" a="1"/>
  <c r="AA612" i="2" s="1"/>
  <c r="AA625" i="2" a="1"/>
  <c r="AA625" i="2" s="1"/>
  <c r="AA641" i="2" a="1"/>
  <c r="AA641" i="2" s="1"/>
  <c r="AA657" i="2" a="1"/>
  <c r="AA657" i="2" s="1"/>
  <c r="AA673" i="2" a="1"/>
  <c r="AA673" i="2" s="1"/>
  <c r="AA580" i="2" a="1"/>
  <c r="AA580" i="2" s="1"/>
  <c r="AA596" i="2" a="1"/>
  <c r="AA596" i="2" s="1"/>
  <c r="AA630" i="2" a="1"/>
  <c r="AA630" i="2" s="1"/>
  <c r="AA646" i="2" a="1"/>
  <c r="AA646" i="2" s="1"/>
  <c r="AA662" i="2" a="1"/>
  <c r="AA662" i="2" s="1"/>
  <c r="AA678" i="2" a="1"/>
  <c r="AA678" i="2" s="1"/>
  <c r="AA581" i="2" a="1"/>
  <c r="AA581" i="2" s="1"/>
  <c r="AA597" i="2" a="1"/>
  <c r="AA597" i="2" s="1"/>
  <c r="AA605" i="2" a="1"/>
  <c r="AA605" i="2" s="1"/>
  <c r="X6" i="2"/>
  <c r="X19" i="2"/>
  <c r="X20" i="2" s="1"/>
  <c r="R19" i="2"/>
  <c r="R20" i="2" s="1"/>
  <c r="R6" i="2"/>
  <c r="V19" i="2"/>
  <c r="V20" i="2" s="1"/>
  <c r="V6" i="2"/>
  <c r="AA502" i="2" a="1"/>
  <c r="AA502" i="2" s="1"/>
  <c r="AA498" i="2" a="1"/>
  <c r="AA498" i="2" s="1"/>
  <c r="AA494" i="2" a="1"/>
  <c r="AA494" i="2" s="1"/>
  <c r="AA484" i="2" a="1"/>
  <c r="AA484" i="2" s="1"/>
  <c r="AA468" i="2" a="1"/>
  <c r="AA468" i="2" s="1"/>
  <c r="AA483" i="2" a="1"/>
  <c r="AA483" i="2" s="1"/>
  <c r="AA467" i="2" a="1"/>
  <c r="AA467" i="2" s="1"/>
  <c r="AA321" i="2" a="1"/>
  <c r="AA321" i="2" s="1"/>
  <c r="AA305" i="2" a="1"/>
  <c r="AA305" i="2" s="1"/>
  <c r="AA288" i="2" a="1"/>
  <c r="AA288" i="2" s="1"/>
  <c r="AA264" i="2" a="1"/>
  <c r="AA264" i="2" s="1"/>
  <c r="AA248" i="2" a="1"/>
  <c r="AA248" i="2" s="1"/>
  <c r="AA240" i="2" a="1"/>
  <c r="AA240" i="2" s="1"/>
  <c r="AA236" i="2" a="1"/>
  <c r="AA236" i="2" s="1"/>
  <c r="AA328" i="2" a="1"/>
  <c r="AA328" i="2" s="1"/>
  <c r="AA312" i="2" a="1"/>
  <c r="AA312" i="2" s="1"/>
  <c r="AA296" i="2" a="1"/>
  <c r="AA296" i="2" s="1"/>
  <c r="AA277" i="2" a="1"/>
  <c r="AA277" i="2" s="1"/>
  <c r="AA245" i="2" a="1"/>
  <c r="AA245" i="2" s="1"/>
  <c r="AA376" i="2" a="1"/>
  <c r="AA376" i="2" s="1"/>
  <c r="AA368" i="2" a="1"/>
  <c r="AA368" i="2" s="1"/>
  <c r="AA360" i="2" a="1"/>
  <c r="AA360" i="2" s="1"/>
  <c r="AA352" i="2" a="1"/>
  <c r="AA352" i="2" s="1"/>
  <c r="AA344" i="2" a="1"/>
  <c r="AA344" i="2" s="1"/>
  <c r="AA336" i="2" a="1"/>
  <c r="AA336" i="2" s="1"/>
  <c r="AA323" i="2" a="1"/>
  <c r="AA323" i="2" s="1"/>
  <c r="AA291" i="2" a="1"/>
  <c r="AA291" i="2" s="1"/>
  <c r="AA251" i="2" a="1"/>
  <c r="AA251" i="2" s="1"/>
  <c r="AA302" i="2" a="1"/>
  <c r="AA302" i="2" s="1"/>
  <c r="AA273" i="2" a="1"/>
  <c r="AA273" i="2" s="1"/>
  <c r="AA227" i="2" a="1"/>
  <c r="AA227" i="2" s="1"/>
  <c r="AA211" i="2" a="1"/>
  <c r="AA211" i="2" s="1"/>
  <c r="AA195" i="2" a="1"/>
  <c r="AA195" i="2" s="1"/>
  <c r="AA179" i="2" a="1"/>
  <c r="AA179" i="2" s="1"/>
  <c r="AA158" i="2" a="1"/>
  <c r="AA158" i="2" s="1"/>
  <c r="AA134" i="2" a="1"/>
  <c r="AA134" i="2" s="1"/>
  <c r="AA126" i="2" a="1"/>
  <c r="AA126" i="2" s="1"/>
  <c r="AA133" i="2" a="1"/>
  <c r="AA133" i="2" s="1"/>
  <c r="AA125" i="2" a="1"/>
  <c r="AA125" i="2" s="1"/>
  <c r="AA70" i="2" a="1"/>
  <c r="AA70" i="2" s="1"/>
  <c r="AA74" i="2" a="1"/>
  <c r="AA74" i="2" s="1"/>
  <c r="AA48" i="2" a="1"/>
  <c r="AA48" i="2" s="1"/>
  <c r="AA32" i="2" a="1"/>
  <c r="AA32" i="2" s="1"/>
  <c r="AA16" i="2" a="1"/>
  <c r="AA16" i="2" s="1"/>
  <c r="AA500" i="2" a="1"/>
  <c r="AA500" i="2" s="1"/>
  <c r="AA496" i="2" a="1"/>
  <c r="AA496" i="2" s="1"/>
  <c r="AA492" i="2" a="1"/>
  <c r="AA492" i="2" s="1"/>
  <c r="AA476" i="2" a="1"/>
  <c r="AA476" i="2" s="1"/>
  <c r="AA491" i="2" a="1"/>
  <c r="AA491" i="2" s="1"/>
  <c r="AA475" i="2" a="1"/>
  <c r="AA475" i="2" s="1"/>
  <c r="AA329" i="2" a="1"/>
  <c r="AA329" i="2" s="1"/>
  <c r="AA313" i="2" a="1"/>
  <c r="AA313" i="2" s="1"/>
  <c r="AA297" i="2" a="1"/>
  <c r="AA297" i="2" s="1"/>
  <c r="AA272" i="2" a="1"/>
  <c r="AA272" i="2" s="1"/>
  <c r="AA256" i="2" a="1"/>
  <c r="AA256" i="2" s="1"/>
  <c r="AA242" i="2" a="1"/>
  <c r="AA242" i="2" s="1"/>
  <c r="AA238" i="2" a="1"/>
  <c r="AA238" i="2" s="1"/>
  <c r="AA234" i="2" a="1"/>
  <c r="AA234" i="2" s="1"/>
  <c r="AA320" i="2" a="1"/>
  <c r="AA320" i="2" s="1"/>
  <c r="AA304" i="2" a="1"/>
  <c r="AA304" i="2" s="1"/>
  <c r="AA285" i="2" a="1"/>
  <c r="AA285" i="2" s="1"/>
  <c r="AA261" i="2" a="1"/>
  <c r="AA261" i="2" s="1"/>
  <c r="AA380" i="2" a="1"/>
  <c r="AA380" i="2" s="1"/>
  <c r="AA372" i="2" a="1"/>
  <c r="AA372" i="2" s="1"/>
  <c r="AA364" i="2" a="1"/>
  <c r="AA364" i="2" s="1"/>
  <c r="AA356" i="2" a="1"/>
  <c r="AA356" i="2" s="1"/>
  <c r="AA348" i="2" a="1"/>
  <c r="AA348" i="2" s="1"/>
  <c r="AA340" i="2" a="1"/>
  <c r="AA340" i="2" s="1"/>
  <c r="AA332" i="2" a="1"/>
  <c r="AA332" i="2" s="1"/>
  <c r="AA307" i="2" a="1"/>
  <c r="AA307" i="2" s="1"/>
  <c r="AA267" i="2" a="1"/>
  <c r="AA267" i="2" s="1"/>
  <c r="AA318" i="2" a="1"/>
  <c r="AA318" i="2" s="1"/>
  <c r="AA289" i="2" a="1"/>
  <c r="AA289" i="2" s="1"/>
  <c r="AA159" i="2" a="1"/>
  <c r="AA159" i="2" s="1"/>
  <c r="AA219" i="2" a="1"/>
  <c r="AA219" i="2" s="1"/>
  <c r="AA203" i="2" a="1"/>
  <c r="AA203" i="2" s="1"/>
  <c r="AA187" i="2" a="1"/>
  <c r="AA187" i="2" s="1"/>
  <c r="AA171" i="2" a="1"/>
  <c r="AA171" i="2" s="1"/>
  <c r="AA157" i="2" a="1"/>
  <c r="AA157" i="2" s="1"/>
  <c r="AA109" i="2" a="1"/>
  <c r="AA109" i="2" s="1"/>
  <c r="AA98" i="2" a="1"/>
  <c r="AA98" i="2" s="1"/>
  <c r="AA107" i="2" a="1"/>
  <c r="AA107" i="2" s="1"/>
  <c r="AA93" i="2" a="1"/>
  <c r="AA93" i="2" s="1"/>
  <c r="AA69" i="2" a="1"/>
  <c r="AA69" i="2" s="1"/>
  <c r="AA80" i="2" a="1"/>
  <c r="AA80" i="2" s="1"/>
  <c r="AA40" i="2" a="1"/>
  <c r="AA40" i="2" s="1"/>
  <c r="AA24" i="2" a="1"/>
  <c r="AA24" i="2" s="1"/>
  <c r="AA5" i="2" a="1"/>
  <c r="AA5" i="2" s="1"/>
  <c r="AA9" i="2" a="1"/>
  <c r="AA9" i="2" s="1"/>
  <c r="AA13" i="2" a="1"/>
  <c r="AA13" i="2" s="1"/>
  <c r="AA17" i="2" a="1"/>
  <c r="AA17" i="2" s="1"/>
  <c r="AA21" i="2" a="1"/>
  <c r="AA21" i="2" s="1"/>
  <c r="AA25" i="2" a="1"/>
  <c r="AA25" i="2" s="1"/>
  <c r="AA29" i="2" a="1"/>
  <c r="AA29" i="2" s="1"/>
  <c r="AA33" i="2" a="1"/>
  <c r="AA33" i="2" s="1"/>
  <c r="AA37" i="2" a="1"/>
  <c r="AA37" i="2" s="1"/>
  <c r="AA41" i="2" a="1"/>
  <c r="AA41" i="2" s="1"/>
  <c r="AA45" i="2" a="1"/>
  <c r="AA45" i="2" s="1"/>
  <c r="AA49" i="2" a="1"/>
  <c r="AA49" i="2" s="1"/>
  <c r="AA65" i="2" a="1"/>
  <c r="AA65" i="2" s="1"/>
  <c r="AA81" i="2" a="1"/>
  <c r="AA81" i="2" s="1"/>
  <c r="AA59" i="2" a="1"/>
  <c r="AA59" i="2" s="1"/>
  <c r="AA75" i="2" a="1"/>
  <c r="AA75" i="2" s="1"/>
  <c r="AA60" i="2" a="1"/>
  <c r="AA60" i="2" s="1"/>
  <c r="AA76" i="2" a="1"/>
  <c r="AA76" i="2" s="1"/>
  <c r="AA55" i="2" a="1"/>
  <c r="AA55" i="2" s="1"/>
  <c r="AA71" i="2" a="1"/>
  <c r="AA71" i="2" s="1"/>
  <c r="AA85" i="2" a="1"/>
  <c r="AA85" i="2" s="1"/>
  <c r="AA96" i="2" a="1"/>
  <c r="AA96" i="2" s="1"/>
  <c r="AA113" i="2" a="1"/>
  <c r="AA113" i="2" s="1"/>
  <c r="AA138" i="2" a="1"/>
  <c r="AA138" i="2" s="1"/>
  <c r="AA86" i="2" a="1"/>
  <c r="AA86" i="2" s="1"/>
  <c r="AA110" i="2" a="1"/>
  <c r="AA110" i="2" s="1"/>
  <c r="AA128" i="2" a="1"/>
  <c r="AA128" i="2" s="1"/>
  <c r="AA136" i="2" a="1"/>
  <c r="AA136" i="2" s="1"/>
  <c r="AA91" i="2" a="1"/>
  <c r="AA91" i="2" s="1"/>
  <c r="AA99" i="2" a="1"/>
  <c r="AA99" i="2" s="1"/>
  <c r="AA115" i="2" a="1"/>
  <c r="AA115" i="2" s="1"/>
  <c r="AA137" i="2" a="1"/>
  <c r="AA137" i="2" s="1"/>
  <c r="AA104" i="2" a="1"/>
  <c r="AA104" i="2" s="1"/>
  <c r="AA112" i="2" a="1"/>
  <c r="AA112" i="2" s="1"/>
  <c r="AA127" i="2" a="1"/>
  <c r="AA127" i="2" s="1"/>
  <c r="AA135" i="2" a="1"/>
  <c r="AA135" i="2" s="1"/>
  <c r="AA149" i="2" a="1"/>
  <c r="AA149" i="2" s="1"/>
  <c r="AA160" i="2" a="1"/>
  <c r="AA160" i="2" s="1"/>
  <c r="AA155" i="2" a="1"/>
  <c r="AA155" i="2" s="1"/>
  <c r="AA163" i="2" a="1"/>
  <c r="AA163" i="2" s="1"/>
  <c r="AA168" i="2" a="1"/>
  <c r="AA168" i="2" s="1"/>
  <c r="AA172" i="2" a="1"/>
  <c r="AA172" i="2" s="1"/>
  <c r="AA176" i="2" a="1"/>
  <c r="AA176" i="2" s="1"/>
  <c r="AA180" i="2" a="1"/>
  <c r="AA180" i="2" s="1"/>
  <c r="AA184" i="2" a="1"/>
  <c r="AA184" i="2" s="1"/>
  <c r="AA188" i="2" a="1"/>
  <c r="AA188" i="2" s="1"/>
  <c r="AA192" i="2" a="1"/>
  <c r="AA192" i="2" s="1"/>
  <c r="AA196" i="2" a="1"/>
  <c r="AA196" i="2" s="1"/>
  <c r="AA200" i="2" a="1"/>
  <c r="AA200" i="2" s="1"/>
  <c r="AA204" i="2" a="1"/>
  <c r="AA204" i="2" s="1"/>
  <c r="AA208" i="2" a="1"/>
  <c r="AA208" i="2" s="1"/>
  <c r="AA212" i="2" a="1"/>
  <c r="AA212" i="2" s="1"/>
  <c r="AA216" i="2" a="1"/>
  <c r="AA216" i="2" s="1"/>
  <c r="AA220" i="2" a="1"/>
  <c r="AA220" i="2" s="1"/>
  <c r="AA224" i="2" a="1"/>
  <c r="AA224" i="2" s="1"/>
  <c r="AA228" i="2" a="1"/>
  <c r="AA228" i="2" s="1"/>
  <c r="AA232" i="2" a="1"/>
  <c r="AA232" i="2" s="1"/>
  <c r="AA243" i="2" a="1"/>
  <c r="AA243" i="2" s="1"/>
  <c r="AA258" i="2" a="1"/>
  <c r="AA258" i="2" s="1"/>
  <c r="AA274" i="2" a="1"/>
  <c r="AA274" i="2" s="1"/>
  <c r="AA284" i="2" a="1"/>
  <c r="AA284" i="2" s="1"/>
  <c r="AA298" i="2" a="1"/>
  <c r="AA298" i="2" s="1"/>
  <c r="AA314" i="2" a="1"/>
  <c r="AA314" i="2" s="1"/>
  <c r="AA244" i="2" a="1"/>
  <c r="AA244" i="2" s="1"/>
  <c r="AA260" i="2" a="1"/>
  <c r="AA260" i="2" s="1"/>
  <c r="AA276" i="2" a="1"/>
  <c r="AA276" i="2" s="1"/>
  <c r="AA303" i="2" a="1"/>
  <c r="AA303" i="2" s="1"/>
  <c r="AA319" i="2" a="1"/>
  <c r="AA319" i="2" s="1"/>
  <c r="AA331" i="2" a="1"/>
  <c r="AA331" i="2" s="1"/>
  <c r="AA335" i="2" a="1"/>
  <c r="AA335" i="2" s="1"/>
  <c r="AA339" i="2" a="1"/>
  <c r="AA339" i="2" s="1"/>
  <c r="AA343" i="2" a="1"/>
  <c r="AA343" i="2" s="1"/>
  <c r="AA347" i="2" a="1"/>
  <c r="AA347" i="2" s="1"/>
  <c r="AA351" i="2" a="1"/>
  <c r="AA351" i="2" s="1"/>
  <c r="AA355" i="2" a="1"/>
  <c r="AA355" i="2" s="1"/>
  <c r="AA359" i="2" a="1"/>
  <c r="AA359" i="2" s="1"/>
  <c r="AA363" i="2" a="1"/>
  <c r="AA363" i="2" s="1"/>
  <c r="AA367" i="2" a="1"/>
  <c r="AA367" i="2" s="1"/>
  <c r="AA371" i="2" a="1"/>
  <c r="AA371" i="2" s="1"/>
  <c r="AA375" i="2" a="1"/>
  <c r="AA375" i="2" s="1"/>
  <c r="AA379" i="2" a="1"/>
  <c r="AA379" i="2" s="1"/>
  <c r="AA383" i="2" a="1"/>
  <c r="AA383" i="2" s="1"/>
  <c r="AA254" i="2" a="1"/>
  <c r="AA254" i="2" s="1"/>
  <c r="AA270" i="2" a="1"/>
  <c r="AA270" i="2" s="1"/>
  <c r="AA282" i="2" a="1"/>
  <c r="AA282" i="2" s="1"/>
  <c r="AA6" i="2" a="1"/>
  <c r="AA6" i="2" s="1"/>
  <c r="AA10" i="2" a="1"/>
  <c r="AA10" i="2" s="1"/>
  <c r="AA14" i="2" a="1"/>
  <c r="AA14" i="2" s="1"/>
  <c r="AA18" i="2" a="1"/>
  <c r="AA18" i="2" s="1"/>
  <c r="AA22" i="2" a="1"/>
  <c r="AA22" i="2" s="1"/>
  <c r="AA26" i="2" a="1"/>
  <c r="AA26" i="2" s="1"/>
  <c r="AA30" i="2" a="1"/>
  <c r="AA30" i="2" s="1"/>
  <c r="AA34" i="2" a="1"/>
  <c r="AA34" i="2" s="1"/>
  <c r="AA38" i="2" a="1"/>
  <c r="AA38" i="2" s="1"/>
  <c r="AA42" i="2" a="1"/>
  <c r="AA42" i="2" s="1"/>
  <c r="AA46" i="2" a="1"/>
  <c r="AA46" i="2" s="1"/>
  <c r="AA56" i="2" a="1"/>
  <c r="AA56" i="2" s="1"/>
  <c r="AA72" i="2" a="1"/>
  <c r="AA72" i="2" s="1"/>
  <c r="AA50" i="2" a="1"/>
  <c r="AA50" i="2" s="1"/>
  <c r="AA66" i="2" a="1"/>
  <c r="AA66" i="2" s="1"/>
  <c r="AA82" i="2" a="1"/>
  <c r="AA82" i="2" s="1"/>
  <c r="AA61" i="2" a="1"/>
  <c r="AA61" i="2" s="1"/>
  <c r="AA77" i="2" a="1"/>
  <c r="AA77" i="2" s="1"/>
  <c r="AA62" i="2" a="1"/>
  <c r="AA62" i="2" s="1"/>
  <c r="AA78" i="2" a="1"/>
  <c r="AA78" i="2" s="1"/>
  <c r="AA89" i="2" a="1"/>
  <c r="AA89" i="2" s="1"/>
  <c r="AA97" i="2" a="1"/>
  <c r="AA97" i="2" s="1"/>
  <c r="AA117" i="2" a="1"/>
  <c r="AA117" i="2" s="1"/>
  <c r="AA141" i="2" a="1"/>
  <c r="AA141" i="2" s="1"/>
  <c r="AA90" i="2" a="1"/>
  <c r="AA90" i="2" s="1"/>
  <c r="AA114" i="2" a="1"/>
  <c r="AA114" i="2" s="1"/>
  <c r="AA129" i="2" a="1"/>
  <c r="AA129" i="2" s="1"/>
  <c r="AA139" i="2" a="1"/>
  <c r="AA139" i="2" s="1"/>
  <c r="AA94" i="2" a="1"/>
  <c r="AA94" i="2" s="1"/>
  <c r="AA102" i="2" a="1"/>
  <c r="AA102" i="2" s="1"/>
  <c r="AA118" i="2" a="1"/>
  <c r="AA118" i="2" s="1"/>
  <c r="AA142" i="2" a="1"/>
  <c r="AA142" i="2" s="1"/>
  <c r="AA105" i="2" a="1"/>
  <c r="AA105" i="2" s="1"/>
  <c r="AA116" i="2" a="1"/>
  <c r="AA116" i="2" s="1"/>
  <c r="AA130" i="2" a="1"/>
  <c r="AA130" i="2" s="1"/>
  <c r="AA140" i="2" a="1"/>
  <c r="AA140" i="2" s="1"/>
  <c r="AA150" i="2" a="1"/>
  <c r="AA150" i="2" s="1"/>
  <c r="AA161" i="2" a="1"/>
  <c r="AA161" i="2" s="1"/>
  <c r="AA162" i="2" a="1"/>
  <c r="AA162" i="2" s="1"/>
  <c r="AA165" i="2" a="1"/>
  <c r="AA165" i="2" s="1"/>
  <c r="AA169" i="2" a="1"/>
  <c r="AA169" i="2" s="1"/>
  <c r="AA173" i="2" a="1"/>
  <c r="AA173" i="2" s="1"/>
  <c r="AA177" i="2" a="1"/>
  <c r="AA177" i="2" s="1"/>
  <c r="AA181" i="2" a="1"/>
  <c r="AA181" i="2" s="1"/>
  <c r="AA185" i="2" a="1"/>
  <c r="AA185" i="2" s="1"/>
  <c r="AA189" i="2" a="1"/>
  <c r="AA189" i="2" s="1"/>
  <c r="AA193" i="2" a="1"/>
  <c r="AA193" i="2" s="1"/>
  <c r="AA197" i="2" a="1"/>
  <c r="AA197" i="2" s="1"/>
  <c r="AA201" i="2" a="1"/>
  <c r="AA201" i="2" s="1"/>
  <c r="AA205" i="2" a="1"/>
  <c r="AA205" i="2" s="1"/>
  <c r="AA209" i="2" a="1"/>
  <c r="AA209" i="2" s="1"/>
  <c r="AA213" i="2" a="1"/>
  <c r="AA213" i="2" s="1"/>
  <c r="AA217" i="2" a="1"/>
  <c r="AA217" i="2" s="1"/>
  <c r="AA221" i="2" a="1"/>
  <c r="AA221" i="2" s="1"/>
  <c r="AA225" i="2" a="1"/>
  <c r="AA225" i="2" s="1"/>
  <c r="AA229" i="2" a="1"/>
  <c r="AA229" i="2" s="1"/>
  <c r="AA151" i="2" a="1"/>
  <c r="AA151" i="2" s="1"/>
  <c r="AA249" i="2" a="1"/>
  <c r="AA249" i="2" s="1"/>
  <c r="AA265" i="2" a="1"/>
  <c r="AA265" i="2" s="1"/>
  <c r="AA279" i="2" a="1"/>
  <c r="AA279" i="2" s="1"/>
  <c r="AA7" i="2" a="1"/>
  <c r="AA7" i="2" s="1"/>
  <c r="AA11" i="2" a="1"/>
  <c r="AA11" i="2" s="1"/>
  <c r="AA15" i="2" a="1"/>
  <c r="AA15" i="2" s="1"/>
  <c r="AA19" i="2" a="1"/>
  <c r="AA19" i="2" s="1"/>
  <c r="AA23" i="2" a="1"/>
  <c r="AA23" i="2" s="1"/>
  <c r="AA27" i="2" a="1"/>
  <c r="AA27" i="2" s="1"/>
  <c r="AA31" i="2" a="1"/>
  <c r="AA31" i="2" s="1"/>
  <c r="AA35" i="2" a="1"/>
  <c r="AA35" i="2" s="1"/>
  <c r="AA39" i="2" a="1"/>
  <c r="AA39" i="2" s="1"/>
  <c r="AA43" i="2" a="1"/>
  <c r="AA43" i="2" s="1"/>
  <c r="AA47" i="2" a="1"/>
  <c r="AA47" i="2" s="1"/>
  <c r="AA57" i="2" a="1"/>
  <c r="AA57" i="2" s="1"/>
  <c r="AA73" i="2" a="1"/>
  <c r="AA73" i="2" s="1"/>
  <c r="AA51" i="2" a="1"/>
  <c r="AA51" i="2" s="1"/>
  <c r="AA67" i="2" a="1"/>
  <c r="AA67" i="2" s="1"/>
  <c r="AA52" i="2" a="1"/>
  <c r="AA52" i="2" s="1"/>
  <c r="AA68" i="2" a="1"/>
  <c r="AA68" i="2" s="1"/>
  <c r="AA83" i="2" a="1"/>
  <c r="AA83" i="2" s="1"/>
  <c r="AA63" i="2" a="1"/>
  <c r="AA63" i="2" s="1"/>
  <c r="AA79" i="2" a="1"/>
  <c r="AA79" i="2" s="1"/>
  <c r="AA92" i="2" a="1"/>
  <c r="AA92" i="2" s="1"/>
  <c r="AA100" i="2" a="1"/>
  <c r="AA100" i="2" s="1"/>
  <c r="AA122" i="2" a="1"/>
  <c r="AA122" i="2" s="1"/>
  <c r="AA144" i="2" a="1"/>
  <c r="AA144" i="2" s="1"/>
  <c r="AA106" i="2" a="1"/>
  <c r="AA106" i="2" s="1"/>
  <c r="AA120" i="2" a="1"/>
  <c r="AA120" i="2" s="1"/>
  <c r="AA132" i="2" a="1"/>
  <c r="AA132" i="2" s="1"/>
  <c r="AA145" i="2" a="1"/>
  <c r="AA145" i="2" s="1"/>
  <c r="AA95" i="2" a="1"/>
  <c r="AA95" i="2" s="1"/>
  <c r="AA103" i="2" a="1"/>
  <c r="AA103" i="2" s="1"/>
  <c r="AA121" i="2" a="1"/>
  <c r="AA121" i="2" s="1"/>
  <c r="AA148" i="2" a="1"/>
  <c r="AA148" i="2" s="1"/>
  <c r="AA108" i="2" a="1"/>
  <c r="AA108" i="2" s="1"/>
  <c r="AA119" i="2" a="1"/>
  <c r="AA119" i="2" s="1"/>
  <c r="AA131" i="2" a="1"/>
  <c r="AA131" i="2" s="1"/>
  <c r="AA143" i="2" a="1"/>
  <c r="AA143" i="2" s="1"/>
  <c r="AA154" i="2" a="1"/>
  <c r="AA154" i="2" s="1"/>
  <c r="AA164" i="2" a="1"/>
  <c r="AA164" i="2" s="1"/>
  <c r="AA153" i="2" a="1"/>
  <c r="AA153" i="2" s="1"/>
  <c r="AA166" i="2" a="1"/>
  <c r="AA166" i="2" s="1"/>
  <c r="AA170" i="2" a="1"/>
  <c r="AA170" i="2" s="1"/>
  <c r="AA174" i="2" a="1"/>
  <c r="AA174" i="2" s="1"/>
  <c r="AA178" i="2" a="1"/>
  <c r="AA178" i="2" s="1"/>
  <c r="AA182" i="2" a="1"/>
  <c r="AA182" i="2" s="1"/>
  <c r="AA186" i="2" a="1"/>
  <c r="AA186" i="2" s="1"/>
  <c r="AA190" i="2" a="1"/>
  <c r="AA190" i="2" s="1"/>
  <c r="AA194" i="2" a="1"/>
  <c r="AA194" i="2" s="1"/>
  <c r="AA198" i="2" a="1"/>
  <c r="AA198" i="2" s="1"/>
  <c r="AA202" i="2" a="1"/>
  <c r="AA202" i="2" s="1"/>
  <c r="AA206" i="2" a="1"/>
  <c r="AA206" i="2" s="1"/>
  <c r="AA210" i="2" a="1"/>
  <c r="AA210" i="2" s="1"/>
  <c r="AA214" i="2" a="1"/>
  <c r="AA214" i="2" s="1"/>
  <c r="AA218" i="2" a="1"/>
  <c r="AA218" i="2" s="1"/>
  <c r="AA222" i="2" a="1"/>
  <c r="AA222" i="2" s="1"/>
  <c r="AA226" i="2" a="1"/>
  <c r="AA226" i="2" s="1"/>
  <c r="AA230" i="2" a="1"/>
  <c r="AA230" i="2" s="1"/>
  <c r="AA156" i="2" a="1"/>
  <c r="AA156" i="2" s="1"/>
  <c r="AA250" i="2" a="1"/>
  <c r="AA250" i="2" s="1"/>
  <c r="AA266" i="2" a="1"/>
  <c r="AA266" i="2" s="1"/>
  <c r="AA280" i="2" a="1"/>
  <c r="AA280" i="2" s="1"/>
  <c r="AA290" i="2" a="1"/>
  <c r="AA290" i="2" s="1"/>
  <c r="AA306" i="2" a="1"/>
  <c r="AA306" i="2" s="1"/>
  <c r="AA322" i="2" a="1"/>
  <c r="AA322" i="2" s="1"/>
  <c r="AA252" i="2" a="1"/>
  <c r="AA252" i="2" s="1"/>
  <c r="AA268" i="2" a="1"/>
  <c r="AA268" i="2" s="1"/>
  <c r="AA295" i="2" a="1"/>
  <c r="AA295" i="2" s="1"/>
  <c r="AA311" i="2" a="1"/>
  <c r="AA311" i="2" s="1"/>
  <c r="AA327" i="2" a="1"/>
  <c r="AA327" i="2" s="1"/>
  <c r="AA333" i="2" a="1"/>
  <c r="AA333" i="2" s="1"/>
  <c r="AA337" i="2" a="1"/>
  <c r="AA337" i="2" s="1"/>
  <c r="AA341" i="2" a="1"/>
  <c r="AA341" i="2" s="1"/>
  <c r="AA345" i="2" a="1"/>
  <c r="AA345" i="2" s="1"/>
  <c r="AA349" i="2" a="1"/>
  <c r="AA349" i="2" s="1"/>
  <c r="AA353" i="2" a="1"/>
  <c r="AA353" i="2" s="1"/>
  <c r="AA357" i="2" a="1"/>
  <c r="AA357" i="2" s="1"/>
  <c r="AA361" i="2" a="1"/>
  <c r="AA361" i="2" s="1"/>
  <c r="AA365" i="2" a="1"/>
  <c r="AA365" i="2" s="1"/>
  <c r="AA369" i="2" a="1"/>
  <c r="AA369" i="2" s="1"/>
  <c r="AA373" i="2" a="1"/>
  <c r="AA373" i="2" s="1"/>
  <c r="AA377" i="2" a="1"/>
  <c r="AA377" i="2" s="1"/>
  <c r="AA381" i="2" a="1"/>
  <c r="AA381" i="2" s="1"/>
  <c r="AA246" i="2" a="1"/>
  <c r="AA246" i="2" s="1"/>
  <c r="AA262" i="2" a="1"/>
  <c r="AA262" i="2" s="1"/>
  <c r="AA278" i="2" a="1"/>
  <c r="AA278" i="2" s="1"/>
  <c r="AA286" i="2" a="1"/>
  <c r="AA286" i="2" s="1"/>
  <c r="AG49" i="2" a="1"/>
  <c r="AG49" i="2" s="1"/>
  <c r="AG50" i="2" a="1"/>
  <c r="AG50" i="2" s="1"/>
  <c r="AG57" i="2" a="1"/>
  <c r="AG57" i="2" s="1"/>
  <c r="AG58" i="2" a="1"/>
  <c r="AG58" i="2" s="1"/>
  <c r="AG65" i="2" a="1"/>
  <c r="AG65" i="2" s="1"/>
  <c r="AG66" i="2" a="1"/>
  <c r="AG66" i="2" s="1"/>
  <c r="AG73" i="2" a="1"/>
  <c r="AG73" i="2" s="1"/>
  <c r="AG74" i="2" a="1"/>
  <c r="AG74" i="2" s="1"/>
  <c r="AG81" i="2" a="1"/>
  <c r="AG81" i="2" s="1"/>
  <c r="AG82" i="2" a="1"/>
  <c r="AG82" i="2" s="1"/>
  <c r="AG51" i="2" a="1"/>
  <c r="AG51" i="2" s="1"/>
  <c r="AG52" i="2" a="1"/>
  <c r="AG52" i="2" s="1"/>
  <c r="AG59" i="2" a="1"/>
  <c r="AG59" i="2" s="1"/>
  <c r="AG60" i="2" a="1"/>
  <c r="AG60" i="2" s="1"/>
  <c r="AG67" i="2" a="1"/>
  <c r="AG67" i="2" s="1"/>
  <c r="AG68" i="2" a="1"/>
  <c r="AG68" i="2" s="1"/>
  <c r="AG75" i="2" a="1"/>
  <c r="AG75" i="2" s="1"/>
  <c r="AG76" i="2" a="1"/>
  <c r="AG76" i="2" s="1"/>
  <c r="AG53" i="2" a="1"/>
  <c r="AG53" i="2" s="1"/>
  <c r="AG54" i="2" a="1"/>
  <c r="AG54" i="2" s="1"/>
  <c r="AG61" i="2" a="1"/>
  <c r="AG61" i="2" s="1"/>
  <c r="AG62" i="2" a="1"/>
  <c r="AG62" i="2" s="1"/>
  <c r="AG69" i="2" a="1"/>
  <c r="AG69" i="2" s="1"/>
  <c r="AG70" i="2" a="1"/>
  <c r="AG70" i="2" s="1"/>
  <c r="AG77" i="2" a="1"/>
  <c r="AG77" i="2" s="1"/>
  <c r="AG78" i="2" a="1"/>
  <c r="AG78" i="2" s="1"/>
  <c r="AG83" i="2" a="1"/>
  <c r="AG83" i="2" s="1"/>
  <c r="AG84" i="2" a="1"/>
  <c r="AG84" i="2" s="1"/>
  <c r="AG5" i="2" a="1"/>
  <c r="AG5" i="2" s="1"/>
  <c r="AG6" i="2" a="1"/>
  <c r="AG6" i="2" s="1"/>
  <c r="AG7" i="2" a="1"/>
  <c r="AG7" i="2" s="1"/>
  <c r="AG8" i="2" a="1"/>
  <c r="AG8" i="2" s="1"/>
  <c r="AG9" i="2" a="1"/>
  <c r="AG9" i="2" s="1"/>
  <c r="AG10" i="2" a="1"/>
  <c r="AG10" i="2" s="1"/>
  <c r="AG11" i="2" a="1"/>
  <c r="AG11" i="2" s="1"/>
  <c r="AG12" i="2" a="1"/>
  <c r="AG12" i="2" s="1"/>
  <c r="AG13" i="2" a="1"/>
  <c r="AG13" i="2" s="1"/>
  <c r="AG14" i="2" a="1"/>
  <c r="AG14" i="2" s="1"/>
  <c r="AG15" i="2" a="1"/>
  <c r="AG15" i="2" s="1"/>
  <c r="AG16" i="2" a="1"/>
  <c r="AG16" i="2" s="1"/>
  <c r="AG17" i="2" a="1"/>
  <c r="AG17" i="2" s="1"/>
  <c r="AG18" i="2" a="1"/>
  <c r="AG18" i="2" s="1"/>
  <c r="AG19" i="2" a="1"/>
  <c r="AG19" i="2" s="1"/>
  <c r="AG20" i="2" a="1"/>
  <c r="AG20" i="2" s="1"/>
  <c r="AG21" i="2" a="1"/>
  <c r="AG21" i="2" s="1"/>
  <c r="AG22" i="2" a="1"/>
  <c r="AG22" i="2" s="1"/>
  <c r="AG23" i="2" a="1"/>
  <c r="AG23" i="2" s="1"/>
  <c r="AG24" i="2" a="1"/>
  <c r="AG24" i="2" s="1"/>
  <c r="AG25" i="2" a="1"/>
  <c r="AG25" i="2" s="1"/>
  <c r="AG26" i="2" a="1"/>
  <c r="AG26" i="2" s="1"/>
  <c r="AG27" i="2" a="1"/>
  <c r="AG27" i="2" s="1"/>
  <c r="AG28" i="2" a="1"/>
  <c r="AG28" i="2" s="1"/>
  <c r="AG29" i="2" a="1"/>
  <c r="AG29" i="2" s="1"/>
  <c r="AG30" i="2" a="1"/>
  <c r="AG30" i="2" s="1"/>
  <c r="AG31" i="2" a="1"/>
  <c r="AG31" i="2" s="1"/>
  <c r="AG32" i="2" a="1"/>
  <c r="AG32" i="2" s="1"/>
  <c r="AG33" i="2" a="1"/>
  <c r="AG33" i="2" s="1"/>
  <c r="AG34" i="2" a="1"/>
  <c r="AG34" i="2" s="1"/>
  <c r="AG35" i="2" a="1"/>
  <c r="AG35" i="2" s="1"/>
  <c r="AG36" i="2" a="1"/>
  <c r="AG36" i="2" s="1"/>
  <c r="AG37" i="2" a="1"/>
  <c r="AG37" i="2" s="1"/>
  <c r="AG38" i="2" a="1"/>
  <c r="AG38" i="2" s="1"/>
  <c r="AG39" i="2" a="1"/>
  <c r="AG39" i="2" s="1"/>
  <c r="AG40" i="2" a="1"/>
  <c r="AG40" i="2" s="1"/>
  <c r="AG41" i="2" a="1"/>
  <c r="AG41" i="2" s="1"/>
  <c r="AG42" i="2" a="1"/>
  <c r="AG42" i="2" s="1"/>
  <c r="AG43" i="2" a="1"/>
  <c r="AG43" i="2" s="1"/>
  <c r="AG44" i="2" a="1"/>
  <c r="AG44" i="2" s="1"/>
  <c r="AG45" i="2" a="1"/>
  <c r="AG45" i="2" s="1"/>
  <c r="AG46" i="2" a="1"/>
  <c r="AG46" i="2" s="1"/>
  <c r="AG47" i="2" a="1"/>
  <c r="AG47" i="2" s="1"/>
  <c r="AG48" i="2" a="1"/>
  <c r="AG48" i="2" s="1"/>
  <c r="AG55" i="2" a="1"/>
  <c r="AG55" i="2" s="1"/>
  <c r="AG56" i="2" a="1"/>
  <c r="AG56" i="2" s="1"/>
  <c r="AG63" i="2" a="1"/>
  <c r="AG63" i="2" s="1"/>
  <c r="AG64" i="2" a="1"/>
  <c r="AG64" i="2" s="1"/>
  <c r="AG71" i="2" a="1"/>
  <c r="AG71" i="2" s="1"/>
  <c r="AG72" i="2" a="1"/>
  <c r="AG72" i="2" s="1"/>
  <c r="AG79" i="2" a="1"/>
  <c r="AG79" i="2" s="1"/>
  <c r="AG80" i="2" a="1"/>
  <c r="AG80" i="2" s="1"/>
  <c r="AG85" i="2" a="1"/>
  <c r="AG85" i="2" s="1"/>
  <c r="AG86" i="2" a="1"/>
  <c r="AG86" i="2" s="1"/>
  <c r="AG89" i="2" a="1"/>
  <c r="AG89" i="2" s="1"/>
  <c r="AG105" i="2" a="1"/>
  <c r="AG105" i="2" s="1"/>
  <c r="AG106" i="2" a="1"/>
  <c r="AG106" i="2" s="1"/>
  <c r="AG109" i="2" a="1"/>
  <c r="AG109" i="2" s="1"/>
  <c r="AG113" i="2" a="1"/>
  <c r="AG113" i="2" s="1"/>
  <c r="AG119" i="2" a="1"/>
  <c r="AG119" i="2" s="1"/>
  <c r="AG122" i="2" a="1"/>
  <c r="AG122" i="2" s="1"/>
  <c r="AG127" i="2" a="1"/>
  <c r="AG127" i="2" s="1"/>
  <c r="AG128" i="2" a="1"/>
  <c r="AG128" i="2" s="1"/>
  <c r="AG131" i="2" a="1"/>
  <c r="AG131" i="2" s="1"/>
  <c r="AG132" i="2" a="1"/>
  <c r="AG132" i="2" s="1"/>
  <c r="AG135" i="2" a="1"/>
  <c r="AG135" i="2" s="1"/>
  <c r="AG138" i="2" a="1"/>
  <c r="AG138" i="2" s="1"/>
  <c r="AG144" i="2" a="1"/>
  <c r="AG144" i="2" s="1"/>
  <c r="AG149" i="2" a="1"/>
  <c r="AG149" i="2" s="1"/>
  <c r="AG90" i="2" a="1"/>
  <c r="AG90" i="2" s="1"/>
  <c r="AG93" i="2" a="1"/>
  <c r="AG93" i="2" s="1"/>
  <c r="AG94" i="2" a="1"/>
  <c r="AG94" i="2" s="1"/>
  <c r="AG97" i="2" a="1"/>
  <c r="AG97" i="2" s="1"/>
  <c r="AG98" i="2" a="1"/>
  <c r="AG98" i="2" s="1"/>
  <c r="AG101" i="2" a="1"/>
  <c r="AG101" i="2" s="1"/>
  <c r="AG102" i="2" a="1"/>
  <c r="AG102" i="2" s="1"/>
  <c r="AG110" i="2" a="1"/>
  <c r="AG110" i="2" s="1"/>
  <c r="AG114" i="2" a="1"/>
  <c r="AG114" i="2" s="1"/>
  <c r="AG117" i="2" a="1"/>
  <c r="AG117" i="2" s="1"/>
  <c r="AG120" i="2" a="1"/>
  <c r="AG120" i="2" s="1"/>
  <c r="AG125" i="2" a="1"/>
  <c r="AG125" i="2" s="1"/>
  <c r="AG136" i="2" a="1"/>
  <c r="AG136" i="2" s="1"/>
  <c r="AG141" i="2" a="1"/>
  <c r="AG141" i="2" s="1"/>
  <c r="AG147" i="2" a="1"/>
  <c r="AG147" i="2" s="1"/>
  <c r="AG87" i="2" a="1"/>
  <c r="AG87" i="2" s="1"/>
  <c r="AG88" i="2" a="1"/>
  <c r="AG88" i="2" s="1"/>
  <c r="AG103" i="2" a="1"/>
  <c r="AG103" i="2" s="1"/>
  <c r="AG104" i="2" a="1"/>
  <c r="AG104" i="2" s="1"/>
  <c r="AG107" i="2" a="1"/>
  <c r="AG107" i="2" s="1"/>
  <c r="AG108" i="2" a="1"/>
  <c r="AG108" i="2" s="1"/>
  <c r="AG111" i="2" a="1"/>
  <c r="AG111" i="2" s="1"/>
  <c r="AG115" i="2" a="1"/>
  <c r="AG115" i="2" s="1"/>
  <c r="AG118" i="2" a="1"/>
  <c r="AG118" i="2" s="1"/>
  <c r="AG123" i="2" a="1"/>
  <c r="AG123" i="2" s="1"/>
  <c r="AG126" i="2" a="1"/>
  <c r="AG126" i="2" s="1"/>
  <c r="AG129" i="2" a="1"/>
  <c r="AG129" i="2" s="1"/>
  <c r="AG130" i="2" a="1"/>
  <c r="AG130" i="2" s="1"/>
  <c r="AG133" i="2" a="1"/>
  <c r="AG133" i="2" s="1"/>
  <c r="AG134" i="2" a="1"/>
  <c r="AG134" i="2" s="1"/>
  <c r="AG139" i="2" a="1"/>
  <c r="AG139" i="2" s="1"/>
  <c r="AG142" i="2" a="1"/>
  <c r="AG142" i="2" s="1"/>
  <c r="AG145" i="2" a="1"/>
  <c r="AG145" i="2" s="1"/>
  <c r="AG148" i="2" a="1"/>
  <c r="AG148" i="2" s="1"/>
  <c r="AG91" i="2" a="1"/>
  <c r="AG91" i="2" s="1"/>
  <c r="AG92" i="2" a="1"/>
  <c r="AG92" i="2" s="1"/>
  <c r="AG95" i="2" a="1"/>
  <c r="AG95" i="2" s="1"/>
  <c r="AG96" i="2" a="1"/>
  <c r="AG96" i="2" s="1"/>
  <c r="AG99" i="2" a="1"/>
  <c r="AG99" i="2" s="1"/>
  <c r="AG100" i="2" a="1"/>
  <c r="AG100" i="2" s="1"/>
  <c r="AG112" i="2" a="1"/>
  <c r="AG112" i="2" s="1"/>
  <c r="AG116" i="2" a="1"/>
  <c r="AG116" i="2" s="1"/>
  <c r="AG121" i="2" a="1"/>
  <c r="AG121" i="2" s="1"/>
  <c r="AG124" i="2" a="1"/>
  <c r="AG124" i="2" s="1"/>
  <c r="AG137" i="2" a="1"/>
  <c r="AG137" i="2" s="1"/>
  <c r="AG140" i="2" a="1"/>
  <c r="AG140" i="2" s="1"/>
  <c r="AG143" i="2" a="1"/>
  <c r="AG143" i="2" s="1"/>
  <c r="AG146" i="2" a="1"/>
  <c r="AG146" i="2" s="1"/>
  <c r="AG151" i="2" a="1"/>
  <c r="AG151" i="2" s="1"/>
  <c r="AG154" i="2" a="1"/>
  <c r="AG154" i="2" s="1"/>
  <c r="AG161" i="2" a="1"/>
  <c r="AG161" i="2" s="1"/>
  <c r="AG164" i="2" a="1"/>
  <c r="AG164" i="2" s="1"/>
  <c r="AG152" i="2" a="1"/>
  <c r="AG152" i="2" s="1"/>
  <c r="AG157" i="2" a="1"/>
  <c r="AG157" i="2" s="1"/>
  <c r="AG162" i="2" a="1"/>
  <c r="AG162" i="2" s="1"/>
  <c r="AG165" i="2" a="1"/>
  <c r="AG165" i="2" s="1"/>
  <c r="AG166" i="2" a="1"/>
  <c r="AG166" i="2" s="1"/>
  <c r="AG167" i="2" a="1"/>
  <c r="AG167" i="2" s="1"/>
  <c r="AG168" i="2" a="1"/>
  <c r="AG168" i="2" s="1"/>
  <c r="AG169" i="2" a="1"/>
  <c r="AG169" i="2" s="1"/>
  <c r="AG170" i="2" a="1"/>
  <c r="AG170" i="2" s="1"/>
  <c r="AG171" i="2" a="1"/>
  <c r="AG171" i="2" s="1"/>
  <c r="AG172" i="2" a="1"/>
  <c r="AG172" i="2" s="1"/>
  <c r="AG173" i="2" a="1"/>
  <c r="AG173" i="2" s="1"/>
  <c r="AG174" i="2" a="1"/>
  <c r="AG174" i="2" s="1"/>
  <c r="AG175" i="2" a="1"/>
  <c r="AG175" i="2" s="1"/>
  <c r="AG176" i="2" a="1"/>
  <c r="AG176" i="2" s="1"/>
  <c r="AG177" i="2" a="1"/>
  <c r="AG177" i="2" s="1"/>
  <c r="AG178" i="2" a="1"/>
  <c r="AG178" i="2" s="1"/>
  <c r="AG179" i="2" a="1"/>
  <c r="AG179" i="2" s="1"/>
  <c r="AG180" i="2" a="1"/>
  <c r="AG180" i="2" s="1"/>
  <c r="AG181" i="2" a="1"/>
  <c r="AG181" i="2" s="1"/>
  <c r="AG182" i="2" a="1"/>
  <c r="AG182" i="2" s="1"/>
  <c r="AG183" i="2" a="1"/>
  <c r="AG183" i="2" s="1"/>
  <c r="AG184" i="2" a="1"/>
  <c r="AG184" i="2" s="1"/>
  <c r="AG185" i="2" a="1"/>
  <c r="AG185" i="2" s="1"/>
  <c r="AG186" i="2" a="1"/>
  <c r="AG186" i="2" s="1"/>
  <c r="AG187" i="2" a="1"/>
  <c r="AG187" i="2" s="1"/>
  <c r="AG188" i="2" a="1"/>
  <c r="AG188" i="2" s="1"/>
  <c r="AG189" i="2" a="1"/>
  <c r="AG189" i="2" s="1"/>
  <c r="AG190" i="2" a="1"/>
  <c r="AG190" i="2" s="1"/>
  <c r="AG191" i="2" a="1"/>
  <c r="AG191" i="2" s="1"/>
  <c r="AG192" i="2" a="1"/>
  <c r="AG192" i="2" s="1"/>
  <c r="AG193" i="2" a="1"/>
  <c r="AG193" i="2" s="1"/>
  <c r="AG194" i="2" a="1"/>
  <c r="AG194" i="2" s="1"/>
  <c r="AG195" i="2" a="1"/>
  <c r="AG195" i="2" s="1"/>
  <c r="AG196" i="2" a="1"/>
  <c r="AG196" i="2" s="1"/>
  <c r="AG197" i="2" a="1"/>
  <c r="AG197" i="2" s="1"/>
  <c r="AG198" i="2" a="1"/>
  <c r="AG198" i="2" s="1"/>
  <c r="AG199" i="2" a="1"/>
  <c r="AG199" i="2" s="1"/>
  <c r="AG200" i="2" a="1"/>
  <c r="AG200" i="2" s="1"/>
  <c r="AG201" i="2" a="1"/>
  <c r="AG201" i="2" s="1"/>
  <c r="AG202" i="2" a="1"/>
  <c r="AG202" i="2" s="1"/>
  <c r="AG203" i="2" a="1"/>
  <c r="AG203" i="2" s="1"/>
  <c r="AG204" i="2" a="1"/>
  <c r="AG204" i="2" s="1"/>
  <c r="AG205" i="2" a="1"/>
  <c r="AG205" i="2" s="1"/>
  <c r="AG206" i="2" a="1"/>
  <c r="AG206" i="2" s="1"/>
  <c r="AG207" i="2" a="1"/>
  <c r="AG207" i="2" s="1"/>
  <c r="AG208" i="2" a="1"/>
  <c r="AG208" i="2" s="1"/>
  <c r="AG209" i="2" a="1"/>
  <c r="AG209" i="2" s="1"/>
  <c r="AG210" i="2" a="1"/>
  <c r="AG210" i="2" s="1"/>
  <c r="AG211" i="2" a="1"/>
  <c r="AG211" i="2" s="1"/>
  <c r="AG212" i="2" a="1"/>
  <c r="AG212" i="2" s="1"/>
  <c r="AG213" i="2" a="1"/>
  <c r="AG213" i="2" s="1"/>
  <c r="AG214" i="2" a="1"/>
  <c r="AG214" i="2" s="1"/>
  <c r="AG215" i="2" a="1"/>
  <c r="AG215" i="2" s="1"/>
  <c r="AG216" i="2" a="1"/>
  <c r="AG216" i="2" s="1"/>
  <c r="AG217" i="2" a="1"/>
  <c r="AG217" i="2" s="1"/>
  <c r="AG218" i="2" a="1"/>
  <c r="AG218" i="2" s="1"/>
  <c r="AG219" i="2" a="1"/>
  <c r="AG219" i="2" s="1"/>
  <c r="AG220" i="2" a="1"/>
  <c r="AG220" i="2" s="1"/>
  <c r="AG221" i="2" a="1"/>
  <c r="AG221" i="2" s="1"/>
  <c r="AG222" i="2" a="1"/>
  <c r="AG222" i="2" s="1"/>
  <c r="AG223" i="2" a="1"/>
  <c r="AG223" i="2" s="1"/>
  <c r="AG224" i="2" a="1"/>
  <c r="AG224" i="2" s="1"/>
  <c r="AG225" i="2" a="1"/>
  <c r="AG225" i="2" s="1"/>
  <c r="AG226" i="2" a="1"/>
  <c r="AG226" i="2" s="1"/>
  <c r="AG227" i="2" a="1"/>
  <c r="AG227" i="2" s="1"/>
  <c r="AG228" i="2" a="1"/>
  <c r="AG228" i="2" s="1"/>
  <c r="AG229" i="2" a="1"/>
  <c r="AG229" i="2" s="1"/>
  <c r="AG150" i="2" a="1"/>
  <c r="AG150" i="2" s="1"/>
  <c r="AG155" i="2" a="1"/>
  <c r="AG155" i="2" s="1"/>
  <c r="AG158" i="2" a="1"/>
  <c r="AG158" i="2" s="1"/>
  <c r="AG153" i="2" a="1"/>
  <c r="AG153" i="2" s="1"/>
  <c r="AG156" i="2" a="1"/>
  <c r="AG156" i="2" s="1"/>
  <c r="AG159" i="2" a="1"/>
  <c r="AG159" i="2" s="1"/>
  <c r="AG160" i="2" a="1"/>
  <c r="AG160" i="2" s="1"/>
  <c r="AG163" i="2" a="1"/>
  <c r="AG163" i="2" s="1"/>
  <c r="AG230" i="2" a="1"/>
  <c r="AG230" i="2" s="1"/>
  <c r="AG243" i="2" a="1"/>
  <c r="AG243" i="2" s="1"/>
  <c r="AG250" i="2" a="1"/>
  <c r="AG250" i="2" s="1"/>
  <c r="AG251" i="2" a="1"/>
  <c r="AG251" i="2" s="1"/>
  <c r="AG258" i="2" a="1"/>
  <c r="AG258" i="2" s="1"/>
  <c r="AG259" i="2" a="1"/>
  <c r="AG259" i="2" s="1"/>
  <c r="AG266" i="2" a="1"/>
  <c r="AG266" i="2" s="1"/>
  <c r="AG267" i="2" a="1"/>
  <c r="AG267" i="2" s="1"/>
  <c r="AG274" i="2" a="1"/>
  <c r="AG274" i="2" s="1"/>
  <c r="AG275" i="2" a="1"/>
  <c r="AG275" i="2" s="1"/>
  <c r="AG290" i="2" a="1"/>
  <c r="AG290" i="2" s="1"/>
  <c r="AG294" i="2" a="1"/>
  <c r="AG294" i="2" s="1"/>
  <c r="AG298" i="2" a="1"/>
  <c r="AG298" i="2" s="1"/>
  <c r="AG302" i="2" a="1"/>
  <c r="AG302" i="2" s="1"/>
  <c r="AG306" i="2" a="1"/>
  <c r="AG306" i="2" s="1"/>
  <c r="AG310" i="2" a="1"/>
  <c r="AG310" i="2" s="1"/>
  <c r="AG314" i="2" a="1"/>
  <c r="AG314" i="2" s="1"/>
  <c r="AG318" i="2" a="1"/>
  <c r="AG318" i="2" s="1"/>
  <c r="AG322" i="2" a="1"/>
  <c r="AG322" i="2" s="1"/>
  <c r="AG326" i="2" a="1"/>
  <c r="AG326" i="2" s="1"/>
  <c r="AG330" i="2" a="1"/>
  <c r="AG330" i="2" s="1"/>
  <c r="AG331" i="2" a="1"/>
  <c r="AG331" i="2" s="1"/>
  <c r="AG332" i="2" a="1"/>
  <c r="AG332" i="2" s="1"/>
  <c r="AG333" i="2" a="1"/>
  <c r="AG333" i="2" s="1"/>
  <c r="AG334" i="2" a="1"/>
  <c r="AG334" i="2" s="1"/>
  <c r="AG335" i="2" a="1"/>
  <c r="AG335" i="2" s="1"/>
  <c r="AG336" i="2" a="1"/>
  <c r="AG336" i="2" s="1"/>
  <c r="AG337" i="2" a="1"/>
  <c r="AG337" i="2" s="1"/>
  <c r="AG338" i="2" a="1"/>
  <c r="AG338" i="2" s="1"/>
  <c r="AG339" i="2" a="1"/>
  <c r="AG339" i="2" s="1"/>
  <c r="AG340" i="2" a="1"/>
  <c r="AG340" i="2" s="1"/>
  <c r="AG341" i="2" a="1"/>
  <c r="AG341" i="2" s="1"/>
  <c r="AG342" i="2" a="1"/>
  <c r="AG342" i="2" s="1"/>
  <c r="AG343" i="2" a="1"/>
  <c r="AG343" i="2" s="1"/>
  <c r="AG344" i="2" a="1"/>
  <c r="AG344" i="2" s="1"/>
  <c r="AG345" i="2" a="1"/>
  <c r="AG345" i="2" s="1"/>
  <c r="AG346" i="2" a="1"/>
  <c r="AG346" i="2" s="1"/>
  <c r="AG347" i="2" a="1"/>
  <c r="AG347" i="2" s="1"/>
  <c r="AG348" i="2" a="1"/>
  <c r="AG348" i="2" s="1"/>
  <c r="AG349" i="2" a="1"/>
  <c r="AG349" i="2" s="1"/>
  <c r="AG350" i="2" a="1"/>
  <c r="AG350" i="2" s="1"/>
  <c r="AG351" i="2" a="1"/>
  <c r="AG351" i="2" s="1"/>
  <c r="AG352" i="2" a="1"/>
  <c r="AG352" i="2" s="1"/>
  <c r="AG353" i="2" a="1"/>
  <c r="AG353" i="2" s="1"/>
  <c r="AG354" i="2" a="1"/>
  <c r="AG354" i="2" s="1"/>
  <c r="AG355" i="2" a="1"/>
  <c r="AG355" i="2" s="1"/>
  <c r="AG356" i="2" a="1"/>
  <c r="AG356" i="2" s="1"/>
  <c r="AG357" i="2" a="1"/>
  <c r="AG357" i="2" s="1"/>
  <c r="AG358" i="2" a="1"/>
  <c r="AG358" i="2" s="1"/>
  <c r="AG359" i="2" a="1"/>
  <c r="AG359" i="2" s="1"/>
  <c r="AG360" i="2" a="1"/>
  <c r="AG360" i="2" s="1"/>
  <c r="AG361" i="2" a="1"/>
  <c r="AG361" i="2" s="1"/>
  <c r="AG362" i="2" a="1"/>
  <c r="AG362" i="2" s="1"/>
  <c r="AG363" i="2" a="1"/>
  <c r="AG363" i="2" s="1"/>
  <c r="AG364" i="2" a="1"/>
  <c r="AG364" i="2" s="1"/>
  <c r="AG365" i="2" a="1"/>
  <c r="AG365" i="2" s="1"/>
  <c r="AG366" i="2" a="1"/>
  <c r="AG366" i="2" s="1"/>
  <c r="AG367" i="2" a="1"/>
  <c r="AG367" i="2" s="1"/>
  <c r="AG368" i="2" a="1"/>
  <c r="AG368" i="2" s="1"/>
  <c r="AG369" i="2" a="1"/>
  <c r="AG369" i="2" s="1"/>
  <c r="AG370" i="2" a="1"/>
  <c r="AG370" i="2" s="1"/>
  <c r="AG371" i="2" a="1"/>
  <c r="AG371" i="2" s="1"/>
  <c r="AG372" i="2" a="1"/>
  <c r="AG372" i="2" s="1"/>
  <c r="AG373" i="2" a="1"/>
  <c r="AG373" i="2" s="1"/>
  <c r="AG374" i="2" a="1"/>
  <c r="AG374" i="2" s="1"/>
  <c r="AG375" i="2" a="1"/>
  <c r="AG375" i="2" s="1"/>
  <c r="AG376" i="2" a="1"/>
  <c r="AG376" i="2" s="1"/>
  <c r="AG377" i="2" a="1"/>
  <c r="AG377" i="2" s="1"/>
  <c r="AG378" i="2" a="1"/>
  <c r="AG378" i="2" s="1"/>
  <c r="AG379" i="2" a="1"/>
  <c r="AG379" i="2" s="1"/>
  <c r="AG380" i="2" a="1"/>
  <c r="AG380" i="2" s="1"/>
  <c r="AG381" i="2" a="1"/>
  <c r="AG381" i="2" s="1"/>
  <c r="AG382" i="2" a="1"/>
  <c r="AG382" i="2" s="1"/>
  <c r="AG383" i="2" a="1"/>
  <c r="AG383" i="2" s="1"/>
  <c r="AG231" i="2" a="1"/>
  <c r="AG231" i="2" s="1"/>
  <c r="AG244" i="2" a="1"/>
  <c r="AG244" i="2" s="1"/>
  <c r="AG245" i="2" a="1"/>
  <c r="AG245" i="2" s="1"/>
  <c r="AG252" i="2" a="1"/>
  <c r="AG252" i="2" s="1"/>
  <c r="AG253" i="2" a="1"/>
  <c r="AG253" i="2" s="1"/>
  <c r="AG260" i="2" a="1"/>
  <c r="AG260" i="2" s="1"/>
  <c r="AG261" i="2" a="1"/>
  <c r="AG261" i="2" s="1"/>
  <c r="AG268" i="2" a="1"/>
  <c r="AG268" i="2" s="1"/>
  <c r="AG269" i="2" a="1"/>
  <c r="AG269" i="2" s="1"/>
  <c r="AG276" i="2" a="1"/>
  <c r="AG276" i="2" s="1"/>
  <c r="AG277" i="2" a="1"/>
  <c r="AG277" i="2" s="1"/>
  <c r="AG280" i="2" a="1"/>
  <c r="AG280" i="2" s="1"/>
  <c r="AG281" i="2" a="1"/>
  <c r="AG281" i="2" s="1"/>
  <c r="AG284" i="2" a="1"/>
  <c r="AG284" i="2" s="1"/>
  <c r="AG285" i="2" a="1"/>
  <c r="AG285" i="2" s="1"/>
  <c r="AG291" i="2" a="1"/>
  <c r="AG291" i="2" s="1"/>
  <c r="AG295" i="2" a="1"/>
  <c r="AG295" i="2" s="1"/>
  <c r="AG299" i="2" a="1"/>
  <c r="AG299" i="2" s="1"/>
  <c r="AG303" i="2" a="1"/>
  <c r="AG303" i="2" s="1"/>
  <c r="AG307" i="2" a="1"/>
  <c r="AG307" i="2" s="1"/>
  <c r="AG311" i="2" a="1"/>
  <c r="AG311" i="2" s="1"/>
  <c r="AG315" i="2" a="1"/>
  <c r="AG315" i="2" s="1"/>
  <c r="AG319" i="2" a="1"/>
  <c r="AG319" i="2" s="1"/>
  <c r="AG323" i="2" a="1"/>
  <c r="AG323" i="2" s="1"/>
  <c r="AG327" i="2" a="1"/>
  <c r="AG327" i="2" s="1"/>
  <c r="AG232" i="2" a="1"/>
  <c r="AG232" i="2" s="1"/>
  <c r="AG233" i="2" a="1"/>
  <c r="AG233" i="2" s="1"/>
  <c r="AG234" i="2" a="1"/>
  <c r="AG234" i="2" s="1"/>
  <c r="AG235" i="2" a="1"/>
  <c r="AG235" i="2" s="1"/>
  <c r="AG236" i="2" a="1"/>
  <c r="AG236" i="2" s="1"/>
  <c r="AG237" i="2" a="1"/>
  <c r="AG237" i="2" s="1"/>
  <c r="AG238" i="2" a="1"/>
  <c r="AG238" i="2" s="1"/>
  <c r="AG239" i="2" a="1"/>
  <c r="AG239" i="2" s="1"/>
  <c r="AG240" i="2" a="1"/>
  <c r="AG240" i="2" s="1"/>
  <c r="AG241" i="2" a="1"/>
  <c r="AG241" i="2" s="1"/>
  <c r="AG246" i="2" a="1"/>
  <c r="AG246" i="2" s="1"/>
  <c r="AG247" i="2" a="1"/>
  <c r="AG247" i="2" s="1"/>
  <c r="AG254" i="2" a="1"/>
  <c r="AG254" i="2" s="1"/>
  <c r="AG255" i="2" a="1"/>
  <c r="AG255" i="2" s="1"/>
  <c r="AG262" i="2" a="1"/>
  <c r="AG262" i="2" s="1"/>
  <c r="AG263" i="2" a="1"/>
  <c r="AG263" i="2" s="1"/>
  <c r="AG270" i="2" a="1"/>
  <c r="AG270" i="2" s="1"/>
  <c r="AG271" i="2" a="1"/>
  <c r="AG271" i="2" s="1"/>
  <c r="AG286" i="2" a="1"/>
  <c r="AG286" i="2" s="1"/>
  <c r="AG287" i="2" a="1"/>
  <c r="AG287" i="2" s="1"/>
  <c r="AG292" i="2" a="1"/>
  <c r="AG292" i="2" s="1"/>
  <c r="AG296" i="2" a="1"/>
  <c r="AG296" i="2" s="1"/>
  <c r="AG300" i="2" a="1"/>
  <c r="AG300" i="2" s="1"/>
  <c r="AG304" i="2" a="1"/>
  <c r="AG304" i="2" s="1"/>
  <c r="AG308" i="2" a="1"/>
  <c r="AG308" i="2" s="1"/>
  <c r="AG312" i="2" a="1"/>
  <c r="AG312" i="2" s="1"/>
  <c r="AG316" i="2" a="1"/>
  <c r="AG316" i="2" s="1"/>
  <c r="AG320" i="2" a="1"/>
  <c r="AG320" i="2" s="1"/>
  <c r="AG324" i="2" a="1"/>
  <c r="AG324" i="2" s="1"/>
  <c r="AG328" i="2" a="1"/>
  <c r="AG328" i="2" s="1"/>
  <c r="AG242" i="2" a="1"/>
  <c r="AG242" i="2" s="1"/>
  <c r="AG248" i="2" a="1"/>
  <c r="AG248" i="2" s="1"/>
  <c r="AG249" i="2" a="1"/>
  <c r="AG249" i="2" s="1"/>
  <c r="AG256" i="2" a="1"/>
  <c r="AG256" i="2" s="1"/>
  <c r="AG257" i="2" a="1"/>
  <c r="AG257" i="2" s="1"/>
  <c r="AG264" i="2" a="1"/>
  <c r="AG264" i="2" s="1"/>
  <c r="AG265" i="2" a="1"/>
  <c r="AG265" i="2" s="1"/>
  <c r="AG272" i="2" a="1"/>
  <c r="AG272" i="2" s="1"/>
  <c r="AG273" i="2" a="1"/>
  <c r="AG273" i="2" s="1"/>
  <c r="AG278" i="2" a="1"/>
  <c r="AG278" i="2" s="1"/>
  <c r="AG279" i="2" a="1"/>
  <c r="AG279" i="2" s="1"/>
  <c r="AG282" i="2" a="1"/>
  <c r="AG282" i="2" s="1"/>
  <c r="AG283" i="2" a="1"/>
  <c r="AG283" i="2" s="1"/>
  <c r="AG288" i="2" a="1"/>
  <c r="AG288" i="2" s="1"/>
  <c r="AG289" i="2" a="1"/>
  <c r="AG289" i="2" s="1"/>
  <c r="AG293" i="2" a="1"/>
  <c r="AG293" i="2" s="1"/>
  <c r="AG297" i="2" a="1"/>
  <c r="AG297" i="2" s="1"/>
  <c r="AG301" i="2" a="1"/>
  <c r="AG301" i="2" s="1"/>
  <c r="AG305" i="2" a="1"/>
  <c r="AG305" i="2" s="1"/>
  <c r="AG309" i="2" a="1"/>
  <c r="AG309" i="2" s="1"/>
  <c r="AG313" i="2" a="1"/>
  <c r="AG313" i="2" s="1"/>
  <c r="AG317" i="2" a="1"/>
  <c r="AG317" i="2" s="1"/>
  <c r="AG321" i="2" a="1"/>
  <c r="AG321" i="2" s="1"/>
  <c r="AG325" i="2" a="1"/>
  <c r="AG325" i="2" s="1"/>
  <c r="AG329" i="2" a="1"/>
  <c r="AG329" i="2" s="1"/>
  <c r="AG467" i="2" a="1"/>
  <c r="AG467" i="2" s="1"/>
  <c r="AG471" i="2" a="1"/>
  <c r="AG471" i="2" s="1"/>
  <c r="AG475" i="2" a="1"/>
  <c r="AG475" i="2" s="1"/>
  <c r="AG479" i="2" a="1"/>
  <c r="AG479" i="2" s="1"/>
  <c r="AG483" i="2" a="1"/>
  <c r="AG483" i="2" s="1"/>
  <c r="AG487" i="2" a="1"/>
  <c r="AG487" i="2" s="1"/>
  <c r="AG491" i="2" a="1"/>
  <c r="AG491" i="2" s="1"/>
  <c r="AG492" i="2" a="1"/>
  <c r="AG492" i="2" s="1"/>
  <c r="AG493" i="2" a="1"/>
  <c r="AG493" i="2" s="1"/>
  <c r="AG494" i="2" a="1"/>
  <c r="AG494" i="2" s="1"/>
  <c r="AG495" i="2" a="1"/>
  <c r="AG495" i="2" s="1"/>
  <c r="AG496" i="2" a="1"/>
  <c r="AG496" i="2" s="1"/>
  <c r="AG497" i="2" a="1"/>
  <c r="AG497" i="2" s="1"/>
  <c r="AG498" i="2" a="1"/>
  <c r="AG498" i="2" s="1"/>
  <c r="AG499" i="2" a="1"/>
  <c r="AG499" i="2" s="1"/>
  <c r="AG500" i="2" a="1"/>
  <c r="AG500" i="2" s="1"/>
  <c r="AG501" i="2" a="1"/>
  <c r="AG501" i="2" s="1"/>
  <c r="AG502" i="2" a="1"/>
  <c r="AG502" i="2" s="1"/>
  <c r="AG503" i="2" a="1"/>
  <c r="AG503" i="2" s="1"/>
  <c r="AG504" i="2" a="1"/>
  <c r="AG504" i="2" s="1"/>
  <c r="AG505" i="2" a="1"/>
  <c r="AG505" i="2" s="1"/>
  <c r="AG506" i="2" a="1"/>
  <c r="AG506" i="2" s="1"/>
  <c r="AG507" i="2" a="1"/>
  <c r="AG507" i="2" s="1"/>
  <c r="AG508" i="2" a="1"/>
  <c r="AG508" i="2" s="1"/>
  <c r="AG509" i="2" a="1"/>
  <c r="AG509" i="2" s="1"/>
  <c r="AG510" i="2" a="1"/>
  <c r="AG510" i="2" s="1"/>
  <c r="AG511" i="2" a="1"/>
  <c r="AG511" i="2" s="1"/>
  <c r="AG512" i="2" a="1"/>
  <c r="AG512" i="2" s="1"/>
  <c r="AG513" i="2" a="1"/>
  <c r="AG513" i="2" s="1"/>
  <c r="AG514" i="2" a="1"/>
  <c r="AG514" i="2" s="1"/>
  <c r="AG515" i="2" a="1"/>
  <c r="AG515" i="2" s="1"/>
  <c r="AG516" i="2" a="1"/>
  <c r="AG516" i="2" s="1"/>
  <c r="AG517" i="2" a="1"/>
  <c r="AG517" i="2" s="1"/>
  <c r="AG518" i="2" a="1"/>
  <c r="AG518" i="2" s="1"/>
  <c r="AG519" i="2" a="1"/>
  <c r="AG519" i="2" s="1"/>
  <c r="AG520" i="2" a="1"/>
  <c r="AG520" i="2" s="1"/>
  <c r="AG521" i="2" a="1"/>
  <c r="AG521" i="2" s="1"/>
  <c r="AG522" i="2" a="1"/>
  <c r="AG522" i="2" s="1"/>
  <c r="AG523" i="2" a="1"/>
  <c r="AG523" i="2" s="1"/>
  <c r="AG524" i="2" a="1"/>
  <c r="AG524" i="2" s="1"/>
  <c r="AG525" i="2" a="1"/>
  <c r="AG525" i="2" s="1"/>
  <c r="AG528" i="2" a="1"/>
  <c r="AG528" i="2" s="1"/>
  <c r="AG384" i="2" a="1"/>
  <c r="AG384" i="2" s="1"/>
  <c r="AG385" i="2" a="1"/>
  <c r="AG385" i="2" s="1"/>
  <c r="AG386" i="2" a="1"/>
  <c r="AG386" i="2" s="1"/>
  <c r="AG387" i="2" a="1"/>
  <c r="AG387" i="2" s="1"/>
  <c r="AG388" i="2" a="1"/>
  <c r="AG388" i="2" s="1"/>
  <c r="AG389" i="2" a="1"/>
  <c r="AG389" i="2" s="1"/>
  <c r="AG390" i="2" a="1"/>
  <c r="AG390" i="2" s="1"/>
  <c r="AG391" i="2" a="1"/>
  <c r="AG391" i="2" s="1"/>
  <c r="AG392" i="2" a="1"/>
  <c r="AG392" i="2" s="1"/>
  <c r="AG393" i="2" a="1"/>
  <c r="AG393" i="2" s="1"/>
  <c r="AG394" i="2" a="1"/>
  <c r="AG394" i="2" s="1"/>
  <c r="AG395" i="2" a="1"/>
  <c r="AG395" i="2" s="1"/>
  <c r="AG396" i="2" a="1"/>
  <c r="AG396" i="2" s="1"/>
  <c r="AG397" i="2" a="1"/>
  <c r="AG397" i="2" s="1"/>
  <c r="AG398" i="2" a="1"/>
  <c r="AG398" i="2" s="1"/>
  <c r="AG399" i="2" a="1"/>
  <c r="AG399" i="2" s="1"/>
  <c r="AG400" i="2" a="1"/>
  <c r="AG400" i="2" s="1"/>
  <c r="AG401" i="2" a="1"/>
  <c r="AG401" i="2" s="1"/>
  <c r="AG402" i="2" a="1"/>
  <c r="AG402" i="2" s="1"/>
  <c r="AG403" i="2" a="1"/>
  <c r="AG403" i="2" s="1"/>
  <c r="AG404" i="2" a="1"/>
  <c r="AG404" i="2" s="1"/>
  <c r="AG405" i="2" a="1"/>
  <c r="AG405" i="2" s="1"/>
  <c r="AG406" i="2" a="1"/>
  <c r="AG406" i="2" s="1"/>
  <c r="AG407" i="2" a="1"/>
  <c r="AG407" i="2" s="1"/>
  <c r="AG408" i="2" a="1"/>
  <c r="AG408" i="2" s="1"/>
  <c r="AG409" i="2" a="1"/>
  <c r="AG409" i="2" s="1"/>
  <c r="AG410" i="2" a="1"/>
  <c r="AG410" i="2" s="1"/>
  <c r="AG411" i="2" a="1"/>
  <c r="AG411" i="2" s="1"/>
  <c r="AG412" i="2" a="1"/>
  <c r="AG412" i="2" s="1"/>
  <c r="AG413" i="2" a="1"/>
  <c r="AG413" i="2" s="1"/>
  <c r="AG414" i="2" a="1"/>
  <c r="AG414" i="2" s="1"/>
  <c r="AG415" i="2" a="1"/>
  <c r="AG415" i="2" s="1"/>
  <c r="AG416" i="2" a="1"/>
  <c r="AG416" i="2" s="1"/>
  <c r="AG417" i="2" a="1"/>
  <c r="AG417" i="2" s="1"/>
  <c r="AG418" i="2" a="1"/>
  <c r="AG418" i="2" s="1"/>
  <c r="AG419" i="2" a="1"/>
  <c r="AG419" i="2" s="1"/>
  <c r="AG420" i="2" a="1"/>
  <c r="AG420" i="2" s="1"/>
  <c r="AG421" i="2" a="1"/>
  <c r="AG421" i="2" s="1"/>
  <c r="AG422" i="2" a="1"/>
  <c r="AG422" i="2" s="1"/>
  <c r="AG423" i="2" a="1"/>
  <c r="AG423" i="2" s="1"/>
  <c r="AG424" i="2" a="1"/>
  <c r="AG424" i="2" s="1"/>
  <c r="AG425" i="2" a="1"/>
  <c r="AG425" i="2" s="1"/>
  <c r="AG426" i="2" a="1"/>
  <c r="AG426" i="2" s="1"/>
  <c r="AG427" i="2" a="1"/>
  <c r="AG427" i="2" s="1"/>
  <c r="AG428" i="2" a="1"/>
  <c r="AG428" i="2" s="1"/>
  <c r="AG429" i="2" a="1"/>
  <c r="AG429" i="2" s="1"/>
  <c r="AG430" i="2" a="1"/>
  <c r="AG430" i="2" s="1"/>
  <c r="AG431" i="2" a="1"/>
  <c r="AG431" i="2" s="1"/>
  <c r="AG432" i="2" a="1"/>
  <c r="AG432" i="2" s="1"/>
  <c r="AG433" i="2" a="1"/>
  <c r="AG433" i="2" s="1"/>
  <c r="AG434" i="2" a="1"/>
  <c r="AG434" i="2" s="1"/>
  <c r="AG435" i="2" a="1"/>
  <c r="AG435" i="2" s="1"/>
  <c r="AG436" i="2" a="1"/>
  <c r="AG436" i="2" s="1"/>
  <c r="AG437" i="2" a="1"/>
  <c r="AG437" i="2" s="1"/>
  <c r="AG438" i="2" a="1"/>
  <c r="AG438" i="2" s="1"/>
  <c r="AG439" i="2" a="1"/>
  <c r="AG439" i="2" s="1"/>
  <c r="AG440" i="2" a="1"/>
  <c r="AG440" i="2" s="1"/>
  <c r="AG441" i="2" a="1"/>
  <c r="AG441" i="2" s="1"/>
  <c r="AG442" i="2" a="1"/>
  <c r="AG442" i="2" s="1"/>
  <c r="AG443" i="2" a="1"/>
  <c r="AG443" i="2" s="1"/>
  <c r="AG444" i="2" a="1"/>
  <c r="AG444" i="2" s="1"/>
  <c r="AG445" i="2" a="1"/>
  <c r="AG445" i="2" s="1"/>
  <c r="AG446" i="2" a="1"/>
  <c r="AG446" i="2" s="1"/>
  <c r="AG447" i="2" a="1"/>
  <c r="AG447" i="2" s="1"/>
  <c r="AG448" i="2" a="1"/>
  <c r="AG448" i="2" s="1"/>
  <c r="AG449" i="2" a="1"/>
  <c r="AG449" i="2" s="1"/>
  <c r="AG450" i="2" a="1"/>
  <c r="AG450" i="2" s="1"/>
  <c r="AG451" i="2" a="1"/>
  <c r="AG451" i="2" s="1"/>
  <c r="AG452" i="2" a="1"/>
  <c r="AG452" i="2" s="1"/>
  <c r="AG453" i="2" a="1"/>
  <c r="AG453" i="2" s="1"/>
  <c r="AG454" i="2" a="1"/>
  <c r="AG454" i="2" s="1"/>
  <c r="AG455" i="2" a="1"/>
  <c r="AG455" i="2" s="1"/>
  <c r="AG456" i="2" a="1"/>
  <c r="AG456" i="2" s="1"/>
  <c r="AG457" i="2" a="1"/>
  <c r="AG457" i="2" s="1"/>
  <c r="AG458" i="2" a="1"/>
  <c r="AG458" i="2" s="1"/>
  <c r="AG459" i="2" a="1"/>
  <c r="AG459" i="2" s="1"/>
  <c r="AG460" i="2" a="1"/>
  <c r="AG460" i="2" s="1"/>
  <c r="AG461" i="2" a="1"/>
  <c r="AG461" i="2" s="1"/>
  <c r="AG462" i="2" a="1"/>
  <c r="AG462" i="2" s="1"/>
  <c r="AG463" i="2" a="1"/>
  <c r="AG463" i="2" s="1"/>
  <c r="AG464" i="2" a="1"/>
  <c r="AG464" i="2" s="1"/>
  <c r="AG468" i="2" a="1"/>
  <c r="AG468" i="2" s="1"/>
  <c r="AG472" i="2" a="1"/>
  <c r="AG472" i="2" s="1"/>
  <c r="AG476" i="2" a="1"/>
  <c r="AG476" i="2" s="1"/>
  <c r="AG480" i="2" a="1"/>
  <c r="AG480" i="2" s="1"/>
  <c r="AG484" i="2" a="1"/>
  <c r="AG484" i="2" s="1"/>
  <c r="AG488" i="2" a="1"/>
  <c r="AG488" i="2" s="1"/>
  <c r="AG529" i="2" a="1"/>
  <c r="AG529" i="2" s="1"/>
  <c r="AG530" i="2" a="1"/>
  <c r="AG530" i="2" s="1"/>
  <c r="AG531" i="2" a="1"/>
  <c r="AG531" i="2" s="1"/>
  <c r="AG532" i="2" a="1"/>
  <c r="AG532" i="2" s="1"/>
  <c r="AG533" i="2" a="1"/>
  <c r="AG533" i="2" s="1"/>
  <c r="AG534" i="2" a="1"/>
  <c r="AG534" i="2" s="1"/>
  <c r="AG535" i="2" a="1"/>
  <c r="AG535" i="2" s="1"/>
  <c r="AG536" i="2" a="1"/>
  <c r="AG536" i="2" s="1"/>
  <c r="AG537" i="2" a="1"/>
  <c r="AG537" i="2" s="1"/>
  <c r="AG538" i="2" a="1"/>
  <c r="AG538" i="2" s="1"/>
  <c r="AG539" i="2" a="1"/>
  <c r="AG539" i="2" s="1"/>
  <c r="AG540" i="2" a="1"/>
  <c r="AG540" i="2" s="1"/>
  <c r="AG541" i="2" a="1"/>
  <c r="AG541" i="2" s="1"/>
  <c r="AG542" i="2" a="1"/>
  <c r="AG542" i="2" s="1"/>
  <c r="AG543" i="2" a="1"/>
  <c r="AG543" i="2" s="1"/>
  <c r="AG544" i="2" a="1"/>
  <c r="AG544" i="2" s="1"/>
  <c r="AG545" i="2" a="1"/>
  <c r="AG545" i="2" s="1"/>
  <c r="AG465" i="2" a="1"/>
  <c r="AG465" i="2" s="1"/>
  <c r="AG469" i="2" a="1"/>
  <c r="AG469" i="2" s="1"/>
  <c r="AG473" i="2" a="1"/>
  <c r="AG473" i="2" s="1"/>
  <c r="AG477" i="2" a="1"/>
  <c r="AG477" i="2" s="1"/>
  <c r="AG481" i="2" a="1"/>
  <c r="AG481" i="2" s="1"/>
  <c r="AG485" i="2" a="1"/>
  <c r="AG485" i="2" s="1"/>
  <c r="AG489" i="2" a="1"/>
  <c r="AG489" i="2" s="1"/>
  <c r="AG526" i="2" a="1"/>
  <c r="AG526" i="2" s="1"/>
  <c r="AG527" i="2" a="1"/>
  <c r="AG527" i="2" s="1"/>
  <c r="AG466" i="2" a="1"/>
  <c r="AG466" i="2" s="1"/>
  <c r="AG470" i="2" a="1"/>
  <c r="AG470" i="2" s="1"/>
  <c r="AG474" i="2" a="1"/>
  <c r="AG474" i="2" s="1"/>
  <c r="AG478" i="2" a="1"/>
  <c r="AG478" i="2" s="1"/>
  <c r="AG482" i="2" a="1"/>
  <c r="AG482" i="2" s="1"/>
  <c r="AG486" i="2" a="1"/>
  <c r="AG486" i="2" s="1"/>
  <c r="AG490" i="2" a="1"/>
  <c r="AG490" i="2" s="1"/>
  <c r="AG546" i="2" a="1"/>
  <c r="AG546" i="2" s="1"/>
  <c r="AG547" i="2" a="1"/>
  <c r="AG547" i="2" s="1"/>
  <c r="AG548" i="2" a="1"/>
  <c r="AG548" i="2" s="1"/>
  <c r="AG549" i="2" a="1"/>
  <c r="AG549" i="2" s="1"/>
  <c r="AG550" i="2" a="1"/>
  <c r="AG550" i="2" s="1"/>
  <c r="AG551" i="2" a="1"/>
  <c r="AG551" i="2" s="1"/>
  <c r="AG552" i="2" a="1"/>
  <c r="AG552" i="2" s="1"/>
  <c r="AG553" i="2" a="1"/>
  <c r="AG553" i="2" s="1"/>
  <c r="AG554" i="2" a="1"/>
  <c r="AG554" i="2" s="1"/>
  <c r="AG555" i="2" a="1"/>
  <c r="AG555" i="2" s="1"/>
  <c r="AG556" i="2" a="1"/>
  <c r="AG556" i="2" s="1"/>
  <c r="AG557" i="2" a="1"/>
  <c r="AG557" i="2" s="1"/>
  <c r="AG558" i="2" a="1"/>
  <c r="AG558" i="2" s="1"/>
  <c r="AG559" i="2" a="1"/>
  <c r="AG559" i="2" s="1"/>
  <c r="AG560" i="2" a="1"/>
  <c r="AG560" i="2" s="1"/>
  <c r="AG561" i="2" a="1"/>
  <c r="AG561" i="2" s="1"/>
  <c r="AG562" i="2" a="1"/>
  <c r="AG562" i="2" s="1"/>
  <c r="AG563" i="2" a="1"/>
  <c r="AG563" i="2" s="1"/>
  <c r="AG564" i="2" a="1"/>
  <c r="AG564" i="2" s="1"/>
  <c r="AG565" i="2" a="1"/>
  <c r="AG565" i="2" s="1"/>
  <c r="AG566" i="2" a="1"/>
  <c r="AG566" i="2" s="1"/>
  <c r="AG567" i="2" a="1"/>
  <c r="AG567" i="2" s="1"/>
  <c r="AG568" i="2" a="1"/>
  <c r="AG568" i="2" s="1"/>
  <c r="AG569" i="2" a="1"/>
  <c r="AG569" i="2" s="1"/>
  <c r="AG570" i="2" a="1"/>
  <c r="AG570" i="2" s="1"/>
  <c r="AG571" i="2" a="1"/>
  <c r="AG571" i="2" s="1"/>
  <c r="AG574" i="2" a="1"/>
  <c r="AG574" i="2" s="1"/>
  <c r="AG575" i="2" a="1"/>
  <c r="AG575" i="2" s="1"/>
  <c r="AG578" i="2" a="1"/>
  <c r="AG578" i="2" s="1"/>
  <c r="AG579" i="2" a="1"/>
  <c r="AG579" i="2" s="1"/>
  <c r="AG582" i="2" a="1"/>
  <c r="AG582" i="2" s="1"/>
  <c r="AG583" i="2" a="1"/>
  <c r="AG583" i="2" s="1"/>
  <c r="AG586" i="2" a="1"/>
  <c r="AG586" i="2" s="1"/>
  <c r="AG587" i="2" a="1"/>
  <c r="AG587" i="2" s="1"/>
  <c r="AG590" i="2" a="1"/>
  <c r="AG590" i="2" s="1"/>
  <c r="AG591" i="2" a="1"/>
  <c r="AG591" i="2" s="1"/>
  <c r="AG594" i="2" a="1"/>
  <c r="AG594" i="2" s="1"/>
  <c r="AG595" i="2" a="1"/>
  <c r="AG595" i="2" s="1"/>
  <c r="AG597" i="2" a="1"/>
  <c r="AG597" i="2" s="1"/>
  <c r="AG599" i="2" a="1"/>
  <c r="AG599" i="2" s="1"/>
  <c r="AG601" i="2" a="1"/>
  <c r="AG601" i="2" s="1"/>
  <c r="AG603" i="2" a="1"/>
  <c r="AG603" i="2" s="1"/>
  <c r="AG605" i="2" a="1"/>
  <c r="AG605" i="2" s="1"/>
  <c r="AG607" i="2" a="1"/>
  <c r="AG607" i="2" s="1"/>
  <c r="AG609" i="2" a="1"/>
  <c r="AG609" i="2" s="1"/>
  <c r="AG611" i="2" a="1"/>
  <c r="AG611" i="2" s="1"/>
  <c r="AG613" i="2" a="1"/>
  <c r="AG613" i="2" s="1"/>
  <c r="AG616" i="2" a="1"/>
  <c r="AG616" i="2" s="1"/>
  <c r="AG620" i="2" a="1"/>
  <c r="AG620" i="2" s="1"/>
  <c r="AG624" i="2" a="1"/>
  <c r="AG624" i="2" s="1"/>
  <c r="AG628" i="2" a="1"/>
  <c r="AG628" i="2" s="1"/>
  <c r="AG632" i="2" a="1"/>
  <c r="AG632" i="2" s="1"/>
  <c r="AG636" i="2" a="1"/>
  <c r="AG636" i="2" s="1"/>
  <c r="AG640" i="2" a="1"/>
  <c r="AG640" i="2" s="1"/>
  <c r="AG644" i="2" a="1"/>
  <c r="AG644" i="2" s="1"/>
  <c r="AG648" i="2" a="1"/>
  <c r="AG648" i="2" s="1"/>
  <c r="AG652" i="2" a="1"/>
  <c r="AG652" i="2" s="1"/>
  <c r="AG656" i="2" a="1"/>
  <c r="AG656" i="2" s="1"/>
  <c r="AG660" i="2" a="1"/>
  <c r="AG660" i="2" s="1"/>
  <c r="AG664" i="2" a="1"/>
  <c r="AG664" i="2" s="1"/>
  <c r="AG668" i="2" a="1"/>
  <c r="AG668" i="2" s="1"/>
  <c r="AG672" i="2" a="1"/>
  <c r="AG672" i="2" s="1"/>
  <c r="AG676" i="2" a="1"/>
  <c r="AG676" i="2" s="1"/>
  <c r="AG680" i="2" a="1"/>
  <c r="AG680" i="2" s="1"/>
  <c r="AG617" i="2" a="1"/>
  <c r="AG617" i="2" s="1"/>
  <c r="AG621" i="2" a="1"/>
  <c r="AG621" i="2" s="1"/>
  <c r="AG625" i="2" a="1"/>
  <c r="AG625" i="2" s="1"/>
  <c r="AG629" i="2" a="1"/>
  <c r="AG629" i="2" s="1"/>
  <c r="AG633" i="2" a="1"/>
  <c r="AG633" i="2" s="1"/>
  <c r="AG637" i="2" a="1"/>
  <c r="AG637" i="2" s="1"/>
  <c r="AG641" i="2" a="1"/>
  <c r="AG641" i="2" s="1"/>
  <c r="AG645" i="2" a="1"/>
  <c r="AG645" i="2" s="1"/>
  <c r="AG649" i="2" a="1"/>
  <c r="AG649" i="2" s="1"/>
  <c r="AG653" i="2" a="1"/>
  <c r="AG653" i="2" s="1"/>
  <c r="AG657" i="2" a="1"/>
  <c r="AG657" i="2" s="1"/>
  <c r="AG661" i="2" a="1"/>
  <c r="AG661" i="2" s="1"/>
  <c r="AG665" i="2" a="1"/>
  <c r="AG665" i="2" s="1"/>
  <c r="AG669" i="2" a="1"/>
  <c r="AG669" i="2" s="1"/>
  <c r="AG673" i="2" a="1"/>
  <c r="AG673" i="2" s="1"/>
  <c r="AG677" i="2" a="1"/>
  <c r="AG677" i="2" s="1"/>
  <c r="AG572" i="2" a="1"/>
  <c r="AG572" i="2" s="1"/>
  <c r="AG573" i="2" a="1"/>
  <c r="AG573" i="2" s="1"/>
  <c r="AG576" i="2" a="1"/>
  <c r="AG576" i="2" s="1"/>
  <c r="AG577" i="2" a="1"/>
  <c r="AG577" i="2" s="1"/>
  <c r="AG580" i="2" a="1"/>
  <c r="AG580" i="2" s="1"/>
  <c r="AG581" i="2" a="1"/>
  <c r="AG581" i="2" s="1"/>
  <c r="AG584" i="2" a="1"/>
  <c r="AG584" i="2" s="1"/>
  <c r="AG585" i="2" a="1"/>
  <c r="AG585" i="2" s="1"/>
  <c r="AG588" i="2" a="1"/>
  <c r="AG588" i="2" s="1"/>
  <c r="AG589" i="2" a="1"/>
  <c r="AG589" i="2" s="1"/>
  <c r="AG592" i="2" a="1"/>
  <c r="AG592" i="2" s="1"/>
  <c r="AG593" i="2" a="1"/>
  <c r="AG593" i="2" s="1"/>
  <c r="AG596" i="2" a="1"/>
  <c r="AG596" i="2" s="1"/>
  <c r="AG598" i="2" a="1"/>
  <c r="AG598" i="2" s="1"/>
  <c r="AG600" i="2" a="1"/>
  <c r="AG600" i="2" s="1"/>
  <c r="AG602" i="2" a="1"/>
  <c r="AG602" i="2" s="1"/>
  <c r="AG604" i="2" a="1"/>
  <c r="AG604" i="2" s="1"/>
  <c r="AG606" i="2" a="1"/>
  <c r="AG606" i="2" s="1"/>
  <c r="AG608" i="2" a="1"/>
  <c r="AG608" i="2" s="1"/>
  <c r="AG610" i="2" a="1"/>
  <c r="AG610" i="2" s="1"/>
  <c r="AG612" i="2" a="1"/>
  <c r="AG612" i="2" s="1"/>
  <c r="AG614" i="2" a="1"/>
  <c r="AG614" i="2" s="1"/>
  <c r="AG618" i="2" a="1"/>
  <c r="AG618" i="2" s="1"/>
  <c r="AG622" i="2" a="1"/>
  <c r="AG622" i="2" s="1"/>
  <c r="AG626" i="2" a="1"/>
  <c r="AG626" i="2" s="1"/>
  <c r="AG630" i="2" a="1"/>
  <c r="AG630" i="2" s="1"/>
  <c r="AG634" i="2" a="1"/>
  <c r="AG634" i="2" s="1"/>
  <c r="AG638" i="2" a="1"/>
  <c r="AG638" i="2" s="1"/>
  <c r="AG642" i="2" a="1"/>
  <c r="AG642" i="2" s="1"/>
  <c r="AG646" i="2" a="1"/>
  <c r="AG646" i="2" s="1"/>
  <c r="AG650" i="2" a="1"/>
  <c r="AG650" i="2" s="1"/>
  <c r="AG654" i="2" a="1"/>
  <c r="AG654" i="2" s="1"/>
  <c r="AG658" i="2" a="1"/>
  <c r="AG658" i="2" s="1"/>
  <c r="AG662" i="2" a="1"/>
  <c r="AG662" i="2" s="1"/>
  <c r="AG666" i="2" a="1"/>
  <c r="AG666" i="2" s="1"/>
  <c r="AG670" i="2" a="1"/>
  <c r="AG670" i="2" s="1"/>
  <c r="AG674" i="2" a="1"/>
  <c r="AG674" i="2" s="1"/>
  <c r="AG678" i="2" a="1"/>
  <c r="AG678" i="2" s="1"/>
  <c r="AG682" i="2" a="1"/>
  <c r="AG682" i="2" s="1"/>
  <c r="AG615" i="2" a="1"/>
  <c r="AG615" i="2" s="1"/>
  <c r="AG619" i="2" a="1"/>
  <c r="AG619" i="2" s="1"/>
  <c r="AG623" i="2" a="1"/>
  <c r="AG623" i="2" s="1"/>
  <c r="AG627" i="2" a="1"/>
  <c r="AG627" i="2" s="1"/>
  <c r="AG631" i="2" a="1"/>
  <c r="AG631" i="2" s="1"/>
  <c r="AG635" i="2" a="1"/>
  <c r="AG635" i="2" s="1"/>
  <c r="AG639" i="2" a="1"/>
  <c r="AG639" i="2" s="1"/>
  <c r="AG643" i="2" a="1"/>
  <c r="AG643" i="2" s="1"/>
  <c r="AG647" i="2" a="1"/>
  <c r="AG647" i="2" s="1"/>
  <c r="AG651" i="2" a="1"/>
  <c r="AG651" i="2" s="1"/>
  <c r="AG655" i="2" a="1"/>
  <c r="AG655" i="2" s="1"/>
  <c r="AG659" i="2" a="1"/>
  <c r="AG659" i="2" s="1"/>
  <c r="AG663" i="2" a="1"/>
  <c r="AG663" i="2" s="1"/>
  <c r="AG667" i="2" a="1"/>
  <c r="AG667" i="2" s="1"/>
  <c r="AG671" i="2" a="1"/>
  <c r="AG671" i="2" s="1"/>
  <c r="AG675" i="2" a="1"/>
  <c r="AG675" i="2" s="1"/>
  <c r="AG679" i="2" a="1"/>
  <c r="AG679" i="2" s="1"/>
  <c r="AG683" i="2" a="1"/>
  <c r="AG683" i="2" s="1"/>
  <c r="AG684" i="2" a="1"/>
  <c r="AG684" i="2" s="1"/>
  <c r="AG688" i="2" a="1"/>
  <c r="AG688" i="2" s="1"/>
  <c r="AG692" i="2" a="1"/>
  <c r="AG692" i="2" s="1"/>
  <c r="AG696" i="2" a="1"/>
  <c r="AG696" i="2" s="1"/>
  <c r="AG700" i="2" a="1"/>
  <c r="AG700" i="2" s="1"/>
  <c r="AG704" i="2" a="1"/>
  <c r="AG704" i="2" s="1"/>
  <c r="AG708" i="2" a="1"/>
  <c r="AG708" i="2" s="1"/>
  <c r="AG712" i="2" a="1"/>
  <c r="AG712" i="2" s="1"/>
  <c r="AG716" i="2" a="1"/>
  <c r="AG716" i="2" s="1"/>
  <c r="AG720" i="2" a="1"/>
  <c r="AG720" i="2" s="1"/>
  <c r="AG724" i="2" a="1"/>
  <c r="AG724" i="2" s="1"/>
  <c r="AG728" i="2" a="1"/>
  <c r="AG728" i="2" s="1"/>
  <c r="AG732" i="2" a="1"/>
  <c r="AG732" i="2" s="1"/>
  <c r="AG736" i="2" a="1"/>
  <c r="AG736" i="2" s="1"/>
  <c r="AG740" i="2" a="1"/>
  <c r="AG740" i="2" s="1"/>
  <c r="AG744" i="2" a="1"/>
  <c r="AG744" i="2" s="1"/>
  <c r="AG748" i="2" a="1"/>
  <c r="AG748" i="2" s="1"/>
  <c r="AG752" i="2" a="1"/>
  <c r="AG752" i="2" s="1"/>
  <c r="AG756" i="2" a="1"/>
  <c r="AG756" i="2" s="1"/>
  <c r="AG760" i="2" a="1"/>
  <c r="AG760" i="2" s="1"/>
  <c r="AG764" i="2" a="1"/>
  <c r="AG764" i="2" s="1"/>
  <c r="AG768" i="2" a="1"/>
  <c r="AG768" i="2" s="1"/>
  <c r="AG772" i="2" a="1"/>
  <c r="AG772" i="2" s="1"/>
  <c r="AG776" i="2" a="1"/>
  <c r="AG776" i="2" s="1"/>
  <c r="AG780" i="2" a="1"/>
  <c r="AG780" i="2" s="1"/>
  <c r="AG784" i="2" a="1"/>
  <c r="AG784" i="2" s="1"/>
  <c r="AG788" i="2" a="1"/>
  <c r="AG788" i="2" s="1"/>
  <c r="AG792" i="2" a="1"/>
  <c r="AG792" i="2" s="1"/>
  <c r="AG796" i="2" a="1"/>
  <c r="AG796" i="2" s="1"/>
  <c r="AG800" i="2" a="1"/>
  <c r="AG800" i="2" s="1"/>
  <c r="AG805" i="2" a="1"/>
  <c r="AG805" i="2" s="1"/>
  <c r="AG806" i="2" a="1"/>
  <c r="AG806" i="2" s="1"/>
  <c r="AG812" i="2" a="1"/>
  <c r="AG812" i="2" s="1"/>
  <c r="AG816" i="2" a="1"/>
  <c r="AG816" i="2" s="1"/>
  <c r="AG820" i="2" a="1"/>
  <c r="AG820" i="2" s="1"/>
  <c r="AG824" i="2" a="1"/>
  <c r="AG824" i="2" s="1"/>
  <c r="AG828" i="2" a="1"/>
  <c r="AG828" i="2" s="1"/>
  <c r="AG832" i="2" a="1"/>
  <c r="AG832" i="2" s="1"/>
  <c r="AG836" i="2" a="1"/>
  <c r="AG836" i="2" s="1"/>
  <c r="AG840" i="2" a="1"/>
  <c r="AG840" i="2" s="1"/>
  <c r="AG844" i="2" a="1"/>
  <c r="AG844" i="2" s="1"/>
  <c r="AG848" i="2" a="1"/>
  <c r="AG848" i="2" s="1"/>
  <c r="AG853" i="2" a="1"/>
  <c r="AG853" i="2" s="1"/>
  <c r="AG857" i="2" a="1"/>
  <c r="AG857" i="2" s="1"/>
  <c r="AG858" i="2" a="1"/>
  <c r="AG858" i="2" s="1"/>
  <c r="AG861" i="2" a="1"/>
  <c r="AG861" i="2" s="1"/>
  <c r="AG862" i="2" a="1"/>
  <c r="AG862" i="2" s="1"/>
  <c r="AG865" i="2" a="1"/>
  <c r="AG865" i="2" s="1"/>
  <c r="AG866" i="2" a="1"/>
  <c r="AG866" i="2" s="1"/>
  <c r="AG869" i="2" a="1"/>
  <c r="AG869" i="2" s="1"/>
  <c r="AG870" i="2" a="1"/>
  <c r="AG870" i="2" s="1"/>
  <c r="AG873" i="2" a="1"/>
  <c r="AG873" i="2" s="1"/>
  <c r="AG874" i="2" a="1"/>
  <c r="AG874" i="2" s="1"/>
  <c r="AG877" i="2" a="1"/>
  <c r="AG877" i="2" s="1"/>
  <c r="AG878" i="2" a="1"/>
  <c r="AG878" i="2" s="1"/>
  <c r="AG881" i="2" a="1"/>
  <c r="AG881" i="2" s="1"/>
  <c r="AG882" i="2" a="1"/>
  <c r="AG882" i="2" s="1"/>
  <c r="AG885" i="2" a="1"/>
  <c r="AG885" i="2" s="1"/>
  <c r="AG886" i="2" a="1"/>
  <c r="AG886" i="2" s="1"/>
  <c r="AG889" i="2" a="1"/>
  <c r="AG889" i="2" s="1"/>
  <c r="AG890" i="2" a="1"/>
  <c r="AG890" i="2" s="1"/>
  <c r="AG893" i="2" a="1"/>
  <c r="AG893" i="2" s="1"/>
  <c r="AG894" i="2" a="1"/>
  <c r="AG894" i="2" s="1"/>
  <c r="AG897" i="2" a="1"/>
  <c r="AG897" i="2" s="1"/>
  <c r="AG898" i="2" a="1"/>
  <c r="AG898" i="2" s="1"/>
  <c r="AG901" i="2" a="1"/>
  <c r="AG901" i="2" s="1"/>
  <c r="AG902" i="2" a="1"/>
  <c r="AG902" i="2" s="1"/>
  <c r="AG905" i="2" a="1"/>
  <c r="AG905" i="2" s="1"/>
  <c r="AG906" i="2" a="1"/>
  <c r="AG906" i="2" s="1"/>
  <c r="AG909" i="2" a="1"/>
  <c r="AG909" i="2" s="1"/>
  <c r="AG910" i="2" a="1"/>
  <c r="AG910" i="2" s="1"/>
  <c r="AG913" i="2" a="1"/>
  <c r="AG913" i="2" s="1"/>
  <c r="AG914" i="2" a="1"/>
  <c r="AG914" i="2" s="1"/>
  <c r="AG917" i="2" a="1"/>
  <c r="AG917" i="2" s="1"/>
  <c r="AG918" i="2" a="1"/>
  <c r="AG918" i="2" s="1"/>
  <c r="AG921" i="2" a="1"/>
  <c r="AG921" i="2" s="1"/>
  <c r="AG922" i="2" a="1"/>
  <c r="AG922" i="2" s="1"/>
  <c r="AG925" i="2" a="1"/>
  <c r="AG925" i="2" s="1"/>
  <c r="AG926" i="2" a="1"/>
  <c r="AG926" i="2" s="1"/>
  <c r="AG929" i="2" a="1"/>
  <c r="AG929" i="2" s="1"/>
  <c r="AG930" i="2" a="1"/>
  <c r="AG930" i="2" s="1"/>
  <c r="AG685" i="2" a="1"/>
  <c r="AG685" i="2" s="1"/>
  <c r="AG689" i="2" a="1"/>
  <c r="AG689" i="2" s="1"/>
  <c r="AG693" i="2" a="1"/>
  <c r="AG693" i="2" s="1"/>
  <c r="AG697" i="2" a="1"/>
  <c r="AG697" i="2" s="1"/>
  <c r="AG701" i="2" a="1"/>
  <c r="AG701" i="2" s="1"/>
  <c r="AG705" i="2" a="1"/>
  <c r="AG705" i="2" s="1"/>
  <c r="AG709" i="2" a="1"/>
  <c r="AG709" i="2" s="1"/>
  <c r="AG713" i="2" a="1"/>
  <c r="AG713" i="2" s="1"/>
  <c r="AG717" i="2" a="1"/>
  <c r="AG717" i="2" s="1"/>
  <c r="AG721" i="2" a="1"/>
  <c r="AG721" i="2" s="1"/>
  <c r="AG725" i="2" a="1"/>
  <c r="AG725" i="2" s="1"/>
  <c r="AG729" i="2" a="1"/>
  <c r="AG729" i="2" s="1"/>
  <c r="AG733" i="2" a="1"/>
  <c r="AG733" i="2" s="1"/>
  <c r="AG737" i="2" a="1"/>
  <c r="AG737" i="2" s="1"/>
  <c r="AG741" i="2" a="1"/>
  <c r="AG741" i="2" s="1"/>
  <c r="AG745" i="2" a="1"/>
  <c r="AG745" i="2" s="1"/>
  <c r="AG749" i="2" a="1"/>
  <c r="AG749" i="2" s="1"/>
  <c r="AG753" i="2" a="1"/>
  <c r="AG753" i="2" s="1"/>
  <c r="AG757" i="2" a="1"/>
  <c r="AG757" i="2" s="1"/>
  <c r="AG761" i="2" a="1"/>
  <c r="AG761" i="2" s="1"/>
  <c r="AG765" i="2" a="1"/>
  <c r="AG765" i="2" s="1"/>
  <c r="AG769" i="2" a="1"/>
  <c r="AG769" i="2" s="1"/>
  <c r="AG773" i="2" a="1"/>
  <c r="AG773" i="2" s="1"/>
  <c r="AG777" i="2" a="1"/>
  <c r="AG777" i="2" s="1"/>
  <c r="AG781" i="2" a="1"/>
  <c r="AG781" i="2" s="1"/>
  <c r="AG785" i="2" a="1"/>
  <c r="AG785" i="2" s="1"/>
  <c r="AG789" i="2" a="1"/>
  <c r="AG789" i="2" s="1"/>
  <c r="AG793" i="2" a="1"/>
  <c r="AG793" i="2" s="1"/>
  <c r="AG797" i="2" a="1"/>
  <c r="AG797" i="2" s="1"/>
  <c r="AG801" i="2" a="1"/>
  <c r="AG801" i="2" s="1"/>
  <c r="AG807" i="2" a="1"/>
  <c r="AG807" i="2" s="1"/>
  <c r="AG808" i="2" a="1"/>
  <c r="AG808" i="2" s="1"/>
  <c r="AG813" i="2" a="1"/>
  <c r="AG813" i="2" s="1"/>
  <c r="AG817" i="2" a="1"/>
  <c r="AG817" i="2" s="1"/>
  <c r="AG821" i="2" a="1"/>
  <c r="AG821" i="2" s="1"/>
  <c r="AG825" i="2" a="1"/>
  <c r="AG825" i="2" s="1"/>
  <c r="AG829" i="2" a="1"/>
  <c r="AG829" i="2" s="1"/>
  <c r="AG833" i="2" a="1"/>
  <c r="AG833" i="2" s="1"/>
  <c r="AG837" i="2" a="1"/>
  <c r="AG837" i="2" s="1"/>
  <c r="AG841" i="2" a="1"/>
  <c r="AG841" i="2" s="1"/>
  <c r="AG845" i="2" a="1"/>
  <c r="AG845" i="2" s="1"/>
  <c r="AG849" i="2" a="1"/>
  <c r="AG849" i="2" s="1"/>
  <c r="AG854" i="2" a="1"/>
  <c r="AG854" i="2" s="1"/>
  <c r="AG686" i="2" a="1"/>
  <c r="AG686" i="2" s="1"/>
  <c r="AG690" i="2" a="1"/>
  <c r="AG690" i="2" s="1"/>
  <c r="AG694" i="2" a="1"/>
  <c r="AG694" i="2" s="1"/>
  <c r="AG698" i="2" a="1"/>
  <c r="AG698" i="2" s="1"/>
  <c r="AG702" i="2" a="1"/>
  <c r="AG702" i="2" s="1"/>
  <c r="AG706" i="2" a="1"/>
  <c r="AG706" i="2" s="1"/>
  <c r="AG710" i="2" a="1"/>
  <c r="AG710" i="2" s="1"/>
  <c r="AG714" i="2" a="1"/>
  <c r="AG714" i="2" s="1"/>
  <c r="AG718" i="2" a="1"/>
  <c r="AG718" i="2" s="1"/>
  <c r="AG722" i="2" a="1"/>
  <c r="AG722" i="2" s="1"/>
  <c r="AG726" i="2" a="1"/>
  <c r="AG726" i="2" s="1"/>
  <c r="AG730" i="2" a="1"/>
  <c r="AG730" i="2" s="1"/>
  <c r="AG734" i="2" a="1"/>
  <c r="AG734" i="2" s="1"/>
  <c r="AG738" i="2" a="1"/>
  <c r="AG738" i="2" s="1"/>
  <c r="AG742" i="2" a="1"/>
  <c r="AG742" i="2" s="1"/>
  <c r="AG746" i="2" a="1"/>
  <c r="AG746" i="2" s="1"/>
  <c r="AG750" i="2" a="1"/>
  <c r="AG750" i="2" s="1"/>
  <c r="AG754" i="2" a="1"/>
  <c r="AG754" i="2" s="1"/>
  <c r="AG758" i="2" a="1"/>
  <c r="AG758" i="2" s="1"/>
  <c r="AG762" i="2" a="1"/>
  <c r="AG762" i="2" s="1"/>
  <c r="AG766" i="2" a="1"/>
  <c r="AG766" i="2" s="1"/>
  <c r="AG770" i="2" a="1"/>
  <c r="AG770" i="2" s="1"/>
  <c r="AG774" i="2" a="1"/>
  <c r="AG774" i="2" s="1"/>
  <c r="AG778" i="2" a="1"/>
  <c r="AG778" i="2" s="1"/>
  <c r="AG782" i="2" a="1"/>
  <c r="AG782" i="2" s="1"/>
  <c r="AG786" i="2" a="1"/>
  <c r="AG786" i="2" s="1"/>
  <c r="AG790" i="2" a="1"/>
  <c r="AG790" i="2" s="1"/>
  <c r="AG794" i="2" a="1"/>
  <c r="AG794" i="2" s="1"/>
  <c r="AG798" i="2" a="1"/>
  <c r="AG798" i="2" s="1"/>
  <c r="AG802" i="2" a="1"/>
  <c r="AG802" i="2" s="1"/>
  <c r="AG809" i="2" a="1"/>
  <c r="AG809" i="2" s="1"/>
  <c r="AG810" i="2" a="1"/>
  <c r="AG810" i="2" s="1"/>
  <c r="AG814" i="2" a="1"/>
  <c r="AG814" i="2" s="1"/>
  <c r="AG818" i="2" a="1"/>
  <c r="AG818" i="2" s="1"/>
  <c r="AG822" i="2" a="1"/>
  <c r="AG822" i="2" s="1"/>
  <c r="AG826" i="2" a="1"/>
  <c r="AG826" i="2" s="1"/>
  <c r="AG830" i="2" a="1"/>
  <c r="AG830" i="2" s="1"/>
  <c r="AG834" i="2" a="1"/>
  <c r="AG834" i="2" s="1"/>
  <c r="AG838" i="2" a="1"/>
  <c r="AG838" i="2" s="1"/>
  <c r="AG842" i="2" a="1"/>
  <c r="AG842" i="2" s="1"/>
  <c r="AG846" i="2" a="1"/>
  <c r="AG846" i="2" s="1"/>
  <c r="AG850" i="2" a="1"/>
  <c r="AG850" i="2" s="1"/>
  <c r="AG855" i="2" a="1"/>
  <c r="AG855" i="2" s="1"/>
  <c r="AG856" i="2" a="1"/>
  <c r="AG856" i="2" s="1"/>
  <c r="AG859" i="2" a="1"/>
  <c r="AG859" i="2" s="1"/>
  <c r="AG860" i="2" a="1"/>
  <c r="AG860" i="2" s="1"/>
  <c r="AG863" i="2" a="1"/>
  <c r="AG863" i="2" s="1"/>
  <c r="AG864" i="2" a="1"/>
  <c r="AG864" i="2" s="1"/>
  <c r="AG867" i="2" a="1"/>
  <c r="AG867" i="2" s="1"/>
  <c r="AG868" i="2" a="1"/>
  <c r="AG868" i="2" s="1"/>
  <c r="AG871" i="2" a="1"/>
  <c r="AG871" i="2" s="1"/>
  <c r="AG872" i="2" a="1"/>
  <c r="AG872" i="2" s="1"/>
  <c r="AG875" i="2" a="1"/>
  <c r="AG875" i="2" s="1"/>
  <c r="AG876" i="2" a="1"/>
  <c r="AG876" i="2" s="1"/>
  <c r="AG879" i="2" a="1"/>
  <c r="AG879" i="2" s="1"/>
  <c r="AG880" i="2" a="1"/>
  <c r="AG880" i="2" s="1"/>
  <c r="AG883" i="2" a="1"/>
  <c r="AG883" i="2" s="1"/>
  <c r="AG884" i="2" a="1"/>
  <c r="AG884" i="2" s="1"/>
  <c r="AG887" i="2" a="1"/>
  <c r="AG887" i="2" s="1"/>
  <c r="AG888" i="2" a="1"/>
  <c r="AG888" i="2" s="1"/>
  <c r="AG891" i="2" a="1"/>
  <c r="AG891" i="2" s="1"/>
  <c r="AG892" i="2" a="1"/>
  <c r="AG892" i="2" s="1"/>
  <c r="AG895" i="2" a="1"/>
  <c r="AG895" i="2" s="1"/>
  <c r="AG896" i="2" a="1"/>
  <c r="AG896" i="2" s="1"/>
  <c r="AG899" i="2" a="1"/>
  <c r="AG899" i="2" s="1"/>
  <c r="AG900" i="2" a="1"/>
  <c r="AG900" i="2" s="1"/>
  <c r="AG903" i="2" a="1"/>
  <c r="AG903" i="2" s="1"/>
  <c r="AG904" i="2" a="1"/>
  <c r="AG904" i="2" s="1"/>
  <c r="AG907" i="2" a="1"/>
  <c r="AG907" i="2" s="1"/>
  <c r="AG908" i="2" a="1"/>
  <c r="AG908" i="2" s="1"/>
  <c r="AG911" i="2" a="1"/>
  <c r="AG911" i="2" s="1"/>
  <c r="AG912" i="2" a="1"/>
  <c r="AG912" i="2" s="1"/>
  <c r="AG915" i="2" a="1"/>
  <c r="AG915" i="2" s="1"/>
  <c r="AG916" i="2" a="1"/>
  <c r="AG916" i="2" s="1"/>
  <c r="AG919" i="2" a="1"/>
  <c r="AG919" i="2" s="1"/>
  <c r="AG920" i="2" a="1"/>
  <c r="AG920" i="2" s="1"/>
  <c r="AG923" i="2" a="1"/>
  <c r="AG923" i="2" s="1"/>
  <c r="AG924" i="2" a="1"/>
  <c r="AG924" i="2" s="1"/>
  <c r="AG927" i="2" a="1"/>
  <c r="AG927" i="2" s="1"/>
  <c r="AG928" i="2" a="1"/>
  <c r="AG928" i="2" s="1"/>
  <c r="AG931" i="2" a="1"/>
  <c r="AG931" i="2" s="1"/>
  <c r="AG681" i="2" a="1"/>
  <c r="AG681" i="2" s="1"/>
  <c r="AG687" i="2" a="1"/>
  <c r="AG687" i="2" s="1"/>
  <c r="AG691" i="2" a="1"/>
  <c r="AG691" i="2" s="1"/>
  <c r="AG695" i="2" a="1"/>
  <c r="AG695" i="2" s="1"/>
  <c r="AG699" i="2" a="1"/>
  <c r="AG699" i="2" s="1"/>
  <c r="AG703" i="2" a="1"/>
  <c r="AG703" i="2" s="1"/>
  <c r="AG707" i="2" a="1"/>
  <c r="AG707" i="2" s="1"/>
  <c r="AG711" i="2" a="1"/>
  <c r="AG711" i="2" s="1"/>
  <c r="AG715" i="2" a="1"/>
  <c r="AG715" i="2" s="1"/>
  <c r="AG719" i="2" a="1"/>
  <c r="AG719" i="2" s="1"/>
  <c r="AG723" i="2" a="1"/>
  <c r="AG723" i="2" s="1"/>
  <c r="AG727" i="2" a="1"/>
  <c r="AG727" i="2" s="1"/>
  <c r="AG731" i="2" a="1"/>
  <c r="AG731" i="2" s="1"/>
  <c r="AG735" i="2" a="1"/>
  <c r="AG735" i="2" s="1"/>
  <c r="AG739" i="2" a="1"/>
  <c r="AG739" i="2" s="1"/>
  <c r="AG743" i="2" a="1"/>
  <c r="AG743" i="2" s="1"/>
  <c r="AG747" i="2" a="1"/>
  <c r="AG747" i="2" s="1"/>
  <c r="AG751" i="2" a="1"/>
  <c r="AG751" i="2" s="1"/>
  <c r="AG755" i="2" a="1"/>
  <c r="AG755" i="2" s="1"/>
  <c r="AG759" i="2" a="1"/>
  <c r="AG759" i="2" s="1"/>
  <c r="AG763" i="2" a="1"/>
  <c r="AG763" i="2" s="1"/>
  <c r="AG767" i="2" a="1"/>
  <c r="AG767" i="2" s="1"/>
  <c r="AG771" i="2" a="1"/>
  <c r="AG771" i="2" s="1"/>
  <c r="AG775" i="2" a="1"/>
  <c r="AG775" i="2" s="1"/>
  <c r="AG779" i="2" a="1"/>
  <c r="AG779" i="2" s="1"/>
  <c r="AG783" i="2" a="1"/>
  <c r="AG783" i="2" s="1"/>
  <c r="AG787" i="2" a="1"/>
  <c r="AG787" i="2" s="1"/>
  <c r="AG791" i="2" a="1"/>
  <c r="AG791" i="2" s="1"/>
  <c r="AG795" i="2" a="1"/>
  <c r="AG795" i="2" s="1"/>
  <c r="AG799" i="2" a="1"/>
  <c r="AG799" i="2" s="1"/>
  <c r="AG803" i="2" a="1"/>
  <c r="AG803" i="2" s="1"/>
  <c r="AG804" i="2" a="1"/>
  <c r="AG804" i="2" s="1"/>
  <c r="AG811" i="2" a="1"/>
  <c r="AG811" i="2" s="1"/>
  <c r="AG815" i="2" a="1"/>
  <c r="AG815" i="2" s="1"/>
  <c r="AG819" i="2" a="1"/>
  <c r="AG819" i="2" s="1"/>
  <c r="AG823" i="2" a="1"/>
  <c r="AG823" i="2" s="1"/>
  <c r="AG827" i="2" a="1"/>
  <c r="AG827" i="2" s="1"/>
  <c r="AG831" i="2" a="1"/>
  <c r="AG831" i="2" s="1"/>
  <c r="AG835" i="2" a="1"/>
  <c r="AG835" i="2" s="1"/>
  <c r="AG839" i="2" a="1"/>
  <c r="AG839" i="2" s="1"/>
  <c r="AG843" i="2" a="1"/>
  <c r="AG843" i="2" s="1"/>
  <c r="AG847" i="2" a="1"/>
  <c r="AG847" i="2" s="1"/>
  <c r="AG851" i="2" a="1"/>
  <c r="AG851" i="2" s="1"/>
  <c r="AG852" i="2" a="1"/>
  <c r="AG852" i="2" s="1"/>
  <c r="AG932" i="2" a="1"/>
  <c r="AG932" i="2" s="1"/>
  <c r="AG933" i="2" a="1"/>
  <c r="AG933" i="2" s="1"/>
  <c r="AG934" i="2" a="1"/>
  <c r="AG934" i="2" s="1"/>
  <c r="AG935" i="2" a="1"/>
  <c r="AG935" i="2" s="1"/>
  <c r="AG936" i="2" a="1"/>
  <c r="AG936" i="2" s="1"/>
  <c r="AG937" i="2" a="1"/>
  <c r="AG937" i="2" s="1"/>
  <c r="AG938" i="2" a="1"/>
  <c r="AG938" i="2" s="1"/>
  <c r="AG939" i="2" a="1"/>
  <c r="AG939" i="2" s="1"/>
  <c r="AG940" i="2" a="1"/>
  <c r="AG940" i="2" s="1"/>
  <c r="AG941" i="2" a="1"/>
  <c r="AG941" i="2" s="1"/>
  <c r="AG942" i="2" a="1"/>
  <c r="AG942" i="2" s="1"/>
  <c r="AG943" i="2" a="1"/>
  <c r="AG943" i="2" s="1"/>
  <c r="AG944" i="2" a="1"/>
  <c r="AG944" i="2" s="1"/>
  <c r="AG945" i="2" a="1"/>
  <c r="AG945" i="2" s="1"/>
  <c r="AG946" i="2" a="1"/>
  <c r="AG946" i="2" s="1"/>
  <c r="AG947" i="2" a="1"/>
  <c r="AG947" i="2" s="1"/>
  <c r="AG948" i="2" a="1"/>
  <c r="AG948" i="2" s="1"/>
  <c r="AG949" i="2" a="1"/>
  <c r="AG949" i="2" s="1"/>
  <c r="AG950" i="2" a="1"/>
  <c r="AG950" i="2" s="1"/>
  <c r="AG951" i="2" a="1"/>
  <c r="AG951" i="2" s="1"/>
  <c r="AG952" i="2" a="1"/>
  <c r="AG952" i="2" s="1"/>
  <c r="AG953" i="2" a="1"/>
  <c r="AG953" i="2" s="1"/>
  <c r="AG954" i="2" a="1"/>
  <c r="AG954" i="2" s="1"/>
  <c r="AG955" i="2" a="1"/>
  <c r="AG955" i="2" s="1"/>
  <c r="AG956" i="2" a="1"/>
  <c r="AG956" i="2" s="1"/>
  <c r="AG957" i="2" a="1"/>
  <c r="AG957" i="2" s="1"/>
  <c r="AG958" i="2" a="1"/>
  <c r="AG958" i="2" s="1"/>
  <c r="AG959" i="2" a="1"/>
  <c r="AG959" i="2" s="1"/>
  <c r="AG960" i="2" a="1"/>
  <c r="AG960" i="2" s="1"/>
  <c r="AG961" i="2" a="1"/>
  <c r="AG961" i="2" s="1"/>
  <c r="AG4" i="2" a="1"/>
  <c r="AG4" i="2" s="1"/>
  <c r="AG962" i="2" a="1"/>
  <c r="AG962" i="2" s="1"/>
  <c r="AG963" i="2" a="1"/>
  <c r="AG963" i="2" s="1"/>
  <c r="AG964" i="2" a="1"/>
  <c r="AG964" i="2" s="1"/>
  <c r="AG965" i="2" a="1"/>
  <c r="AG965" i="2" s="1"/>
  <c r="AG966" i="2" a="1"/>
  <c r="AG966" i="2" s="1"/>
  <c r="AG967" i="2" a="1"/>
  <c r="AG967" i="2" s="1"/>
  <c r="AG968" i="2" a="1"/>
  <c r="AG968" i="2" s="1"/>
  <c r="AG969" i="2" a="1"/>
  <c r="AG969" i="2" s="1"/>
  <c r="AG970" i="2" a="1"/>
  <c r="AG970" i="2" s="1"/>
  <c r="AG971" i="2" a="1"/>
  <c r="AG971" i="2" s="1"/>
  <c r="AG972" i="2" a="1"/>
  <c r="AG972" i="2" s="1"/>
  <c r="AG973" i="2" a="1"/>
  <c r="AG973" i="2" s="1"/>
  <c r="AG974" i="2" a="1"/>
  <c r="AG974" i="2" s="1"/>
  <c r="AG975" i="2" a="1"/>
  <c r="AG975" i="2" s="1"/>
  <c r="AG976" i="2" a="1"/>
  <c r="AG976" i="2" s="1"/>
  <c r="AG977" i="2" a="1"/>
  <c r="AG977" i="2" s="1"/>
  <c r="AG978" i="2" a="1"/>
  <c r="AG978" i="2" s="1"/>
  <c r="AG979" i="2" a="1"/>
  <c r="AG979" i="2" s="1"/>
  <c r="AG980" i="2" a="1"/>
  <c r="AG980" i="2" s="1"/>
  <c r="AG981" i="2" a="1"/>
  <c r="AG981" i="2" s="1"/>
  <c r="AG982" i="2" a="1"/>
  <c r="AG982" i="2" s="1"/>
  <c r="AG983" i="2" a="1"/>
  <c r="AG983" i="2" s="1"/>
  <c r="AG984" i="2" a="1"/>
  <c r="AG984" i="2" s="1"/>
  <c r="AG985" i="2" a="1"/>
  <c r="AG985" i="2" s="1"/>
  <c r="AG986" i="2" a="1"/>
  <c r="AG986" i="2" s="1"/>
  <c r="AG987" i="2" a="1"/>
  <c r="AG987" i="2" s="1"/>
  <c r="AG988" i="2" a="1"/>
  <c r="AG988" i="2" s="1"/>
  <c r="AG989" i="2" a="1"/>
  <c r="AG989" i="2" s="1"/>
  <c r="AG990" i="2" a="1"/>
  <c r="AG990" i="2" s="1"/>
  <c r="AG991" i="2" a="1"/>
  <c r="AG991" i="2" s="1"/>
  <c r="AG992" i="2" a="1"/>
  <c r="AG992" i="2" s="1"/>
  <c r="AG993" i="2" a="1"/>
  <c r="AG993" i="2" s="1"/>
  <c r="AG994" i="2" a="1"/>
  <c r="AG994" i="2" s="1"/>
  <c r="AG995" i="2" a="1"/>
  <c r="AG995" i="2" s="1"/>
  <c r="AG996" i="2" a="1"/>
  <c r="AG996" i="2" s="1"/>
  <c r="AG997" i="2" a="1"/>
  <c r="AG997" i="2" s="1"/>
  <c r="AG998" i="2" a="1"/>
  <c r="AG998" i="2" s="1"/>
  <c r="AG999" i="2" a="1"/>
  <c r="AG999" i="2" s="1"/>
  <c r="AG1000" i="2" a="1"/>
  <c r="AG1000" i="2" s="1"/>
  <c r="AG1001" i="2" a="1"/>
  <c r="AG1001" i="2" s="1"/>
  <c r="AG1002" i="2" a="1"/>
  <c r="AG1002" i="2" s="1"/>
  <c r="AG1003" i="2" a="1"/>
  <c r="AG1003" i="2" s="1"/>
  <c r="AC54" i="2" a="1"/>
  <c r="AC54" i="2" s="1"/>
  <c r="AC55" i="2" a="1"/>
  <c r="AC55" i="2" s="1"/>
  <c r="AC62" i="2" a="1"/>
  <c r="AC62" i="2" s="1"/>
  <c r="AC63" i="2" a="1"/>
  <c r="AC63" i="2" s="1"/>
  <c r="AC70" i="2" a="1"/>
  <c r="AC70" i="2" s="1"/>
  <c r="AC71" i="2" a="1"/>
  <c r="AC71" i="2" s="1"/>
  <c r="AC78" i="2" a="1"/>
  <c r="AC78" i="2" s="1"/>
  <c r="AC79" i="2" a="1"/>
  <c r="AC79" i="2" s="1"/>
  <c r="AC84" i="2" a="1"/>
  <c r="AC84" i="2" s="1"/>
  <c r="AC5" i="2" a="1"/>
  <c r="AC5" i="2" s="1"/>
  <c r="AC6" i="2" a="1"/>
  <c r="AC6" i="2" s="1"/>
  <c r="AC7" i="2" a="1"/>
  <c r="AC7" i="2" s="1"/>
  <c r="AC8" i="2" a="1"/>
  <c r="AC8" i="2" s="1"/>
  <c r="AC9" i="2" a="1"/>
  <c r="AC9" i="2" s="1"/>
  <c r="AC10" i="2" a="1"/>
  <c r="AC10" i="2" s="1"/>
  <c r="AC11" i="2" a="1"/>
  <c r="AC11" i="2" s="1"/>
  <c r="AC12" i="2" a="1"/>
  <c r="AC12" i="2" s="1"/>
  <c r="AC13" i="2" a="1"/>
  <c r="AC13" i="2" s="1"/>
  <c r="AC14" i="2" a="1"/>
  <c r="AC14" i="2" s="1"/>
  <c r="AC15" i="2" a="1"/>
  <c r="AC15" i="2" s="1"/>
  <c r="AC16" i="2" a="1"/>
  <c r="AC16" i="2" s="1"/>
  <c r="AC17" i="2" a="1"/>
  <c r="AC17" i="2" s="1"/>
  <c r="AC18" i="2" a="1"/>
  <c r="AC18" i="2" s="1"/>
  <c r="AC19" i="2" a="1"/>
  <c r="AC19" i="2" s="1"/>
  <c r="AC20" i="2" a="1"/>
  <c r="AC20" i="2" s="1"/>
  <c r="AC21" i="2" a="1"/>
  <c r="AC21" i="2" s="1"/>
  <c r="AC22" i="2" a="1"/>
  <c r="AC22" i="2" s="1"/>
  <c r="AC23" i="2" a="1"/>
  <c r="AC23" i="2" s="1"/>
  <c r="AC24" i="2" a="1"/>
  <c r="AC24" i="2" s="1"/>
  <c r="AC25" i="2" a="1"/>
  <c r="AC25" i="2" s="1"/>
  <c r="AC26" i="2" a="1"/>
  <c r="AC26" i="2" s="1"/>
  <c r="AC27" i="2" a="1"/>
  <c r="AC27" i="2" s="1"/>
  <c r="AC28" i="2" a="1"/>
  <c r="AC28" i="2" s="1"/>
  <c r="AC29" i="2" a="1"/>
  <c r="AC29" i="2" s="1"/>
  <c r="AC30" i="2" a="1"/>
  <c r="AC30" i="2" s="1"/>
  <c r="AC31" i="2" a="1"/>
  <c r="AC31" i="2" s="1"/>
  <c r="AC32" i="2" a="1"/>
  <c r="AC32" i="2" s="1"/>
  <c r="AC33" i="2" a="1"/>
  <c r="AC33" i="2" s="1"/>
  <c r="AC34" i="2" a="1"/>
  <c r="AC34" i="2" s="1"/>
  <c r="AC35" i="2" a="1"/>
  <c r="AC35" i="2" s="1"/>
  <c r="AC36" i="2" a="1"/>
  <c r="AC36" i="2" s="1"/>
  <c r="AC37" i="2" a="1"/>
  <c r="AC37" i="2" s="1"/>
  <c r="AC38" i="2" a="1"/>
  <c r="AC38" i="2" s="1"/>
  <c r="AC39" i="2" a="1"/>
  <c r="AC39" i="2" s="1"/>
  <c r="AC40" i="2" a="1"/>
  <c r="AC40" i="2" s="1"/>
  <c r="AC41" i="2" a="1"/>
  <c r="AC41" i="2" s="1"/>
  <c r="AC42" i="2" a="1"/>
  <c r="AC42" i="2" s="1"/>
  <c r="AC43" i="2" a="1"/>
  <c r="AC43" i="2" s="1"/>
  <c r="AC44" i="2" a="1"/>
  <c r="AC44" i="2" s="1"/>
  <c r="AC45" i="2" a="1"/>
  <c r="AC45" i="2" s="1"/>
  <c r="AC46" i="2" a="1"/>
  <c r="AC46" i="2" s="1"/>
  <c r="AC47" i="2" a="1"/>
  <c r="AC47" i="2" s="1"/>
  <c r="AC48" i="2" a="1"/>
  <c r="AC48" i="2" s="1"/>
  <c r="AC49" i="2" a="1"/>
  <c r="AC49" i="2" s="1"/>
  <c r="AC56" i="2" a="1"/>
  <c r="AC56" i="2" s="1"/>
  <c r="AC57" i="2" a="1"/>
  <c r="AC57" i="2" s="1"/>
  <c r="AC64" i="2" a="1"/>
  <c r="AC64" i="2" s="1"/>
  <c r="AC65" i="2" a="1"/>
  <c r="AC65" i="2" s="1"/>
  <c r="AC72" i="2" a="1"/>
  <c r="AC72" i="2" s="1"/>
  <c r="AC73" i="2" a="1"/>
  <c r="AC73" i="2" s="1"/>
  <c r="AC80" i="2" a="1"/>
  <c r="AC80" i="2" s="1"/>
  <c r="AC81" i="2" a="1"/>
  <c r="AC81" i="2" s="1"/>
  <c r="AC50" i="2" a="1"/>
  <c r="AC50" i="2" s="1"/>
  <c r="AC51" i="2" a="1"/>
  <c r="AC51" i="2" s="1"/>
  <c r="AC58" i="2" a="1"/>
  <c r="AC58" i="2" s="1"/>
  <c r="AC59" i="2" a="1"/>
  <c r="AC59" i="2" s="1"/>
  <c r="AC66" i="2" a="1"/>
  <c r="AC66" i="2" s="1"/>
  <c r="AC67" i="2" a="1"/>
  <c r="AC67" i="2" s="1"/>
  <c r="AC74" i="2" a="1"/>
  <c r="AC74" i="2" s="1"/>
  <c r="AC75" i="2" a="1"/>
  <c r="AC75" i="2" s="1"/>
  <c r="AC82" i="2" a="1"/>
  <c r="AC82" i="2" s="1"/>
  <c r="AC52" i="2" a="1"/>
  <c r="AC52" i="2" s="1"/>
  <c r="AC53" i="2" a="1"/>
  <c r="AC53" i="2" s="1"/>
  <c r="AC60" i="2" a="1"/>
  <c r="AC60" i="2" s="1"/>
  <c r="AC61" i="2" a="1"/>
  <c r="AC61" i="2" s="1"/>
  <c r="AC68" i="2" a="1"/>
  <c r="AC68" i="2" s="1"/>
  <c r="AC69" i="2" a="1"/>
  <c r="AC69" i="2" s="1"/>
  <c r="AC76" i="2" a="1"/>
  <c r="AC76" i="2" s="1"/>
  <c r="AC77" i="2" a="1"/>
  <c r="AC77" i="2" s="1"/>
  <c r="AC83" i="2" a="1"/>
  <c r="AC83" i="2" s="1"/>
  <c r="AC88" i="2" a="1"/>
  <c r="AC88" i="2" s="1"/>
  <c r="AC91" i="2" a="1"/>
  <c r="AC91" i="2" s="1"/>
  <c r="AC95" i="2" a="1"/>
  <c r="AC95" i="2" s="1"/>
  <c r="AC99" i="2" a="1"/>
  <c r="AC99" i="2" s="1"/>
  <c r="AC103" i="2" a="1"/>
  <c r="AC103" i="2" s="1"/>
  <c r="AC104" i="2" a="1"/>
  <c r="AC104" i="2" s="1"/>
  <c r="AC108" i="2" a="1"/>
  <c r="AC108" i="2" s="1"/>
  <c r="AC111" i="2" a="1"/>
  <c r="AC111" i="2" s="1"/>
  <c r="AC112" i="2" a="1"/>
  <c r="AC112" i="2" s="1"/>
  <c r="AC115" i="2" a="1"/>
  <c r="AC115" i="2" s="1"/>
  <c r="AC116" i="2" a="1"/>
  <c r="AC116" i="2" s="1"/>
  <c r="AC121" i="2" a="1"/>
  <c r="AC121" i="2" s="1"/>
  <c r="AC124" i="2" a="1"/>
  <c r="AC124" i="2" s="1"/>
  <c r="AC130" i="2" a="1"/>
  <c r="AC130" i="2" s="1"/>
  <c r="AC134" i="2" a="1"/>
  <c r="AC134" i="2" s="1"/>
  <c r="AC137" i="2" a="1"/>
  <c r="AC137" i="2" s="1"/>
  <c r="AC140" i="2" a="1"/>
  <c r="AC140" i="2" s="1"/>
  <c r="AC146" i="2" a="1"/>
  <c r="AC146" i="2" s="1"/>
  <c r="AC85" i="2" a="1"/>
  <c r="AC85" i="2" s="1"/>
  <c r="AC89" i="2" a="1"/>
  <c r="AC89" i="2" s="1"/>
  <c r="AC92" i="2" a="1"/>
  <c r="AC92" i="2" s="1"/>
  <c r="AC96" i="2" a="1"/>
  <c r="AC96" i="2" s="1"/>
  <c r="AC100" i="2" a="1"/>
  <c r="AC100" i="2" s="1"/>
  <c r="AC105" i="2" a="1"/>
  <c r="AC105" i="2" s="1"/>
  <c r="AC109" i="2" a="1"/>
  <c r="AC109" i="2" s="1"/>
  <c r="AC119" i="2" a="1"/>
  <c r="AC119" i="2" s="1"/>
  <c r="AC122" i="2" a="1"/>
  <c r="AC122" i="2" s="1"/>
  <c r="AC127" i="2" a="1"/>
  <c r="AC127" i="2" s="1"/>
  <c r="AC131" i="2" a="1"/>
  <c r="AC131" i="2" s="1"/>
  <c r="AC135" i="2" a="1"/>
  <c r="AC135" i="2" s="1"/>
  <c r="AC138" i="2" a="1"/>
  <c r="AC138" i="2" s="1"/>
  <c r="AC143" i="2" a="1"/>
  <c r="AC143" i="2" s="1"/>
  <c r="AC144" i="2" a="1"/>
  <c r="AC144" i="2" s="1"/>
  <c r="AC149" i="2" a="1"/>
  <c r="AC149" i="2" s="1"/>
  <c r="AC86" i="2" a="1"/>
  <c r="AC86" i="2" s="1"/>
  <c r="AC93" i="2" a="1"/>
  <c r="AC93" i="2" s="1"/>
  <c r="AC97" i="2" a="1"/>
  <c r="AC97" i="2" s="1"/>
  <c r="AC101" i="2" a="1"/>
  <c r="AC101" i="2" s="1"/>
  <c r="AC106" i="2" a="1"/>
  <c r="AC106" i="2" s="1"/>
  <c r="AC110" i="2" a="1"/>
  <c r="AC110" i="2" s="1"/>
  <c r="AC113" i="2" a="1"/>
  <c r="AC113" i="2" s="1"/>
  <c r="AC114" i="2" a="1"/>
  <c r="AC114" i="2" s="1"/>
  <c r="AC117" i="2" a="1"/>
  <c r="AC117" i="2" s="1"/>
  <c r="AC120" i="2" a="1"/>
  <c r="AC120" i="2" s="1"/>
  <c r="AC125" i="2" a="1"/>
  <c r="AC125" i="2" s="1"/>
  <c r="AC128" i="2" a="1"/>
  <c r="AC128" i="2" s="1"/>
  <c r="AC132" i="2" a="1"/>
  <c r="AC132" i="2" s="1"/>
  <c r="AC136" i="2" a="1"/>
  <c r="AC136" i="2" s="1"/>
  <c r="AC141" i="2" a="1"/>
  <c r="AC141" i="2" s="1"/>
  <c r="AC147" i="2" a="1"/>
  <c r="AC147" i="2" s="1"/>
  <c r="AC150" i="2" a="1"/>
  <c r="AC150" i="2" s="1"/>
  <c r="AC87" i="2" a="1"/>
  <c r="AC87" i="2" s="1"/>
  <c r="AC90" i="2" a="1"/>
  <c r="AC90" i="2" s="1"/>
  <c r="AC94" i="2" a="1"/>
  <c r="AC94" i="2" s="1"/>
  <c r="AC98" i="2" a="1"/>
  <c r="AC98" i="2" s="1"/>
  <c r="AC102" i="2" a="1"/>
  <c r="AC102" i="2" s="1"/>
  <c r="AC107" i="2" a="1"/>
  <c r="AC107" i="2" s="1"/>
  <c r="AC118" i="2" a="1"/>
  <c r="AC118" i="2" s="1"/>
  <c r="AC123" i="2" a="1"/>
  <c r="AC123" i="2" s="1"/>
  <c r="AC126" i="2" a="1"/>
  <c r="AC126" i="2" s="1"/>
  <c r="AC129" i="2" a="1"/>
  <c r="AC129" i="2" s="1"/>
  <c r="AC133" i="2" a="1"/>
  <c r="AC133" i="2" s="1"/>
  <c r="AC139" i="2" a="1"/>
  <c r="AC139" i="2" s="1"/>
  <c r="AC142" i="2" a="1"/>
  <c r="AC142" i="2" s="1"/>
  <c r="AC145" i="2" a="1"/>
  <c r="AC145" i="2" s="1"/>
  <c r="AC148" i="2" a="1"/>
  <c r="AC148" i="2" s="1"/>
  <c r="AC153" i="2" a="1"/>
  <c r="AC153" i="2" s="1"/>
  <c r="AC156" i="2" a="1"/>
  <c r="AC156" i="2" s="1"/>
  <c r="AC163" i="2" a="1"/>
  <c r="AC163" i="2" s="1"/>
  <c r="AC151" i="2" a="1"/>
  <c r="AC151" i="2" s="1"/>
  <c r="AC154" i="2" a="1"/>
  <c r="AC154" i="2" s="1"/>
  <c r="AC159" i="2" a="1"/>
  <c r="AC159" i="2" s="1"/>
  <c r="AC160" i="2" a="1"/>
  <c r="AC160" i="2" s="1"/>
  <c r="AC164" i="2" a="1"/>
  <c r="AC164" i="2" s="1"/>
  <c r="AC152" i="2" a="1"/>
  <c r="AC152" i="2" s="1"/>
  <c r="AC157" i="2" a="1"/>
  <c r="AC157" i="2" s="1"/>
  <c r="AC161" i="2" a="1"/>
  <c r="AC161" i="2" s="1"/>
  <c r="AC162" i="2" a="1"/>
  <c r="AC162" i="2" s="1"/>
  <c r="AC155" i="2" a="1"/>
  <c r="AC155" i="2" s="1"/>
  <c r="AC158" i="2" a="1"/>
  <c r="AC158" i="2" s="1"/>
  <c r="AC165" i="2" a="1"/>
  <c r="AC165" i="2" s="1"/>
  <c r="AC166" i="2" a="1"/>
  <c r="AC166" i="2" s="1"/>
  <c r="AC167" i="2" a="1"/>
  <c r="AC167" i="2" s="1"/>
  <c r="AC168" i="2" a="1"/>
  <c r="AC168" i="2" s="1"/>
  <c r="AC169" i="2" a="1"/>
  <c r="AC169" i="2" s="1"/>
  <c r="AC170" i="2" a="1"/>
  <c r="AC170" i="2" s="1"/>
  <c r="AC171" i="2" a="1"/>
  <c r="AC171" i="2" s="1"/>
  <c r="AC172" i="2" a="1"/>
  <c r="AC172" i="2" s="1"/>
  <c r="AC173" i="2" a="1"/>
  <c r="AC173" i="2" s="1"/>
  <c r="AC174" i="2" a="1"/>
  <c r="AC174" i="2" s="1"/>
  <c r="AC175" i="2" a="1"/>
  <c r="AC175" i="2" s="1"/>
  <c r="AC176" i="2" a="1"/>
  <c r="AC176" i="2" s="1"/>
  <c r="AC177" i="2" a="1"/>
  <c r="AC177" i="2" s="1"/>
  <c r="AC178" i="2" a="1"/>
  <c r="AC178" i="2" s="1"/>
  <c r="AC179" i="2" a="1"/>
  <c r="AC179" i="2" s="1"/>
  <c r="AC180" i="2" a="1"/>
  <c r="AC180" i="2" s="1"/>
  <c r="AC181" i="2" a="1"/>
  <c r="AC181" i="2" s="1"/>
  <c r="AC182" i="2" a="1"/>
  <c r="AC182" i="2" s="1"/>
  <c r="AC183" i="2" a="1"/>
  <c r="AC183" i="2" s="1"/>
  <c r="AC184" i="2" a="1"/>
  <c r="AC184" i="2" s="1"/>
  <c r="AC185" i="2" a="1"/>
  <c r="AC185" i="2" s="1"/>
  <c r="AC186" i="2" a="1"/>
  <c r="AC186" i="2" s="1"/>
  <c r="AC187" i="2" a="1"/>
  <c r="AC187" i="2" s="1"/>
  <c r="AC188" i="2" a="1"/>
  <c r="AC188" i="2" s="1"/>
  <c r="AC189" i="2" a="1"/>
  <c r="AC189" i="2" s="1"/>
  <c r="AC190" i="2" a="1"/>
  <c r="AC190" i="2" s="1"/>
  <c r="AC191" i="2" a="1"/>
  <c r="AC191" i="2" s="1"/>
  <c r="AC192" i="2" a="1"/>
  <c r="AC192" i="2" s="1"/>
  <c r="AC193" i="2" a="1"/>
  <c r="AC193" i="2" s="1"/>
  <c r="AC194" i="2" a="1"/>
  <c r="AC194" i="2" s="1"/>
  <c r="AC195" i="2" a="1"/>
  <c r="AC195" i="2" s="1"/>
  <c r="AC196" i="2" a="1"/>
  <c r="AC196" i="2" s="1"/>
  <c r="AC197" i="2" a="1"/>
  <c r="AC197" i="2" s="1"/>
  <c r="AC198" i="2" a="1"/>
  <c r="AC198" i="2" s="1"/>
  <c r="AC199" i="2" a="1"/>
  <c r="AC199" i="2" s="1"/>
  <c r="AC200" i="2" a="1"/>
  <c r="AC200" i="2" s="1"/>
  <c r="AC201" i="2" a="1"/>
  <c r="AC201" i="2" s="1"/>
  <c r="AC202" i="2" a="1"/>
  <c r="AC202" i="2" s="1"/>
  <c r="AC203" i="2" a="1"/>
  <c r="AC203" i="2" s="1"/>
  <c r="AC204" i="2" a="1"/>
  <c r="AC204" i="2" s="1"/>
  <c r="AC205" i="2" a="1"/>
  <c r="AC205" i="2" s="1"/>
  <c r="AC206" i="2" a="1"/>
  <c r="AC206" i="2" s="1"/>
  <c r="AC207" i="2" a="1"/>
  <c r="AC207" i="2" s="1"/>
  <c r="AC208" i="2" a="1"/>
  <c r="AC208" i="2" s="1"/>
  <c r="AC209" i="2" a="1"/>
  <c r="AC209" i="2" s="1"/>
  <c r="AC210" i="2" a="1"/>
  <c r="AC210" i="2" s="1"/>
  <c r="AC211" i="2" a="1"/>
  <c r="AC211" i="2" s="1"/>
  <c r="AC212" i="2" a="1"/>
  <c r="AC212" i="2" s="1"/>
  <c r="AC213" i="2" a="1"/>
  <c r="AC213" i="2" s="1"/>
  <c r="AC214" i="2" a="1"/>
  <c r="AC214" i="2" s="1"/>
  <c r="AC215" i="2" a="1"/>
  <c r="AC215" i="2" s="1"/>
  <c r="AC216" i="2" a="1"/>
  <c r="AC216" i="2" s="1"/>
  <c r="AC217" i="2" a="1"/>
  <c r="AC217" i="2" s="1"/>
  <c r="AC218" i="2" a="1"/>
  <c r="AC218" i="2" s="1"/>
  <c r="AC219" i="2" a="1"/>
  <c r="AC219" i="2" s="1"/>
  <c r="AC220" i="2" a="1"/>
  <c r="AC220" i="2" s="1"/>
  <c r="AC221" i="2" a="1"/>
  <c r="AC221" i="2" s="1"/>
  <c r="AC222" i="2" a="1"/>
  <c r="AC222" i="2" s="1"/>
  <c r="AC223" i="2" a="1"/>
  <c r="AC223" i="2" s="1"/>
  <c r="AC224" i="2" a="1"/>
  <c r="AC224" i="2" s="1"/>
  <c r="AC225" i="2" a="1"/>
  <c r="AC225" i="2" s="1"/>
  <c r="AC226" i="2" a="1"/>
  <c r="AC226" i="2" s="1"/>
  <c r="AC227" i="2" a="1"/>
  <c r="AC227" i="2" s="1"/>
  <c r="AC228" i="2" a="1"/>
  <c r="AC228" i="2" s="1"/>
  <c r="AC229" i="2" a="1"/>
  <c r="AC229" i="2" s="1"/>
  <c r="AC230" i="2" a="1"/>
  <c r="AC230" i="2" s="1"/>
  <c r="AC231" i="2" a="1"/>
  <c r="AC231" i="2" s="1"/>
  <c r="AC232" i="2" a="1"/>
  <c r="AC232" i="2" s="1"/>
  <c r="AC233" i="2" a="1"/>
  <c r="AC233" i="2" s="1"/>
  <c r="AC234" i="2" a="1"/>
  <c r="AC234" i="2" s="1"/>
  <c r="AC235" i="2" a="1"/>
  <c r="AC235" i="2" s="1"/>
  <c r="AC236" i="2" a="1"/>
  <c r="AC236" i="2" s="1"/>
  <c r="AC237" i="2" a="1"/>
  <c r="AC237" i="2" s="1"/>
  <c r="AC238" i="2" a="1"/>
  <c r="AC238" i="2" s="1"/>
  <c r="AC239" i="2" a="1"/>
  <c r="AC239" i="2" s="1"/>
  <c r="AC240" i="2" a="1"/>
  <c r="AC240" i="2" s="1"/>
  <c r="AC241" i="2" a="1"/>
  <c r="AC241" i="2" s="1"/>
  <c r="AC242" i="2" a="1"/>
  <c r="AC242" i="2" s="1"/>
  <c r="AC247" i="2" a="1"/>
  <c r="AC247" i="2" s="1"/>
  <c r="AC248" i="2" a="1"/>
  <c r="AC248" i="2" s="1"/>
  <c r="AC255" i="2" a="1"/>
  <c r="AC255" i="2" s="1"/>
  <c r="AC256" i="2" a="1"/>
  <c r="AC256" i="2" s="1"/>
  <c r="AC263" i="2" a="1"/>
  <c r="AC263" i="2" s="1"/>
  <c r="AC264" i="2" a="1"/>
  <c r="AC264" i="2" s="1"/>
  <c r="AC271" i="2" a="1"/>
  <c r="AC271" i="2" s="1"/>
  <c r="AC272" i="2" a="1"/>
  <c r="AC272" i="2" s="1"/>
  <c r="AC278" i="2" a="1"/>
  <c r="AC278" i="2" s="1"/>
  <c r="AC282" i="2" a="1"/>
  <c r="AC282" i="2" s="1"/>
  <c r="AC286" i="2" a="1"/>
  <c r="AC286" i="2" s="1"/>
  <c r="AC287" i="2" a="1"/>
  <c r="AC287" i="2" s="1"/>
  <c r="AC292" i="2" a="1"/>
  <c r="AC292" i="2" s="1"/>
  <c r="AC293" i="2" a="1"/>
  <c r="AC293" i="2" s="1"/>
  <c r="AC296" i="2" a="1"/>
  <c r="AC296" i="2" s="1"/>
  <c r="AC297" i="2" a="1"/>
  <c r="AC297" i="2" s="1"/>
  <c r="AC300" i="2" a="1"/>
  <c r="AC300" i="2" s="1"/>
  <c r="AC301" i="2" a="1"/>
  <c r="AC301" i="2" s="1"/>
  <c r="AC304" i="2" a="1"/>
  <c r="AC304" i="2" s="1"/>
  <c r="AC305" i="2" a="1"/>
  <c r="AC305" i="2" s="1"/>
  <c r="AC308" i="2" a="1"/>
  <c r="AC308" i="2" s="1"/>
  <c r="AC309" i="2" a="1"/>
  <c r="AC309" i="2" s="1"/>
  <c r="AC312" i="2" a="1"/>
  <c r="AC312" i="2" s="1"/>
  <c r="AC313" i="2" a="1"/>
  <c r="AC313" i="2" s="1"/>
  <c r="AC316" i="2" a="1"/>
  <c r="AC316" i="2" s="1"/>
  <c r="AC317" i="2" a="1"/>
  <c r="AC317" i="2" s="1"/>
  <c r="AC320" i="2" a="1"/>
  <c r="AC320" i="2" s="1"/>
  <c r="AC321" i="2" a="1"/>
  <c r="AC321" i="2" s="1"/>
  <c r="AC324" i="2" a="1"/>
  <c r="AC324" i="2" s="1"/>
  <c r="AC325" i="2" a="1"/>
  <c r="AC325" i="2" s="1"/>
  <c r="AC328" i="2" a="1"/>
  <c r="AC328" i="2" s="1"/>
  <c r="AC329" i="2" a="1"/>
  <c r="AC329" i="2" s="1"/>
  <c r="AC249" i="2" a="1"/>
  <c r="AC249" i="2" s="1"/>
  <c r="AC250" i="2" a="1"/>
  <c r="AC250" i="2" s="1"/>
  <c r="AC257" i="2" a="1"/>
  <c r="AC257" i="2" s="1"/>
  <c r="AC258" i="2" a="1"/>
  <c r="AC258" i="2" s="1"/>
  <c r="AC265" i="2" a="1"/>
  <c r="AC265" i="2" s="1"/>
  <c r="AC266" i="2" a="1"/>
  <c r="AC266" i="2" s="1"/>
  <c r="AC273" i="2" a="1"/>
  <c r="AC273" i="2" s="1"/>
  <c r="AC274" i="2" a="1"/>
  <c r="AC274" i="2" s="1"/>
  <c r="AC279" i="2" a="1"/>
  <c r="AC279" i="2" s="1"/>
  <c r="AC283" i="2" a="1"/>
  <c r="AC283" i="2" s="1"/>
  <c r="AC288" i="2" a="1"/>
  <c r="AC288" i="2" s="1"/>
  <c r="AC289" i="2" a="1"/>
  <c r="AC289" i="2" s="1"/>
  <c r="AC243" i="2" a="1"/>
  <c r="AC243" i="2" s="1"/>
  <c r="AC244" i="2" a="1"/>
  <c r="AC244" i="2" s="1"/>
  <c r="AC251" i="2" a="1"/>
  <c r="AC251" i="2" s="1"/>
  <c r="AC252" i="2" a="1"/>
  <c r="AC252" i="2" s="1"/>
  <c r="AC259" i="2" a="1"/>
  <c r="AC259" i="2" s="1"/>
  <c r="AC260" i="2" a="1"/>
  <c r="AC260" i="2" s="1"/>
  <c r="AC267" i="2" a="1"/>
  <c r="AC267" i="2" s="1"/>
  <c r="AC268" i="2" a="1"/>
  <c r="AC268" i="2" s="1"/>
  <c r="AC275" i="2" a="1"/>
  <c r="AC275" i="2" s="1"/>
  <c r="AC276" i="2" a="1"/>
  <c r="AC276" i="2" s="1"/>
  <c r="AC280" i="2" a="1"/>
  <c r="AC280" i="2" s="1"/>
  <c r="AC284" i="2" a="1"/>
  <c r="AC284" i="2" s="1"/>
  <c r="AC290" i="2" a="1"/>
  <c r="AC290" i="2" s="1"/>
  <c r="AC291" i="2" a="1"/>
  <c r="AC291" i="2" s="1"/>
  <c r="AC294" i="2" a="1"/>
  <c r="AC294" i="2" s="1"/>
  <c r="AC295" i="2" a="1"/>
  <c r="AC295" i="2" s="1"/>
  <c r="AC298" i="2" a="1"/>
  <c r="AC298" i="2" s="1"/>
  <c r="AC299" i="2" a="1"/>
  <c r="AC299" i="2" s="1"/>
  <c r="AC302" i="2" a="1"/>
  <c r="AC302" i="2" s="1"/>
  <c r="AC303" i="2" a="1"/>
  <c r="AC303" i="2" s="1"/>
  <c r="AC306" i="2" a="1"/>
  <c r="AC306" i="2" s="1"/>
  <c r="AC307" i="2" a="1"/>
  <c r="AC307" i="2" s="1"/>
  <c r="AC310" i="2" a="1"/>
  <c r="AC310" i="2" s="1"/>
  <c r="AC311" i="2" a="1"/>
  <c r="AC311" i="2" s="1"/>
  <c r="AC314" i="2" a="1"/>
  <c r="AC314" i="2" s="1"/>
  <c r="AC315" i="2" a="1"/>
  <c r="AC315" i="2" s="1"/>
  <c r="AC318" i="2" a="1"/>
  <c r="AC318" i="2" s="1"/>
  <c r="AC319" i="2" a="1"/>
  <c r="AC319" i="2" s="1"/>
  <c r="AC322" i="2" a="1"/>
  <c r="AC322" i="2" s="1"/>
  <c r="AC323" i="2" a="1"/>
  <c r="AC323" i="2" s="1"/>
  <c r="AC326" i="2" a="1"/>
  <c r="AC326" i="2" s="1"/>
  <c r="AC327" i="2" a="1"/>
  <c r="AC327" i="2" s="1"/>
  <c r="AC330" i="2" a="1"/>
  <c r="AC330" i="2" s="1"/>
  <c r="AC331" i="2" a="1"/>
  <c r="AC331" i="2" s="1"/>
  <c r="AC332" i="2" a="1"/>
  <c r="AC332" i="2" s="1"/>
  <c r="AC333" i="2" a="1"/>
  <c r="AC333" i="2" s="1"/>
  <c r="AC334" i="2" a="1"/>
  <c r="AC334" i="2" s="1"/>
  <c r="AC335" i="2" a="1"/>
  <c r="AC335" i="2" s="1"/>
  <c r="AC336" i="2" a="1"/>
  <c r="AC336" i="2" s="1"/>
  <c r="AC337" i="2" a="1"/>
  <c r="AC337" i="2" s="1"/>
  <c r="AC338" i="2" a="1"/>
  <c r="AC338" i="2" s="1"/>
  <c r="AC339" i="2" a="1"/>
  <c r="AC339" i="2" s="1"/>
  <c r="AC340" i="2" a="1"/>
  <c r="AC340" i="2" s="1"/>
  <c r="AC341" i="2" a="1"/>
  <c r="AC341" i="2" s="1"/>
  <c r="AC342" i="2" a="1"/>
  <c r="AC342" i="2" s="1"/>
  <c r="AC343" i="2" a="1"/>
  <c r="AC343" i="2" s="1"/>
  <c r="AC344" i="2" a="1"/>
  <c r="AC344" i="2" s="1"/>
  <c r="AC345" i="2" a="1"/>
  <c r="AC345" i="2" s="1"/>
  <c r="AC346" i="2" a="1"/>
  <c r="AC346" i="2" s="1"/>
  <c r="AC347" i="2" a="1"/>
  <c r="AC347" i="2" s="1"/>
  <c r="AC348" i="2" a="1"/>
  <c r="AC348" i="2" s="1"/>
  <c r="AC349" i="2" a="1"/>
  <c r="AC349" i="2" s="1"/>
  <c r="AC350" i="2" a="1"/>
  <c r="AC350" i="2" s="1"/>
  <c r="AC351" i="2" a="1"/>
  <c r="AC351" i="2" s="1"/>
  <c r="AC352" i="2" a="1"/>
  <c r="AC352" i="2" s="1"/>
  <c r="AC353" i="2" a="1"/>
  <c r="AC353" i="2" s="1"/>
  <c r="AC354" i="2" a="1"/>
  <c r="AC354" i="2" s="1"/>
  <c r="AC355" i="2" a="1"/>
  <c r="AC355" i="2" s="1"/>
  <c r="AC356" i="2" a="1"/>
  <c r="AC356" i="2" s="1"/>
  <c r="AC357" i="2" a="1"/>
  <c r="AC357" i="2" s="1"/>
  <c r="AC358" i="2" a="1"/>
  <c r="AC358" i="2" s="1"/>
  <c r="AC359" i="2" a="1"/>
  <c r="AC359" i="2" s="1"/>
  <c r="AC360" i="2" a="1"/>
  <c r="AC360" i="2" s="1"/>
  <c r="AC361" i="2" a="1"/>
  <c r="AC361" i="2" s="1"/>
  <c r="AC362" i="2" a="1"/>
  <c r="AC362" i="2" s="1"/>
  <c r="AC363" i="2" a="1"/>
  <c r="AC363" i="2" s="1"/>
  <c r="AC364" i="2" a="1"/>
  <c r="AC364" i="2" s="1"/>
  <c r="AC365" i="2" a="1"/>
  <c r="AC365" i="2" s="1"/>
  <c r="AC366" i="2" a="1"/>
  <c r="AC366" i="2" s="1"/>
  <c r="AC367" i="2" a="1"/>
  <c r="AC367" i="2" s="1"/>
  <c r="AC368" i="2" a="1"/>
  <c r="AC368" i="2" s="1"/>
  <c r="AC369" i="2" a="1"/>
  <c r="AC369" i="2" s="1"/>
  <c r="AC370" i="2" a="1"/>
  <c r="AC370" i="2" s="1"/>
  <c r="AC371" i="2" a="1"/>
  <c r="AC371" i="2" s="1"/>
  <c r="AC372" i="2" a="1"/>
  <c r="AC372" i="2" s="1"/>
  <c r="AC373" i="2" a="1"/>
  <c r="AC373" i="2" s="1"/>
  <c r="AC374" i="2" a="1"/>
  <c r="AC374" i="2" s="1"/>
  <c r="AC375" i="2" a="1"/>
  <c r="AC375" i="2" s="1"/>
  <c r="AC376" i="2" a="1"/>
  <c r="AC376" i="2" s="1"/>
  <c r="AC377" i="2" a="1"/>
  <c r="AC377" i="2" s="1"/>
  <c r="AC378" i="2" a="1"/>
  <c r="AC378" i="2" s="1"/>
  <c r="AC379" i="2" a="1"/>
  <c r="AC379" i="2" s="1"/>
  <c r="AC380" i="2" a="1"/>
  <c r="AC380" i="2" s="1"/>
  <c r="AC381" i="2" a="1"/>
  <c r="AC381" i="2" s="1"/>
  <c r="AC382" i="2" a="1"/>
  <c r="AC382" i="2" s="1"/>
  <c r="AC383" i="2" a="1"/>
  <c r="AC383" i="2" s="1"/>
  <c r="AC384" i="2" a="1"/>
  <c r="AC384" i="2" s="1"/>
  <c r="AC245" i="2" a="1"/>
  <c r="AC245" i="2" s="1"/>
  <c r="AC246" i="2" a="1"/>
  <c r="AC246" i="2" s="1"/>
  <c r="AC253" i="2" a="1"/>
  <c r="AC253" i="2" s="1"/>
  <c r="AC254" i="2" a="1"/>
  <c r="AC254" i="2" s="1"/>
  <c r="AC261" i="2" a="1"/>
  <c r="AC261" i="2" s="1"/>
  <c r="AC262" i="2" a="1"/>
  <c r="AC262" i="2" s="1"/>
  <c r="AC269" i="2" a="1"/>
  <c r="AC269" i="2" s="1"/>
  <c r="AC270" i="2" a="1"/>
  <c r="AC270" i="2" s="1"/>
  <c r="AC277" i="2" a="1"/>
  <c r="AC277" i="2" s="1"/>
  <c r="AC281" i="2" a="1"/>
  <c r="AC281" i="2" s="1"/>
  <c r="AC285" i="2" a="1"/>
  <c r="AC285" i="2" s="1"/>
  <c r="AC466" i="2" a="1"/>
  <c r="AC466" i="2" s="1"/>
  <c r="AC470" i="2" a="1"/>
  <c r="AC470" i="2" s="1"/>
  <c r="AC474" i="2" a="1"/>
  <c r="AC474" i="2" s="1"/>
  <c r="AC478" i="2" a="1"/>
  <c r="AC478" i="2" s="1"/>
  <c r="AC482" i="2" a="1"/>
  <c r="AC482" i="2" s="1"/>
  <c r="AC486" i="2" a="1"/>
  <c r="AC486" i="2" s="1"/>
  <c r="AC490" i="2" a="1"/>
  <c r="AC490" i="2" s="1"/>
  <c r="AC527" i="2" a="1"/>
  <c r="AC527" i="2" s="1"/>
  <c r="AC467" i="2" a="1"/>
  <c r="AC467" i="2" s="1"/>
  <c r="AC471" i="2" a="1"/>
  <c r="AC471" i="2" s="1"/>
  <c r="AC475" i="2" a="1"/>
  <c r="AC475" i="2" s="1"/>
  <c r="AC479" i="2" a="1"/>
  <c r="AC479" i="2" s="1"/>
  <c r="AC483" i="2" a="1"/>
  <c r="AC483" i="2" s="1"/>
  <c r="AC487" i="2" a="1"/>
  <c r="AC487" i="2" s="1"/>
  <c r="AC491" i="2" a="1"/>
  <c r="AC491" i="2" s="1"/>
  <c r="AC528" i="2" a="1"/>
  <c r="AC528" i="2" s="1"/>
  <c r="AC468" i="2" a="1"/>
  <c r="AC468" i="2" s="1"/>
  <c r="AC472" i="2" a="1"/>
  <c r="AC472" i="2" s="1"/>
  <c r="AC476" i="2" a="1"/>
  <c r="AC476" i="2" s="1"/>
  <c r="AC480" i="2" a="1"/>
  <c r="AC480" i="2" s="1"/>
  <c r="AC484" i="2" a="1"/>
  <c r="AC484" i="2" s="1"/>
  <c r="AC488" i="2" a="1"/>
  <c r="AC488" i="2" s="1"/>
  <c r="AC492" i="2" a="1"/>
  <c r="AC492" i="2" s="1"/>
  <c r="AC493" i="2" a="1"/>
  <c r="AC493" i="2" s="1"/>
  <c r="AC494" i="2" a="1"/>
  <c r="AC494" i="2" s="1"/>
  <c r="AC495" i="2" a="1"/>
  <c r="AC495" i="2" s="1"/>
  <c r="AC496" i="2" a="1"/>
  <c r="AC496" i="2" s="1"/>
  <c r="AC497" i="2" a="1"/>
  <c r="AC497" i="2" s="1"/>
  <c r="AC498" i="2" a="1"/>
  <c r="AC498" i="2" s="1"/>
  <c r="AC499" i="2" a="1"/>
  <c r="AC499" i="2" s="1"/>
  <c r="AC500" i="2" a="1"/>
  <c r="AC500" i="2" s="1"/>
  <c r="AC501" i="2" a="1"/>
  <c r="AC501" i="2" s="1"/>
  <c r="AC502" i="2" a="1"/>
  <c r="AC502" i="2" s="1"/>
  <c r="AC503" i="2" a="1"/>
  <c r="AC503" i="2" s="1"/>
  <c r="AC504" i="2" a="1"/>
  <c r="AC504" i="2" s="1"/>
  <c r="AC505" i="2" a="1"/>
  <c r="AC505" i="2" s="1"/>
  <c r="AC506" i="2" a="1"/>
  <c r="AC506" i="2" s="1"/>
  <c r="AC507" i="2" a="1"/>
  <c r="AC507" i="2" s="1"/>
  <c r="AC508" i="2" a="1"/>
  <c r="AC508" i="2" s="1"/>
  <c r="AC509" i="2" a="1"/>
  <c r="AC509" i="2" s="1"/>
  <c r="AC510" i="2" a="1"/>
  <c r="AC510" i="2" s="1"/>
  <c r="AC511" i="2" a="1"/>
  <c r="AC511" i="2" s="1"/>
  <c r="AC512" i="2" a="1"/>
  <c r="AC512" i="2" s="1"/>
  <c r="AC513" i="2" a="1"/>
  <c r="AC513" i="2" s="1"/>
  <c r="AC514" i="2" a="1"/>
  <c r="AC514" i="2" s="1"/>
  <c r="AC515" i="2" a="1"/>
  <c r="AC515" i="2" s="1"/>
  <c r="AC516" i="2" a="1"/>
  <c r="AC516" i="2" s="1"/>
  <c r="AC517" i="2" a="1"/>
  <c r="AC517" i="2" s="1"/>
  <c r="AC518" i="2" a="1"/>
  <c r="AC518" i="2" s="1"/>
  <c r="AC519" i="2" a="1"/>
  <c r="AC519" i="2" s="1"/>
  <c r="AC520" i="2" a="1"/>
  <c r="AC520" i="2" s="1"/>
  <c r="AC521" i="2" a="1"/>
  <c r="AC521" i="2" s="1"/>
  <c r="AC522" i="2" a="1"/>
  <c r="AC522" i="2" s="1"/>
  <c r="AC523" i="2" a="1"/>
  <c r="AC523" i="2" s="1"/>
  <c r="AC524" i="2" a="1"/>
  <c r="AC524" i="2" s="1"/>
  <c r="AC525" i="2" a="1"/>
  <c r="AC525" i="2" s="1"/>
  <c r="AC385" i="2" a="1"/>
  <c r="AC385" i="2" s="1"/>
  <c r="AC386" i="2" a="1"/>
  <c r="AC386" i="2" s="1"/>
  <c r="AC387" i="2" a="1"/>
  <c r="AC387" i="2" s="1"/>
  <c r="AC388" i="2" a="1"/>
  <c r="AC388" i="2" s="1"/>
  <c r="AC389" i="2" a="1"/>
  <c r="AC389" i="2" s="1"/>
  <c r="AC390" i="2" a="1"/>
  <c r="AC390" i="2" s="1"/>
  <c r="AC391" i="2" a="1"/>
  <c r="AC391" i="2" s="1"/>
  <c r="AC392" i="2" a="1"/>
  <c r="AC392" i="2" s="1"/>
  <c r="AC393" i="2" a="1"/>
  <c r="AC393" i="2" s="1"/>
  <c r="AC394" i="2" a="1"/>
  <c r="AC394" i="2" s="1"/>
  <c r="AC395" i="2" a="1"/>
  <c r="AC395" i="2" s="1"/>
  <c r="AC396" i="2" a="1"/>
  <c r="AC396" i="2" s="1"/>
  <c r="AC397" i="2" a="1"/>
  <c r="AC397" i="2" s="1"/>
  <c r="AC398" i="2" a="1"/>
  <c r="AC398" i="2" s="1"/>
  <c r="AC399" i="2" a="1"/>
  <c r="AC399" i="2" s="1"/>
  <c r="AC400" i="2" a="1"/>
  <c r="AC400" i="2" s="1"/>
  <c r="AC401" i="2" a="1"/>
  <c r="AC401" i="2" s="1"/>
  <c r="AC402" i="2" a="1"/>
  <c r="AC402" i="2" s="1"/>
  <c r="AC403" i="2" a="1"/>
  <c r="AC403" i="2" s="1"/>
  <c r="AC404" i="2" a="1"/>
  <c r="AC404" i="2" s="1"/>
  <c r="AC405" i="2" a="1"/>
  <c r="AC405" i="2" s="1"/>
  <c r="AC406" i="2" a="1"/>
  <c r="AC406" i="2" s="1"/>
  <c r="AC407" i="2" a="1"/>
  <c r="AC407" i="2" s="1"/>
  <c r="AC408" i="2" a="1"/>
  <c r="AC408" i="2" s="1"/>
  <c r="AC409" i="2" a="1"/>
  <c r="AC409" i="2" s="1"/>
  <c r="AC410" i="2" a="1"/>
  <c r="AC410" i="2" s="1"/>
  <c r="AC411" i="2" a="1"/>
  <c r="AC411" i="2" s="1"/>
  <c r="AC412" i="2" a="1"/>
  <c r="AC412" i="2" s="1"/>
  <c r="AC413" i="2" a="1"/>
  <c r="AC413" i="2" s="1"/>
  <c r="AC414" i="2" a="1"/>
  <c r="AC414" i="2" s="1"/>
  <c r="AC415" i="2" a="1"/>
  <c r="AC415" i="2" s="1"/>
  <c r="AC416" i="2" a="1"/>
  <c r="AC416" i="2" s="1"/>
  <c r="AC417" i="2" a="1"/>
  <c r="AC417" i="2" s="1"/>
  <c r="AC418" i="2" a="1"/>
  <c r="AC418" i="2" s="1"/>
  <c r="AC419" i="2" a="1"/>
  <c r="AC419" i="2" s="1"/>
  <c r="AC420" i="2" a="1"/>
  <c r="AC420" i="2" s="1"/>
  <c r="AC421" i="2" a="1"/>
  <c r="AC421" i="2" s="1"/>
  <c r="AC422" i="2" a="1"/>
  <c r="AC422" i="2" s="1"/>
  <c r="AC423" i="2" a="1"/>
  <c r="AC423" i="2" s="1"/>
  <c r="AC424" i="2" a="1"/>
  <c r="AC424" i="2" s="1"/>
  <c r="AC425" i="2" a="1"/>
  <c r="AC425" i="2" s="1"/>
  <c r="AC426" i="2" a="1"/>
  <c r="AC426" i="2" s="1"/>
  <c r="AC427" i="2" a="1"/>
  <c r="AC427" i="2" s="1"/>
  <c r="AC428" i="2" a="1"/>
  <c r="AC428" i="2" s="1"/>
  <c r="AC429" i="2" a="1"/>
  <c r="AC429" i="2" s="1"/>
  <c r="AC430" i="2" a="1"/>
  <c r="AC430" i="2" s="1"/>
  <c r="AC431" i="2" a="1"/>
  <c r="AC431" i="2" s="1"/>
  <c r="AC432" i="2" a="1"/>
  <c r="AC432" i="2" s="1"/>
  <c r="AC433" i="2" a="1"/>
  <c r="AC433" i="2" s="1"/>
  <c r="AC434" i="2" a="1"/>
  <c r="AC434" i="2" s="1"/>
  <c r="AC435" i="2" a="1"/>
  <c r="AC435" i="2" s="1"/>
  <c r="AC436" i="2" a="1"/>
  <c r="AC436" i="2" s="1"/>
  <c r="AC437" i="2" a="1"/>
  <c r="AC437" i="2" s="1"/>
  <c r="AC438" i="2" a="1"/>
  <c r="AC438" i="2" s="1"/>
  <c r="AC439" i="2" a="1"/>
  <c r="AC439" i="2" s="1"/>
  <c r="AC440" i="2" a="1"/>
  <c r="AC440" i="2" s="1"/>
  <c r="AC441" i="2" a="1"/>
  <c r="AC441" i="2" s="1"/>
  <c r="AC442" i="2" a="1"/>
  <c r="AC442" i="2" s="1"/>
  <c r="AC443" i="2" a="1"/>
  <c r="AC443" i="2" s="1"/>
  <c r="AC444" i="2" a="1"/>
  <c r="AC444" i="2" s="1"/>
  <c r="AC445" i="2" a="1"/>
  <c r="AC445" i="2" s="1"/>
  <c r="AC446" i="2" a="1"/>
  <c r="AC446" i="2" s="1"/>
  <c r="AC447" i="2" a="1"/>
  <c r="AC447" i="2" s="1"/>
  <c r="AC448" i="2" a="1"/>
  <c r="AC448" i="2" s="1"/>
  <c r="AC449" i="2" a="1"/>
  <c r="AC449" i="2" s="1"/>
  <c r="AC450" i="2" a="1"/>
  <c r="AC450" i="2" s="1"/>
  <c r="AC451" i="2" a="1"/>
  <c r="AC451" i="2" s="1"/>
  <c r="AC452" i="2" a="1"/>
  <c r="AC452" i="2" s="1"/>
  <c r="AC453" i="2" a="1"/>
  <c r="AC453" i="2" s="1"/>
  <c r="AC454" i="2" a="1"/>
  <c r="AC454" i="2" s="1"/>
  <c r="AC455" i="2" a="1"/>
  <c r="AC455" i="2" s="1"/>
  <c r="AC456" i="2" a="1"/>
  <c r="AC456" i="2" s="1"/>
  <c r="AC457" i="2" a="1"/>
  <c r="AC457" i="2" s="1"/>
  <c r="AC458" i="2" a="1"/>
  <c r="AC458" i="2" s="1"/>
  <c r="AC459" i="2" a="1"/>
  <c r="AC459" i="2" s="1"/>
  <c r="AC460" i="2" a="1"/>
  <c r="AC460" i="2" s="1"/>
  <c r="AC461" i="2" a="1"/>
  <c r="AC461" i="2" s="1"/>
  <c r="AC462" i="2" a="1"/>
  <c r="AC462" i="2" s="1"/>
  <c r="AC463" i="2" a="1"/>
  <c r="AC463" i="2" s="1"/>
  <c r="AC464" i="2" a="1"/>
  <c r="AC464" i="2" s="1"/>
  <c r="AC465" i="2" a="1"/>
  <c r="AC465" i="2" s="1"/>
  <c r="AC469" i="2" a="1"/>
  <c r="AC469" i="2" s="1"/>
  <c r="AC473" i="2" a="1"/>
  <c r="AC473" i="2" s="1"/>
  <c r="AC477" i="2" a="1"/>
  <c r="AC477" i="2" s="1"/>
  <c r="AC481" i="2" a="1"/>
  <c r="AC481" i="2" s="1"/>
  <c r="AC485" i="2" a="1"/>
  <c r="AC485" i="2" s="1"/>
  <c r="AC489" i="2" a="1"/>
  <c r="AC489" i="2" s="1"/>
  <c r="AC526" i="2" a="1"/>
  <c r="AC526" i="2" s="1"/>
  <c r="AC529" i="2" a="1"/>
  <c r="AC529" i="2" s="1"/>
  <c r="AC530" i="2" a="1"/>
  <c r="AC530" i="2" s="1"/>
  <c r="AC531" i="2" a="1"/>
  <c r="AC531" i="2" s="1"/>
  <c r="AC532" i="2" a="1"/>
  <c r="AC532" i="2" s="1"/>
  <c r="AC533" i="2" a="1"/>
  <c r="AC533" i="2" s="1"/>
  <c r="AC534" i="2" a="1"/>
  <c r="AC534" i="2" s="1"/>
  <c r="AC535" i="2" a="1"/>
  <c r="AC535" i="2" s="1"/>
  <c r="AC536" i="2" a="1"/>
  <c r="AC536" i="2" s="1"/>
  <c r="AC537" i="2" a="1"/>
  <c r="AC537" i="2" s="1"/>
  <c r="AC538" i="2" a="1"/>
  <c r="AC538" i="2" s="1"/>
  <c r="AC539" i="2" a="1"/>
  <c r="AC539" i="2" s="1"/>
  <c r="AC540" i="2" a="1"/>
  <c r="AC540" i="2" s="1"/>
  <c r="AC541" i="2" a="1"/>
  <c r="AC541" i="2" s="1"/>
  <c r="AC542" i="2" a="1"/>
  <c r="AC542" i="2" s="1"/>
  <c r="AC543" i="2" a="1"/>
  <c r="AC543" i="2" s="1"/>
  <c r="AC544" i="2" a="1"/>
  <c r="AC544" i="2" s="1"/>
  <c r="AC545" i="2" a="1"/>
  <c r="AC545" i="2" s="1"/>
  <c r="AC546" i="2" a="1"/>
  <c r="AC546" i="2" s="1"/>
  <c r="AC573" i="2" a="1"/>
  <c r="AC573" i="2" s="1"/>
  <c r="AC577" i="2" a="1"/>
  <c r="AC577" i="2" s="1"/>
  <c r="AC581" i="2" a="1"/>
  <c r="AC581" i="2" s="1"/>
  <c r="AC585" i="2" a="1"/>
  <c r="AC585" i="2" s="1"/>
  <c r="AC589" i="2" a="1"/>
  <c r="AC589" i="2" s="1"/>
  <c r="AC593" i="2" a="1"/>
  <c r="AC593" i="2" s="1"/>
  <c r="AC618" i="2" a="1"/>
  <c r="AC618" i="2" s="1"/>
  <c r="AC622" i="2" a="1"/>
  <c r="AC622" i="2" s="1"/>
  <c r="AC626" i="2" a="1"/>
  <c r="AC626" i="2" s="1"/>
  <c r="AC630" i="2" a="1"/>
  <c r="AC630" i="2" s="1"/>
  <c r="AC634" i="2" a="1"/>
  <c r="AC634" i="2" s="1"/>
  <c r="AC638" i="2" a="1"/>
  <c r="AC638" i="2" s="1"/>
  <c r="AC642" i="2" a="1"/>
  <c r="AC642" i="2" s="1"/>
  <c r="AC646" i="2" a="1"/>
  <c r="AC646" i="2" s="1"/>
  <c r="AC650" i="2" a="1"/>
  <c r="AC650" i="2" s="1"/>
  <c r="AC654" i="2" a="1"/>
  <c r="AC654" i="2" s="1"/>
  <c r="AC658" i="2" a="1"/>
  <c r="AC658" i="2" s="1"/>
  <c r="AC662" i="2" a="1"/>
  <c r="AC662" i="2" s="1"/>
  <c r="AC666" i="2" a="1"/>
  <c r="AC666" i="2" s="1"/>
  <c r="AC670" i="2" a="1"/>
  <c r="AC670" i="2" s="1"/>
  <c r="AC674" i="2" a="1"/>
  <c r="AC674" i="2" s="1"/>
  <c r="AC678" i="2" a="1"/>
  <c r="AC678" i="2" s="1"/>
  <c r="AC682" i="2" a="1"/>
  <c r="AC682" i="2" s="1"/>
  <c r="AC574" i="2" a="1"/>
  <c r="AC574" i="2" s="1"/>
  <c r="AC578" i="2" a="1"/>
  <c r="AC578" i="2" s="1"/>
  <c r="AC582" i="2" a="1"/>
  <c r="AC582" i="2" s="1"/>
  <c r="AC586" i="2" a="1"/>
  <c r="AC586" i="2" s="1"/>
  <c r="AC590" i="2" a="1"/>
  <c r="AC590" i="2" s="1"/>
  <c r="AC594" i="2" a="1"/>
  <c r="AC594" i="2" s="1"/>
  <c r="AC597" i="2" a="1"/>
  <c r="AC597" i="2" s="1"/>
  <c r="AC599" i="2" a="1"/>
  <c r="AC599" i="2" s="1"/>
  <c r="AC601" i="2" a="1"/>
  <c r="AC601" i="2" s="1"/>
  <c r="AC603" i="2" a="1"/>
  <c r="AC603" i="2" s="1"/>
  <c r="AC605" i="2" a="1"/>
  <c r="AC605" i="2" s="1"/>
  <c r="AC607" i="2" a="1"/>
  <c r="AC607" i="2" s="1"/>
  <c r="AC609" i="2" a="1"/>
  <c r="AC609" i="2" s="1"/>
  <c r="AC611" i="2" a="1"/>
  <c r="AC611" i="2" s="1"/>
  <c r="AC613" i="2" a="1"/>
  <c r="AC613" i="2" s="1"/>
  <c r="AC615" i="2" a="1"/>
  <c r="AC615" i="2" s="1"/>
  <c r="AC619" i="2" a="1"/>
  <c r="AC619" i="2" s="1"/>
  <c r="AC623" i="2" a="1"/>
  <c r="AC623" i="2" s="1"/>
  <c r="AC627" i="2" a="1"/>
  <c r="AC627" i="2" s="1"/>
  <c r="AC631" i="2" a="1"/>
  <c r="AC631" i="2" s="1"/>
  <c r="AC635" i="2" a="1"/>
  <c r="AC635" i="2" s="1"/>
  <c r="AC639" i="2" a="1"/>
  <c r="AC639" i="2" s="1"/>
  <c r="AC643" i="2" a="1"/>
  <c r="AC643" i="2" s="1"/>
  <c r="AC647" i="2" a="1"/>
  <c r="AC647" i="2" s="1"/>
  <c r="AC651" i="2" a="1"/>
  <c r="AC651" i="2" s="1"/>
  <c r="AC655" i="2" a="1"/>
  <c r="AC655" i="2" s="1"/>
  <c r="AC659" i="2" a="1"/>
  <c r="AC659" i="2" s="1"/>
  <c r="AC663" i="2" a="1"/>
  <c r="AC663" i="2" s="1"/>
  <c r="AC667" i="2" a="1"/>
  <c r="AC667" i="2" s="1"/>
  <c r="AC671" i="2" a="1"/>
  <c r="AC671" i="2" s="1"/>
  <c r="AC675" i="2" a="1"/>
  <c r="AC675" i="2" s="1"/>
  <c r="AC547" i="2" a="1"/>
  <c r="AC547" i="2" s="1"/>
  <c r="AC548" i="2" a="1"/>
  <c r="AC548" i="2" s="1"/>
  <c r="AC549" i="2" a="1"/>
  <c r="AC549" i="2" s="1"/>
  <c r="AC550" i="2" a="1"/>
  <c r="AC550" i="2" s="1"/>
  <c r="AC551" i="2" a="1"/>
  <c r="AC551" i="2" s="1"/>
  <c r="AC552" i="2" a="1"/>
  <c r="AC552" i="2" s="1"/>
  <c r="AC553" i="2" a="1"/>
  <c r="AC553" i="2" s="1"/>
  <c r="AC554" i="2" a="1"/>
  <c r="AC554" i="2" s="1"/>
  <c r="AC555" i="2" a="1"/>
  <c r="AC555" i="2" s="1"/>
  <c r="AC556" i="2" a="1"/>
  <c r="AC556" i="2" s="1"/>
  <c r="AC557" i="2" a="1"/>
  <c r="AC557" i="2" s="1"/>
  <c r="AC558" i="2" a="1"/>
  <c r="AC558" i="2" s="1"/>
  <c r="AC559" i="2" a="1"/>
  <c r="AC559" i="2" s="1"/>
  <c r="AC560" i="2" a="1"/>
  <c r="AC560" i="2" s="1"/>
  <c r="AC561" i="2" a="1"/>
  <c r="AC561" i="2" s="1"/>
  <c r="AC562" i="2" a="1"/>
  <c r="AC562" i="2" s="1"/>
  <c r="AC563" i="2" a="1"/>
  <c r="AC563" i="2" s="1"/>
  <c r="AC564" i="2" a="1"/>
  <c r="AC564" i="2" s="1"/>
  <c r="AC565" i="2" a="1"/>
  <c r="AC565" i="2" s="1"/>
  <c r="AC566" i="2" a="1"/>
  <c r="AC566" i="2" s="1"/>
  <c r="AC567" i="2" a="1"/>
  <c r="AC567" i="2" s="1"/>
  <c r="AC568" i="2" a="1"/>
  <c r="AC568" i="2" s="1"/>
  <c r="AC569" i="2" a="1"/>
  <c r="AC569" i="2" s="1"/>
  <c r="AC570" i="2" a="1"/>
  <c r="AC570" i="2" s="1"/>
  <c r="AC571" i="2" a="1"/>
  <c r="AC571" i="2" s="1"/>
  <c r="AC575" i="2" a="1"/>
  <c r="AC575" i="2" s="1"/>
  <c r="AC579" i="2" a="1"/>
  <c r="AC579" i="2" s="1"/>
  <c r="AC583" i="2" a="1"/>
  <c r="AC583" i="2" s="1"/>
  <c r="AC587" i="2" a="1"/>
  <c r="AC587" i="2" s="1"/>
  <c r="AC591" i="2" a="1"/>
  <c r="AC591" i="2" s="1"/>
  <c r="AC595" i="2" a="1"/>
  <c r="AC595" i="2" s="1"/>
  <c r="AC616" i="2" a="1"/>
  <c r="AC616" i="2" s="1"/>
  <c r="AC620" i="2" a="1"/>
  <c r="AC620" i="2" s="1"/>
  <c r="AC624" i="2" a="1"/>
  <c r="AC624" i="2" s="1"/>
  <c r="AC628" i="2" a="1"/>
  <c r="AC628" i="2" s="1"/>
  <c r="AC632" i="2" a="1"/>
  <c r="AC632" i="2" s="1"/>
  <c r="AC636" i="2" a="1"/>
  <c r="AC636" i="2" s="1"/>
  <c r="AC640" i="2" a="1"/>
  <c r="AC640" i="2" s="1"/>
  <c r="AC644" i="2" a="1"/>
  <c r="AC644" i="2" s="1"/>
  <c r="AC648" i="2" a="1"/>
  <c r="AC648" i="2" s="1"/>
  <c r="AC652" i="2" a="1"/>
  <c r="AC652" i="2" s="1"/>
  <c r="AC656" i="2" a="1"/>
  <c r="AC656" i="2" s="1"/>
  <c r="AC660" i="2" a="1"/>
  <c r="AC660" i="2" s="1"/>
  <c r="AC664" i="2" a="1"/>
  <c r="AC664" i="2" s="1"/>
  <c r="AC668" i="2" a="1"/>
  <c r="AC668" i="2" s="1"/>
  <c r="AC672" i="2" a="1"/>
  <c r="AC672" i="2" s="1"/>
  <c r="AC676" i="2" a="1"/>
  <c r="AC676" i="2" s="1"/>
  <c r="AC680" i="2" a="1"/>
  <c r="AC680" i="2" s="1"/>
  <c r="AC684" i="2" a="1"/>
  <c r="AC684" i="2" s="1"/>
  <c r="AC572" i="2" a="1"/>
  <c r="AC572" i="2" s="1"/>
  <c r="AC576" i="2" a="1"/>
  <c r="AC576" i="2" s="1"/>
  <c r="AC580" i="2" a="1"/>
  <c r="AC580" i="2" s="1"/>
  <c r="AC584" i="2" a="1"/>
  <c r="AC584" i="2" s="1"/>
  <c r="AC588" i="2" a="1"/>
  <c r="AC588" i="2" s="1"/>
  <c r="AC592" i="2" a="1"/>
  <c r="AC592" i="2" s="1"/>
  <c r="AC596" i="2" a="1"/>
  <c r="AC596" i="2" s="1"/>
  <c r="AC598" i="2" a="1"/>
  <c r="AC598" i="2" s="1"/>
  <c r="AC600" i="2" a="1"/>
  <c r="AC600" i="2" s="1"/>
  <c r="AC602" i="2" a="1"/>
  <c r="AC602" i="2" s="1"/>
  <c r="AC604" i="2" a="1"/>
  <c r="AC604" i="2" s="1"/>
  <c r="AC606" i="2" a="1"/>
  <c r="AC606" i="2" s="1"/>
  <c r="AC608" i="2" a="1"/>
  <c r="AC608" i="2" s="1"/>
  <c r="AC610" i="2" a="1"/>
  <c r="AC610" i="2" s="1"/>
  <c r="AC612" i="2" a="1"/>
  <c r="AC612" i="2" s="1"/>
  <c r="AC614" i="2" a="1"/>
  <c r="AC614" i="2" s="1"/>
  <c r="AC617" i="2" a="1"/>
  <c r="AC617" i="2" s="1"/>
  <c r="AC621" i="2" a="1"/>
  <c r="AC621" i="2" s="1"/>
  <c r="AC625" i="2" a="1"/>
  <c r="AC625" i="2" s="1"/>
  <c r="AC629" i="2" a="1"/>
  <c r="AC629" i="2" s="1"/>
  <c r="AC633" i="2" a="1"/>
  <c r="AC633" i="2" s="1"/>
  <c r="AC637" i="2" a="1"/>
  <c r="AC637" i="2" s="1"/>
  <c r="AC641" i="2" a="1"/>
  <c r="AC641" i="2" s="1"/>
  <c r="AC645" i="2" a="1"/>
  <c r="AC645" i="2" s="1"/>
  <c r="AC649" i="2" a="1"/>
  <c r="AC649" i="2" s="1"/>
  <c r="AC653" i="2" a="1"/>
  <c r="AC653" i="2" s="1"/>
  <c r="AC657" i="2" a="1"/>
  <c r="AC657" i="2" s="1"/>
  <c r="AC661" i="2" a="1"/>
  <c r="AC661" i="2" s="1"/>
  <c r="AC665" i="2" a="1"/>
  <c r="AC665" i="2" s="1"/>
  <c r="AC669" i="2" a="1"/>
  <c r="AC669" i="2" s="1"/>
  <c r="AC673" i="2" a="1"/>
  <c r="AC673" i="2" s="1"/>
  <c r="AC677" i="2" a="1"/>
  <c r="AC677" i="2" s="1"/>
  <c r="AC681" i="2" a="1"/>
  <c r="AC681" i="2" s="1"/>
  <c r="AC679" i="2" a="1"/>
  <c r="AC679" i="2" s="1"/>
  <c r="AC686" i="2" a="1"/>
  <c r="AC686" i="2" s="1"/>
  <c r="AC690" i="2" a="1"/>
  <c r="AC690" i="2" s="1"/>
  <c r="AC694" i="2" a="1"/>
  <c r="AC694" i="2" s="1"/>
  <c r="AC698" i="2" a="1"/>
  <c r="AC698" i="2" s="1"/>
  <c r="AC702" i="2" a="1"/>
  <c r="AC702" i="2" s="1"/>
  <c r="AC706" i="2" a="1"/>
  <c r="AC706" i="2" s="1"/>
  <c r="AC710" i="2" a="1"/>
  <c r="AC710" i="2" s="1"/>
  <c r="AC714" i="2" a="1"/>
  <c r="AC714" i="2" s="1"/>
  <c r="AC718" i="2" a="1"/>
  <c r="AC718" i="2" s="1"/>
  <c r="AC722" i="2" a="1"/>
  <c r="AC722" i="2" s="1"/>
  <c r="AC726" i="2" a="1"/>
  <c r="AC726" i="2" s="1"/>
  <c r="AC730" i="2" a="1"/>
  <c r="AC730" i="2" s="1"/>
  <c r="AC734" i="2" a="1"/>
  <c r="AC734" i="2" s="1"/>
  <c r="AC738" i="2" a="1"/>
  <c r="AC738" i="2" s="1"/>
  <c r="AC742" i="2" a="1"/>
  <c r="AC742" i="2" s="1"/>
  <c r="AC746" i="2" a="1"/>
  <c r="AC746" i="2" s="1"/>
  <c r="AC750" i="2" a="1"/>
  <c r="AC750" i="2" s="1"/>
  <c r="AC754" i="2" a="1"/>
  <c r="AC754" i="2" s="1"/>
  <c r="AC758" i="2" a="1"/>
  <c r="AC758" i="2" s="1"/>
  <c r="AC762" i="2" a="1"/>
  <c r="AC762" i="2" s="1"/>
  <c r="AC766" i="2" a="1"/>
  <c r="AC766" i="2" s="1"/>
  <c r="AC770" i="2" a="1"/>
  <c r="AC770" i="2" s="1"/>
  <c r="AC774" i="2" a="1"/>
  <c r="AC774" i="2" s="1"/>
  <c r="AC778" i="2" a="1"/>
  <c r="AC778" i="2" s="1"/>
  <c r="AC782" i="2" a="1"/>
  <c r="AC782" i="2" s="1"/>
  <c r="AC786" i="2" a="1"/>
  <c r="AC786" i="2" s="1"/>
  <c r="AC790" i="2" a="1"/>
  <c r="AC790" i="2" s="1"/>
  <c r="AC794" i="2" a="1"/>
  <c r="AC794" i="2" s="1"/>
  <c r="AC798" i="2" a="1"/>
  <c r="AC798" i="2" s="1"/>
  <c r="AC802" i="2" a="1"/>
  <c r="AC802" i="2" s="1"/>
  <c r="AC809" i="2" a="1"/>
  <c r="AC809" i="2" s="1"/>
  <c r="AC810" i="2" a="1"/>
  <c r="AC810" i="2" s="1"/>
  <c r="AC814" i="2" a="1"/>
  <c r="AC814" i="2" s="1"/>
  <c r="AC818" i="2" a="1"/>
  <c r="AC818" i="2" s="1"/>
  <c r="AC822" i="2" a="1"/>
  <c r="AC822" i="2" s="1"/>
  <c r="AC826" i="2" a="1"/>
  <c r="AC826" i="2" s="1"/>
  <c r="AC830" i="2" a="1"/>
  <c r="AC830" i="2" s="1"/>
  <c r="AC834" i="2" a="1"/>
  <c r="AC834" i="2" s="1"/>
  <c r="AC838" i="2" a="1"/>
  <c r="AC838" i="2" s="1"/>
  <c r="AC842" i="2" a="1"/>
  <c r="AC842" i="2" s="1"/>
  <c r="AC846" i="2" a="1"/>
  <c r="AC846" i="2" s="1"/>
  <c r="AC850" i="2" a="1"/>
  <c r="AC850" i="2" s="1"/>
  <c r="AC855" i="2" a="1"/>
  <c r="AC855" i="2" s="1"/>
  <c r="AC856" i="2" a="1"/>
  <c r="AC856" i="2" s="1"/>
  <c r="AC860" i="2" a="1"/>
  <c r="AC860" i="2" s="1"/>
  <c r="AC864" i="2" a="1"/>
  <c r="AC864" i="2" s="1"/>
  <c r="AC868" i="2" a="1"/>
  <c r="AC868" i="2" s="1"/>
  <c r="AC872" i="2" a="1"/>
  <c r="AC872" i="2" s="1"/>
  <c r="AC876" i="2" a="1"/>
  <c r="AC876" i="2" s="1"/>
  <c r="AC880" i="2" a="1"/>
  <c r="AC880" i="2" s="1"/>
  <c r="AC884" i="2" a="1"/>
  <c r="AC884" i="2" s="1"/>
  <c r="AC888" i="2" a="1"/>
  <c r="AC888" i="2" s="1"/>
  <c r="AC892" i="2" a="1"/>
  <c r="AC892" i="2" s="1"/>
  <c r="AC896" i="2" a="1"/>
  <c r="AC896" i="2" s="1"/>
  <c r="AC900" i="2" a="1"/>
  <c r="AC900" i="2" s="1"/>
  <c r="AC904" i="2" a="1"/>
  <c r="AC904" i="2" s="1"/>
  <c r="AC908" i="2" a="1"/>
  <c r="AC908" i="2" s="1"/>
  <c r="AC912" i="2" a="1"/>
  <c r="AC912" i="2" s="1"/>
  <c r="AC916" i="2" a="1"/>
  <c r="AC916" i="2" s="1"/>
  <c r="AC920" i="2" a="1"/>
  <c r="AC920" i="2" s="1"/>
  <c r="AC924" i="2" a="1"/>
  <c r="AC924" i="2" s="1"/>
  <c r="AC928" i="2" a="1"/>
  <c r="AC928" i="2" s="1"/>
  <c r="AC683" i="2" a="1"/>
  <c r="AC683" i="2" s="1"/>
  <c r="AC687" i="2" a="1"/>
  <c r="AC687" i="2" s="1"/>
  <c r="AC691" i="2" a="1"/>
  <c r="AC691" i="2" s="1"/>
  <c r="AC695" i="2" a="1"/>
  <c r="AC695" i="2" s="1"/>
  <c r="AC699" i="2" a="1"/>
  <c r="AC699" i="2" s="1"/>
  <c r="AC703" i="2" a="1"/>
  <c r="AC703" i="2" s="1"/>
  <c r="AC707" i="2" a="1"/>
  <c r="AC707" i="2" s="1"/>
  <c r="AC711" i="2" a="1"/>
  <c r="AC711" i="2" s="1"/>
  <c r="AC715" i="2" a="1"/>
  <c r="AC715" i="2" s="1"/>
  <c r="AC719" i="2" a="1"/>
  <c r="AC719" i="2" s="1"/>
  <c r="AC723" i="2" a="1"/>
  <c r="AC723" i="2" s="1"/>
  <c r="AC727" i="2" a="1"/>
  <c r="AC727" i="2" s="1"/>
  <c r="AC731" i="2" a="1"/>
  <c r="AC731" i="2" s="1"/>
  <c r="AC735" i="2" a="1"/>
  <c r="AC735" i="2" s="1"/>
  <c r="AC739" i="2" a="1"/>
  <c r="AC739" i="2" s="1"/>
  <c r="AC743" i="2" a="1"/>
  <c r="AC743" i="2" s="1"/>
  <c r="AC747" i="2" a="1"/>
  <c r="AC747" i="2" s="1"/>
  <c r="AC751" i="2" a="1"/>
  <c r="AC751" i="2" s="1"/>
  <c r="AC755" i="2" a="1"/>
  <c r="AC755" i="2" s="1"/>
  <c r="AC759" i="2" a="1"/>
  <c r="AC759" i="2" s="1"/>
  <c r="AC763" i="2" a="1"/>
  <c r="AC763" i="2" s="1"/>
  <c r="AC767" i="2" a="1"/>
  <c r="AC767" i="2" s="1"/>
  <c r="AC771" i="2" a="1"/>
  <c r="AC771" i="2" s="1"/>
  <c r="AC775" i="2" a="1"/>
  <c r="AC775" i="2" s="1"/>
  <c r="AC779" i="2" a="1"/>
  <c r="AC779" i="2" s="1"/>
  <c r="AC783" i="2" a="1"/>
  <c r="AC783" i="2" s="1"/>
  <c r="AC787" i="2" a="1"/>
  <c r="AC787" i="2" s="1"/>
  <c r="AC791" i="2" a="1"/>
  <c r="AC791" i="2" s="1"/>
  <c r="AC795" i="2" a="1"/>
  <c r="AC795" i="2" s="1"/>
  <c r="AC799" i="2" a="1"/>
  <c r="AC799" i="2" s="1"/>
  <c r="AC803" i="2" a="1"/>
  <c r="AC803" i="2" s="1"/>
  <c r="AC804" i="2" a="1"/>
  <c r="AC804" i="2" s="1"/>
  <c r="AC811" i="2" a="1"/>
  <c r="AC811" i="2" s="1"/>
  <c r="AC815" i="2" a="1"/>
  <c r="AC815" i="2" s="1"/>
  <c r="AC819" i="2" a="1"/>
  <c r="AC819" i="2" s="1"/>
  <c r="AC823" i="2" a="1"/>
  <c r="AC823" i="2" s="1"/>
  <c r="AC827" i="2" a="1"/>
  <c r="AC827" i="2" s="1"/>
  <c r="AC831" i="2" a="1"/>
  <c r="AC831" i="2" s="1"/>
  <c r="AC835" i="2" a="1"/>
  <c r="AC835" i="2" s="1"/>
  <c r="AC839" i="2" a="1"/>
  <c r="AC839" i="2" s="1"/>
  <c r="AC843" i="2" a="1"/>
  <c r="AC843" i="2" s="1"/>
  <c r="AC847" i="2" a="1"/>
  <c r="AC847" i="2" s="1"/>
  <c r="AC851" i="2" a="1"/>
  <c r="AC851" i="2" s="1"/>
  <c r="AC852" i="2" a="1"/>
  <c r="AC852" i="2" s="1"/>
  <c r="AC857" i="2" a="1"/>
  <c r="AC857" i="2" s="1"/>
  <c r="AC861" i="2" a="1"/>
  <c r="AC861" i="2" s="1"/>
  <c r="AC865" i="2" a="1"/>
  <c r="AC865" i="2" s="1"/>
  <c r="AC869" i="2" a="1"/>
  <c r="AC869" i="2" s="1"/>
  <c r="AC873" i="2" a="1"/>
  <c r="AC873" i="2" s="1"/>
  <c r="AC877" i="2" a="1"/>
  <c r="AC877" i="2" s="1"/>
  <c r="AC881" i="2" a="1"/>
  <c r="AC881" i="2" s="1"/>
  <c r="AC885" i="2" a="1"/>
  <c r="AC885" i="2" s="1"/>
  <c r="AC889" i="2" a="1"/>
  <c r="AC889" i="2" s="1"/>
  <c r="AC893" i="2" a="1"/>
  <c r="AC893" i="2" s="1"/>
  <c r="AC897" i="2" a="1"/>
  <c r="AC897" i="2" s="1"/>
  <c r="AC901" i="2" a="1"/>
  <c r="AC901" i="2" s="1"/>
  <c r="AC905" i="2" a="1"/>
  <c r="AC905" i="2" s="1"/>
  <c r="AC909" i="2" a="1"/>
  <c r="AC909" i="2" s="1"/>
  <c r="AC913" i="2" a="1"/>
  <c r="AC913" i="2" s="1"/>
  <c r="AC917" i="2" a="1"/>
  <c r="AC917" i="2" s="1"/>
  <c r="AC921" i="2" a="1"/>
  <c r="AC921" i="2" s="1"/>
  <c r="AC925" i="2" a="1"/>
  <c r="AC925" i="2" s="1"/>
  <c r="AC929" i="2" a="1"/>
  <c r="AC929" i="2" s="1"/>
  <c r="AC932" i="2" a="1"/>
  <c r="AC932" i="2" s="1"/>
  <c r="AC933" i="2" a="1"/>
  <c r="AC933" i="2" s="1"/>
  <c r="AC934" i="2" a="1"/>
  <c r="AC934" i="2" s="1"/>
  <c r="AC935" i="2" a="1"/>
  <c r="AC935" i="2" s="1"/>
  <c r="AC936" i="2" a="1"/>
  <c r="AC936" i="2" s="1"/>
  <c r="AC937" i="2" a="1"/>
  <c r="AC937" i="2" s="1"/>
  <c r="AC938" i="2" a="1"/>
  <c r="AC938" i="2" s="1"/>
  <c r="AC939" i="2" a="1"/>
  <c r="AC939" i="2" s="1"/>
  <c r="AC940" i="2" a="1"/>
  <c r="AC940" i="2" s="1"/>
  <c r="AC941" i="2" a="1"/>
  <c r="AC941" i="2" s="1"/>
  <c r="AC942" i="2" a="1"/>
  <c r="AC942" i="2" s="1"/>
  <c r="AC943" i="2" a="1"/>
  <c r="AC943" i="2" s="1"/>
  <c r="AC944" i="2" a="1"/>
  <c r="AC944" i="2" s="1"/>
  <c r="AC945" i="2" a="1"/>
  <c r="AC945" i="2" s="1"/>
  <c r="AC946" i="2" a="1"/>
  <c r="AC946" i="2" s="1"/>
  <c r="AC947" i="2" a="1"/>
  <c r="AC947" i="2" s="1"/>
  <c r="AC948" i="2" a="1"/>
  <c r="AC948" i="2" s="1"/>
  <c r="AC949" i="2" a="1"/>
  <c r="AC949" i="2" s="1"/>
  <c r="AC950" i="2" a="1"/>
  <c r="AC950" i="2" s="1"/>
  <c r="AC951" i="2" a="1"/>
  <c r="AC951" i="2" s="1"/>
  <c r="AC952" i="2" a="1"/>
  <c r="AC952" i="2" s="1"/>
  <c r="AC953" i="2" a="1"/>
  <c r="AC953" i="2" s="1"/>
  <c r="AC954" i="2" a="1"/>
  <c r="AC954" i="2" s="1"/>
  <c r="AC955" i="2" a="1"/>
  <c r="AC955" i="2" s="1"/>
  <c r="AC956" i="2" a="1"/>
  <c r="AC956" i="2" s="1"/>
  <c r="AC957" i="2" a="1"/>
  <c r="AC957" i="2" s="1"/>
  <c r="AC958" i="2" a="1"/>
  <c r="AC958" i="2" s="1"/>
  <c r="AC959" i="2" a="1"/>
  <c r="AC959" i="2" s="1"/>
  <c r="AC960" i="2" a="1"/>
  <c r="AC960" i="2" s="1"/>
  <c r="AC961" i="2" a="1"/>
  <c r="AC961" i="2" s="1"/>
  <c r="AC962" i="2" a="1"/>
  <c r="AC962" i="2" s="1"/>
  <c r="AC688" i="2" a="1"/>
  <c r="AC688" i="2" s="1"/>
  <c r="AC692" i="2" a="1"/>
  <c r="AC692" i="2" s="1"/>
  <c r="AC696" i="2" a="1"/>
  <c r="AC696" i="2" s="1"/>
  <c r="AC700" i="2" a="1"/>
  <c r="AC700" i="2" s="1"/>
  <c r="AC704" i="2" a="1"/>
  <c r="AC704" i="2" s="1"/>
  <c r="AC708" i="2" a="1"/>
  <c r="AC708" i="2" s="1"/>
  <c r="AC712" i="2" a="1"/>
  <c r="AC712" i="2" s="1"/>
  <c r="AC716" i="2" a="1"/>
  <c r="AC716" i="2" s="1"/>
  <c r="AC720" i="2" a="1"/>
  <c r="AC720" i="2" s="1"/>
  <c r="AC724" i="2" a="1"/>
  <c r="AC724" i="2" s="1"/>
  <c r="AC728" i="2" a="1"/>
  <c r="AC728" i="2" s="1"/>
  <c r="AC732" i="2" a="1"/>
  <c r="AC732" i="2" s="1"/>
  <c r="AC736" i="2" a="1"/>
  <c r="AC736" i="2" s="1"/>
  <c r="AC740" i="2" a="1"/>
  <c r="AC740" i="2" s="1"/>
  <c r="AC744" i="2" a="1"/>
  <c r="AC744" i="2" s="1"/>
  <c r="AC748" i="2" a="1"/>
  <c r="AC748" i="2" s="1"/>
  <c r="AC752" i="2" a="1"/>
  <c r="AC752" i="2" s="1"/>
  <c r="AC756" i="2" a="1"/>
  <c r="AC756" i="2" s="1"/>
  <c r="AC760" i="2" a="1"/>
  <c r="AC760" i="2" s="1"/>
  <c r="AC764" i="2" a="1"/>
  <c r="AC764" i="2" s="1"/>
  <c r="AC768" i="2" a="1"/>
  <c r="AC768" i="2" s="1"/>
  <c r="AC772" i="2" a="1"/>
  <c r="AC772" i="2" s="1"/>
  <c r="AC776" i="2" a="1"/>
  <c r="AC776" i="2" s="1"/>
  <c r="AC780" i="2" a="1"/>
  <c r="AC780" i="2" s="1"/>
  <c r="AC784" i="2" a="1"/>
  <c r="AC784" i="2" s="1"/>
  <c r="AC788" i="2" a="1"/>
  <c r="AC788" i="2" s="1"/>
  <c r="AC792" i="2" a="1"/>
  <c r="AC792" i="2" s="1"/>
  <c r="AC796" i="2" a="1"/>
  <c r="AC796" i="2" s="1"/>
  <c r="AC800" i="2" a="1"/>
  <c r="AC800" i="2" s="1"/>
  <c r="AC805" i="2" a="1"/>
  <c r="AC805" i="2" s="1"/>
  <c r="AC806" i="2" a="1"/>
  <c r="AC806" i="2" s="1"/>
  <c r="AC812" i="2" a="1"/>
  <c r="AC812" i="2" s="1"/>
  <c r="AC816" i="2" a="1"/>
  <c r="AC816" i="2" s="1"/>
  <c r="AC820" i="2" a="1"/>
  <c r="AC820" i="2" s="1"/>
  <c r="AC824" i="2" a="1"/>
  <c r="AC824" i="2" s="1"/>
  <c r="AC828" i="2" a="1"/>
  <c r="AC828" i="2" s="1"/>
  <c r="AC832" i="2" a="1"/>
  <c r="AC832" i="2" s="1"/>
  <c r="AC836" i="2" a="1"/>
  <c r="AC836" i="2" s="1"/>
  <c r="AC840" i="2" a="1"/>
  <c r="AC840" i="2" s="1"/>
  <c r="AC844" i="2" a="1"/>
  <c r="AC844" i="2" s="1"/>
  <c r="AC848" i="2" a="1"/>
  <c r="AC848" i="2" s="1"/>
  <c r="AC853" i="2" a="1"/>
  <c r="AC853" i="2" s="1"/>
  <c r="AC858" i="2" a="1"/>
  <c r="AC858" i="2" s="1"/>
  <c r="AC862" i="2" a="1"/>
  <c r="AC862" i="2" s="1"/>
  <c r="AC866" i="2" a="1"/>
  <c r="AC866" i="2" s="1"/>
  <c r="AC870" i="2" a="1"/>
  <c r="AC870" i="2" s="1"/>
  <c r="AC874" i="2" a="1"/>
  <c r="AC874" i="2" s="1"/>
  <c r="AC878" i="2" a="1"/>
  <c r="AC878" i="2" s="1"/>
  <c r="AC882" i="2" a="1"/>
  <c r="AC882" i="2" s="1"/>
  <c r="AC886" i="2" a="1"/>
  <c r="AC886" i="2" s="1"/>
  <c r="AC890" i="2" a="1"/>
  <c r="AC890" i="2" s="1"/>
  <c r="AC894" i="2" a="1"/>
  <c r="AC894" i="2" s="1"/>
  <c r="AC898" i="2" a="1"/>
  <c r="AC898" i="2" s="1"/>
  <c r="AC902" i="2" a="1"/>
  <c r="AC902" i="2" s="1"/>
  <c r="AC906" i="2" a="1"/>
  <c r="AC906" i="2" s="1"/>
  <c r="AC910" i="2" a="1"/>
  <c r="AC910" i="2" s="1"/>
  <c r="AC914" i="2" a="1"/>
  <c r="AC914" i="2" s="1"/>
  <c r="AC918" i="2" a="1"/>
  <c r="AC918" i="2" s="1"/>
  <c r="AC922" i="2" a="1"/>
  <c r="AC922" i="2" s="1"/>
  <c r="AC926" i="2" a="1"/>
  <c r="AC926" i="2" s="1"/>
  <c r="AC930" i="2" a="1"/>
  <c r="AC930" i="2" s="1"/>
  <c r="AC685" i="2" a="1"/>
  <c r="AC685" i="2" s="1"/>
  <c r="AC689" i="2" a="1"/>
  <c r="AC689" i="2" s="1"/>
  <c r="AC693" i="2" a="1"/>
  <c r="AC693" i="2" s="1"/>
  <c r="AC697" i="2" a="1"/>
  <c r="AC697" i="2" s="1"/>
  <c r="AC701" i="2" a="1"/>
  <c r="AC701" i="2" s="1"/>
  <c r="AC705" i="2" a="1"/>
  <c r="AC705" i="2" s="1"/>
  <c r="AC709" i="2" a="1"/>
  <c r="AC709" i="2" s="1"/>
  <c r="AC713" i="2" a="1"/>
  <c r="AC713" i="2" s="1"/>
  <c r="AC717" i="2" a="1"/>
  <c r="AC717" i="2" s="1"/>
  <c r="AC721" i="2" a="1"/>
  <c r="AC721" i="2" s="1"/>
  <c r="AC725" i="2" a="1"/>
  <c r="AC725" i="2" s="1"/>
  <c r="AC729" i="2" a="1"/>
  <c r="AC729" i="2" s="1"/>
  <c r="AC733" i="2" a="1"/>
  <c r="AC733" i="2" s="1"/>
  <c r="AC737" i="2" a="1"/>
  <c r="AC737" i="2" s="1"/>
  <c r="AC741" i="2" a="1"/>
  <c r="AC741" i="2" s="1"/>
  <c r="AC745" i="2" a="1"/>
  <c r="AC745" i="2" s="1"/>
  <c r="AC749" i="2" a="1"/>
  <c r="AC749" i="2" s="1"/>
  <c r="AC753" i="2" a="1"/>
  <c r="AC753" i="2" s="1"/>
  <c r="AC757" i="2" a="1"/>
  <c r="AC757" i="2" s="1"/>
  <c r="AC761" i="2" a="1"/>
  <c r="AC761" i="2" s="1"/>
  <c r="AC765" i="2" a="1"/>
  <c r="AC765" i="2" s="1"/>
  <c r="AC769" i="2" a="1"/>
  <c r="AC769" i="2" s="1"/>
  <c r="AC773" i="2" a="1"/>
  <c r="AC773" i="2" s="1"/>
  <c r="AC777" i="2" a="1"/>
  <c r="AC777" i="2" s="1"/>
  <c r="AC781" i="2" a="1"/>
  <c r="AC781" i="2" s="1"/>
  <c r="AC785" i="2" a="1"/>
  <c r="AC785" i="2" s="1"/>
  <c r="AC789" i="2" a="1"/>
  <c r="AC789" i="2" s="1"/>
  <c r="AC793" i="2" a="1"/>
  <c r="AC793" i="2" s="1"/>
  <c r="AC797" i="2" a="1"/>
  <c r="AC797" i="2" s="1"/>
  <c r="AC801" i="2" a="1"/>
  <c r="AC801" i="2" s="1"/>
  <c r="AC807" i="2" a="1"/>
  <c r="AC807" i="2" s="1"/>
  <c r="AC808" i="2" a="1"/>
  <c r="AC808" i="2" s="1"/>
  <c r="AC813" i="2" a="1"/>
  <c r="AC813" i="2" s="1"/>
  <c r="AC817" i="2" a="1"/>
  <c r="AC817" i="2" s="1"/>
  <c r="AC821" i="2" a="1"/>
  <c r="AC821" i="2" s="1"/>
  <c r="AC825" i="2" a="1"/>
  <c r="AC825" i="2" s="1"/>
  <c r="AC829" i="2" a="1"/>
  <c r="AC829" i="2" s="1"/>
  <c r="AC833" i="2" a="1"/>
  <c r="AC833" i="2" s="1"/>
  <c r="AC837" i="2" a="1"/>
  <c r="AC837" i="2" s="1"/>
  <c r="AC841" i="2" a="1"/>
  <c r="AC841" i="2" s="1"/>
  <c r="AC845" i="2" a="1"/>
  <c r="AC845" i="2" s="1"/>
  <c r="AC849" i="2" a="1"/>
  <c r="AC849" i="2" s="1"/>
  <c r="AC854" i="2" a="1"/>
  <c r="AC854" i="2" s="1"/>
  <c r="AC859" i="2" a="1"/>
  <c r="AC859" i="2" s="1"/>
  <c r="AC863" i="2" a="1"/>
  <c r="AC863" i="2" s="1"/>
  <c r="AC867" i="2" a="1"/>
  <c r="AC867" i="2" s="1"/>
  <c r="AC871" i="2" a="1"/>
  <c r="AC871" i="2" s="1"/>
  <c r="AC875" i="2" a="1"/>
  <c r="AC875" i="2" s="1"/>
  <c r="AC879" i="2" a="1"/>
  <c r="AC879" i="2" s="1"/>
  <c r="AC883" i="2" a="1"/>
  <c r="AC883" i="2" s="1"/>
  <c r="AC887" i="2" a="1"/>
  <c r="AC887" i="2" s="1"/>
  <c r="AC891" i="2" a="1"/>
  <c r="AC891" i="2" s="1"/>
  <c r="AC895" i="2" a="1"/>
  <c r="AC895" i="2" s="1"/>
  <c r="AC899" i="2" a="1"/>
  <c r="AC899" i="2" s="1"/>
  <c r="AC903" i="2" a="1"/>
  <c r="AC903" i="2" s="1"/>
  <c r="AC907" i="2" a="1"/>
  <c r="AC907" i="2" s="1"/>
  <c r="AC911" i="2" a="1"/>
  <c r="AC911" i="2" s="1"/>
  <c r="AC915" i="2" a="1"/>
  <c r="AC915" i="2" s="1"/>
  <c r="AC919" i="2" a="1"/>
  <c r="AC919" i="2" s="1"/>
  <c r="AC923" i="2" a="1"/>
  <c r="AC923" i="2" s="1"/>
  <c r="AC927" i="2" a="1"/>
  <c r="AC927" i="2" s="1"/>
  <c r="AC931" i="2" a="1"/>
  <c r="AC931" i="2" s="1"/>
  <c r="AC4" i="2" a="1"/>
  <c r="AC4" i="2" s="1"/>
  <c r="AC963" i="2" a="1"/>
  <c r="AC963" i="2" s="1"/>
  <c r="AC964" i="2" a="1"/>
  <c r="AC964" i="2" s="1"/>
  <c r="AC965" i="2" a="1"/>
  <c r="AC965" i="2" s="1"/>
  <c r="AC966" i="2" a="1"/>
  <c r="AC966" i="2" s="1"/>
  <c r="AC967" i="2" a="1"/>
  <c r="AC967" i="2" s="1"/>
  <c r="AC968" i="2" a="1"/>
  <c r="AC968" i="2" s="1"/>
  <c r="AC969" i="2" a="1"/>
  <c r="AC969" i="2" s="1"/>
  <c r="AC970" i="2" a="1"/>
  <c r="AC970" i="2" s="1"/>
  <c r="AC971" i="2" a="1"/>
  <c r="AC971" i="2" s="1"/>
  <c r="AC972" i="2" a="1"/>
  <c r="AC972" i="2" s="1"/>
  <c r="AC973" i="2" a="1"/>
  <c r="AC973" i="2" s="1"/>
  <c r="AC974" i="2" a="1"/>
  <c r="AC974" i="2" s="1"/>
  <c r="AC975" i="2" a="1"/>
  <c r="AC975" i="2" s="1"/>
  <c r="AC976" i="2" a="1"/>
  <c r="AC976" i="2" s="1"/>
  <c r="AC977" i="2" a="1"/>
  <c r="AC977" i="2" s="1"/>
  <c r="AC978" i="2" a="1"/>
  <c r="AC978" i="2" s="1"/>
  <c r="AC979" i="2" a="1"/>
  <c r="AC979" i="2" s="1"/>
  <c r="AC980" i="2" a="1"/>
  <c r="AC980" i="2" s="1"/>
  <c r="AC981" i="2" a="1"/>
  <c r="AC981" i="2" s="1"/>
  <c r="AC982" i="2" a="1"/>
  <c r="AC982" i="2" s="1"/>
  <c r="AC983" i="2" a="1"/>
  <c r="AC983" i="2" s="1"/>
  <c r="AC984" i="2" a="1"/>
  <c r="AC984" i="2" s="1"/>
  <c r="AC985" i="2" a="1"/>
  <c r="AC985" i="2" s="1"/>
  <c r="AC986" i="2" a="1"/>
  <c r="AC986" i="2" s="1"/>
  <c r="AC987" i="2" a="1"/>
  <c r="AC987" i="2" s="1"/>
  <c r="AC988" i="2" a="1"/>
  <c r="AC988" i="2" s="1"/>
  <c r="AC989" i="2" a="1"/>
  <c r="AC989" i="2" s="1"/>
  <c r="AC990" i="2" a="1"/>
  <c r="AC990" i="2" s="1"/>
  <c r="AC991" i="2" a="1"/>
  <c r="AC991" i="2" s="1"/>
  <c r="AC992" i="2" a="1"/>
  <c r="AC992" i="2" s="1"/>
  <c r="AC993" i="2" a="1"/>
  <c r="AC993" i="2" s="1"/>
  <c r="AC994" i="2" a="1"/>
  <c r="AC994" i="2" s="1"/>
  <c r="AC995" i="2" a="1"/>
  <c r="AC995" i="2" s="1"/>
  <c r="AC996" i="2" a="1"/>
  <c r="AC996" i="2" s="1"/>
  <c r="AC997" i="2" a="1"/>
  <c r="AC997" i="2" s="1"/>
  <c r="AC998" i="2" a="1"/>
  <c r="AC998" i="2" s="1"/>
  <c r="AC999" i="2" a="1"/>
  <c r="AC999" i="2" s="1"/>
  <c r="AC1000" i="2" a="1"/>
  <c r="AC1000" i="2" s="1"/>
  <c r="AC1001" i="2" a="1"/>
  <c r="AC1001" i="2" s="1"/>
  <c r="AC1002" i="2" a="1"/>
  <c r="AC1002" i="2" s="1"/>
  <c r="AC1003" i="2" a="1"/>
  <c r="AC1003" i="2" s="1"/>
  <c r="AE51" i="2" a="1"/>
  <c r="AE51" i="2" s="1"/>
  <c r="AE52" i="2" a="1"/>
  <c r="AE52" i="2" s="1"/>
  <c r="AE59" i="2" a="1"/>
  <c r="AE59" i="2" s="1"/>
  <c r="AE60" i="2" a="1"/>
  <c r="AE60" i="2" s="1"/>
  <c r="AE67" i="2" a="1"/>
  <c r="AE67" i="2" s="1"/>
  <c r="AE68" i="2" a="1"/>
  <c r="AE68" i="2" s="1"/>
  <c r="AE75" i="2" a="1"/>
  <c r="AE75" i="2" s="1"/>
  <c r="AE76" i="2" a="1"/>
  <c r="AE76" i="2" s="1"/>
  <c r="AE53" i="2" a="1"/>
  <c r="AE53" i="2" s="1"/>
  <c r="AE54" i="2" a="1"/>
  <c r="AE54" i="2" s="1"/>
  <c r="AE61" i="2" a="1"/>
  <c r="AE61" i="2" s="1"/>
  <c r="AE62" i="2" a="1"/>
  <c r="AE62" i="2" s="1"/>
  <c r="AE69" i="2" a="1"/>
  <c r="AE69" i="2" s="1"/>
  <c r="AE70" i="2" a="1"/>
  <c r="AE70" i="2" s="1"/>
  <c r="AE77" i="2" a="1"/>
  <c r="AE77" i="2" s="1"/>
  <c r="AE78" i="2" a="1"/>
  <c r="AE78" i="2" s="1"/>
  <c r="AE83" i="2" a="1"/>
  <c r="AE83" i="2" s="1"/>
  <c r="AE84" i="2" a="1"/>
  <c r="AE84" i="2" s="1"/>
  <c r="AE5" i="2" a="1"/>
  <c r="AE5" i="2" s="1"/>
  <c r="AE6" i="2" a="1"/>
  <c r="AE6" i="2" s="1"/>
  <c r="AE7" i="2" a="1"/>
  <c r="AE7" i="2" s="1"/>
  <c r="AE8" i="2" a="1"/>
  <c r="AE8" i="2" s="1"/>
  <c r="AE9" i="2" a="1"/>
  <c r="AE9" i="2" s="1"/>
  <c r="AE10" i="2" a="1"/>
  <c r="AE10" i="2" s="1"/>
  <c r="AE11" i="2" a="1"/>
  <c r="AE11" i="2" s="1"/>
  <c r="AE12" i="2" a="1"/>
  <c r="AE12" i="2" s="1"/>
  <c r="AE13" i="2" a="1"/>
  <c r="AE13" i="2" s="1"/>
  <c r="AE14" i="2" a="1"/>
  <c r="AE14" i="2" s="1"/>
  <c r="AE15" i="2" a="1"/>
  <c r="AE15" i="2" s="1"/>
  <c r="AE16" i="2" a="1"/>
  <c r="AE16" i="2" s="1"/>
  <c r="AE17" i="2" a="1"/>
  <c r="AE17" i="2" s="1"/>
  <c r="AE18" i="2" a="1"/>
  <c r="AE18" i="2" s="1"/>
  <c r="AE19" i="2" a="1"/>
  <c r="AE19" i="2" s="1"/>
  <c r="AE20" i="2" a="1"/>
  <c r="AE20" i="2" s="1"/>
  <c r="AE21" i="2" a="1"/>
  <c r="AE21" i="2" s="1"/>
  <c r="AE22" i="2" a="1"/>
  <c r="AE22" i="2" s="1"/>
  <c r="AE23" i="2" a="1"/>
  <c r="AE23" i="2" s="1"/>
  <c r="AE24" i="2" a="1"/>
  <c r="AE24" i="2" s="1"/>
  <c r="AE25" i="2" a="1"/>
  <c r="AE25" i="2" s="1"/>
  <c r="AE26" i="2" a="1"/>
  <c r="AE26" i="2" s="1"/>
  <c r="AE27" i="2" a="1"/>
  <c r="AE27" i="2" s="1"/>
  <c r="AE28" i="2" a="1"/>
  <c r="AE28" i="2" s="1"/>
  <c r="AE29" i="2" a="1"/>
  <c r="AE29" i="2" s="1"/>
  <c r="AE30" i="2" a="1"/>
  <c r="AE30" i="2" s="1"/>
  <c r="AE31" i="2" a="1"/>
  <c r="AE31" i="2" s="1"/>
  <c r="AE32" i="2" a="1"/>
  <c r="AE32" i="2" s="1"/>
  <c r="AE33" i="2" a="1"/>
  <c r="AE33" i="2" s="1"/>
  <c r="AE34" i="2" a="1"/>
  <c r="AE34" i="2" s="1"/>
  <c r="AE35" i="2" a="1"/>
  <c r="AE35" i="2" s="1"/>
  <c r="AE36" i="2" a="1"/>
  <c r="AE36" i="2" s="1"/>
  <c r="AE37" i="2" a="1"/>
  <c r="AE37" i="2" s="1"/>
  <c r="AE38" i="2" a="1"/>
  <c r="AE38" i="2" s="1"/>
  <c r="AE39" i="2" a="1"/>
  <c r="AE39" i="2" s="1"/>
  <c r="AE40" i="2" a="1"/>
  <c r="AE40" i="2" s="1"/>
  <c r="AE41" i="2" a="1"/>
  <c r="AE41" i="2" s="1"/>
  <c r="AE42" i="2" a="1"/>
  <c r="AE42" i="2" s="1"/>
  <c r="AE43" i="2" a="1"/>
  <c r="AE43" i="2" s="1"/>
  <c r="AE44" i="2" a="1"/>
  <c r="AE44" i="2" s="1"/>
  <c r="AE45" i="2" a="1"/>
  <c r="AE45" i="2" s="1"/>
  <c r="AE46" i="2" a="1"/>
  <c r="AE46" i="2" s="1"/>
  <c r="AE47" i="2" a="1"/>
  <c r="AE47" i="2" s="1"/>
  <c r="AE48" i="2" a="1"/>
  <c r="AE48" i="2" s="1"/>
  <c r="AE55" i="2" a="1"/>
  <c r="AE55" i="2" s="1"/>
  <c r="AE56" i="2" a="1"/>
  <c r="AE56" i="2" s="1"/>
  <c r="AE63" i="2" a="1"/>
  <c r="AE63" i="2" s="1"/>
  <c r="AE64" i="2" a="1"/>
  <c r="AE64" i="2" s="1"/>
  <c r="AE71" i="2" a="1"/>
  <c r="AE71" i="2" s="1"/>
  <c r="AE72" i="2" a="1"/>
  <c r="AE72" i="2" s="1"/>
  <c r="AE79" i="2" a="1"/>
  <c r="AE79" i="2" s="1"/>
  <c r="AE80" i="2" a="1"/>
  <c r="AE80" i="2" s="1"/>
  <c r="AE49" i="2" a="1"/>
  <c r="AE49" i="2" s="1"/>
  <c r="AE50" i="2" a="1"/>
  <c r="AE50" i="2" s="1"/>
  <c r="AE57" i="2" a="1"/>
  <c r="AE57" i="2" s="1"/>
  <c r="AE58" i="2" a="1"/>
  <c r="AE58" i="2" s="1"/>
  <c r="AE65" i="2" a="1"/>
  <c r="AE65" i="2" s="1"/>
  <c r="AE66" i="2" a="1"/>
  <c r="AE66" i="2" s="1"/>
  <c r="AE73" i="2" a="1"/>
  <c r="AE73" i="2" s="1"/>
  <c r="AE74" i="2" a="1"/>
  <c r="AE74" i="2" s="1"/>
  <c r="AE81" i="2" a="1"/>
  <c r="AE81" i="2" s="1"/>
  <c r="AE82" i="2" a="1"/>
  <c r="AE82" i="2" s="1"/>
  <c r="AE90" i="2" a="1"/>
  <c r="AE90" i="2" s="1"/>
  <c r="AE94" i="2" a="1"/>
  <c r="AE94" i="2" s="1"/>
  <c r="AE98" i="2" a="1"/>
  <c r="AE98" i="2" s="1"/>
  <c r="AE102" i="2" a="1"/>
  <c r="AE102" i="2" s="1"/>
  <c r="AE107" i="2" a="1"/>
  <c r="AE107" i="2" s="1"/>
  <c r="AE118" i="2" a="1"/>
  <c r="AE118" i="2" s="1"/>
  <c r="AE123" i="2" a="1"/>
  <c r="AE123" i="2" s="1"/>
  <c r="AE126" i="2" a="1"/>
  <c r="AE126" i="2" s="1"/>
  <c r="AE129" i="2" a="1"/>
  <c r="AE129" i="2" s="1"/>
  <c r="AE133" i="2" a="1"/>
  <c r="AE133" i="2" s="1"/>
  <c r="AE139" i="2" a="1"/>
  <c r="AE139" i="2" s="1"/>
  <c r="AE142" i="2" a="1"/>
  <c r="AE142" i="2" s="1"/>
  <c r="AE145" i="2" a="1"/>
  <c r="AE145" i="2" s="1"/>
  <c r="AE148" i="2" a="1"/>
  <c r="AE148" i="2" s="1"/>
  <c r="AE87" i="2" a="1"/>
  <c r="AE87" i="2" s="1"/>
  <c r="AE88" i="2" a="1"/>
  <c r="AE88" i="2" s="1"/>
  <c r="AE91" i="2" a="1"/>
  <c r="AE91" i="2" s="1"/>
  <c r="AE95" i="2" a="1"/>
  <c r="AE95" i="2" s="1"/>
  <c r="AE99" i="2" a="1"/>
  <c r="AE99" i="2" s="1"/>
  <c r="AE103" i="2" a="1"/>
  <c r="AE103" i="2" s="1"/>
  <c r="AE104" i="2" a="1"/>
  <c r="AE104" i="2" s="1"/>
  <c r="AE108" i="2" a="1"/>
  <c r="AE108" i="2" s="1"/>
  <c r="AE111" i="2" a="1"/>
  <c r="AE111" i="2" s="1"/>
  <c r="AE112" i="2" a="1"/>
  <c r="AE112" i="2" s="1"/>
  <c r="AE115" i="2" a="1"/>
  <c r="AE115" i="2" s="1"/>
  <c r="AE116" i="2" a="1"/>
  <c r="AE116" i="2" s="1"/>
  <c r="AE121" i="2" a="1"/>
  <c r="AE121" i="2" s="1"/>
  <c r="AE124" i="2" a="1"/>
  <c r="AE124" i="2" s="1"/>
  <c r="AE130" i="2" a="1"/>
  <c r="AE130" i="2" s="1"/>
  <c r="AE134" i="2" a="1"/>
  <c r="AE134" i="2" s="1"/>
  <c r="AE137" i="2" a="1"/>
  <c r="AE137" i="2" s="1"/>
  <c r="AE140" i="2" a="1"/>
  <c r="AE140" i="2" s="1"/>
  <c r="AE146" i="2" a="1"/>
  <c r="AE146" i="2" s="1"/>
  <c r="AE92" i="2" a="1"/>
  <c r="AE92" i="2" s="1"/>
  <c r="AE96" i="2" a="1"/>
  <c r="AE96" i="2" s="1"/>
  <c r="AE100" i="2" a="1"/>
  <c r="AE100" i="2" s="1"/>
  <c r="AE105" i="2" a="1"/>
  <c r="AE105" i="2" s="1"/>
  <c r="AE109" i="2" a="1"/>
  <c r="AE109" i="2" s="1"/>
  <c r="AE119" i="2" a="1"/>
  <c r="AE119" i="2" s="1"/>
  <c r="AE122" i="2" a="1"/>
  <c r="AE122" i="2" s="1"/>
  <c r="AE127" i="2" a="1"/>
  <c r="AE127" i="2" s="1"/>
  <c r="AE131" i="2" a="1"/>
  <c r="AE131" i="2" s="1"/>
  <c r="AE135" i="2" a="1"/>
  <c r="AE135" i="2" s="1"/>
  <c r="AE138" i="2" a="1"/>
  <c r="AE138" i="2" s="1"/>
  <c r="AE143" i="2" a="1"/>
  <c r="AE143" i="2" s="1"/>
  <c r="AE144" i="2" a="1"/>
  <c r="AE144" i="2" s="1"/>
  <c r="AE149" i="2" a="1"/>
  <c r="AE149" i="2" s="1"/>
  <c r="AE85" i="2" a="1"/>
  <c r="AE85" i="2" s="1"/>
  <c r="AE86" i="2" a="1"/>
  <c r="AE86" i="2" s="1"/>
  <c r="AE89" i="2" a="1"/>
  <c r="AE89" i="2" s="1"/>
  <c r="AE93" i="2" a="1"/>
  <c r="AE93" i="2" s="1"/>
  <c r="AE97" i="2" a="1"/>
  <c r="AE97" i="2" s="1"/>
  <c r="AE101" i="2" a="1"/>
  <c r="AE101" i="2" s="1"/>
  <c r="AE106" i="2" a="1"/>
  <c r="AE106" i="2" s="1"/>
  <c r="AE110" i="2" a="1"/>
  <c r="AE110" i="2" s="1"/>
  <c r="AE113" i="2" a="1"/>
  <c r="AE113" i="2" s="1"/>
  <c r="AE114" i="2" a="1"/>
  <c r="AE114" i="2" s="1"/>
  <c r="AE117" i="2" a="1"/>
  <c r="AE117" i="2" s="1"/>
  <c r="AE120" i="2" a="1"/>
  <c r="AE120" i="2" s="1"/>
  <c r="AE125" i="2" a="1"/>
  <c r="AE125" i="2" s="1"/>
  <c r="AE128" i="2" a="1"/>
  <c r="AE128" i="2" s="1"/>
  <c r="AE132" i="2" a="1"/>
  <c r="AE132" i="2" s="1"/>
  <c r="AE136" i="2" a="1"/>
  <c r="AE136" i="2" s="1"/>
  <c r="AE141" i="2" a="1"/>
  <c r="AE141" i="2" s="1"/>
  <c r="AE147" i="2" a="1"/>
  <c r="AE147" i="2" s="1"/>
  <c r="AE150" i="2" a="1"/>
  <c r="AE150" i="2" s="1"/>
  <c r="AE155" i="2" a="1"/>
  <c r="AE155" i="2" s="1"/>
  <c r="AE158" i="2" a="1"/>
  <c r="AE158" i="2" s="1"/>
  <c r="AE165" i="2" a="1"/>
  <c r="AE165" i="2" s="1"/>
  <c r="AE166" i="2" a="1"/>
  <c r="AE166" i="2" s="1"/>
  <c r="AE167" i="2" a="1"/>
  <c r="AE167" i="2" s="1"/>
  <c r="AE168" i="2" a="1"/>
  <c r="AE168" i="2" s="1"/>
  <c r="AE169" i="2" a="1"/>
  <c r="AE169" i="2" s="1"/>
  <c r="AE170" i="2" a="1"/>
  <c r="AE170" i="2" s="1"/>
  <c r="AE171" i="2" a="1"/>
  <c r="AE171" i="2" s="1"/>
  <c r="AE172" i="2" a="1"/>
  <c r="AE172" i="2" s="1"/>
  <c r="AE173" i="2" a="1"/>
  <c r="AE173" i="2" s="1"/>
  <c r="AE174" i="2" a="1"/>
  <c r="AE174" i="2" s="1"/>
  <c r="AE175" i="2" a="1"/>
  <c r="AE175" i="2" s="1"/>
  <c r="AE176" i="2" a="1"/>
  <c r="AE176" i="2" s="1"/>
  <c r="AE177" i="2" a="1"/>
  <c r="AE177" i="2" s="1"/>
  <c r="AE178" i="2" a="1"/>
  <c r="AE178" i="2" s="1"/>
  <c r="AE179" i="2" a="1"/>
  <c r="AE179" i="2" s="1"/>
  <c r="AE180" i="2" a="1"/>
  <c r="AE180" i="2" s="1"/>
  <c r="AE181" i="2" a="1"/>
  <c r="AE181" i="2" s="1"/>
  <c r="AE182" i="2" a="1"/>
  <c r="AE182" i="2" s="1"/>
  <c r="AE183" i="2" a="1"/>
  <c r="AE183" i="2" s="1"/>
  <c r="AE184" i="2" a="1"/>
  <c r="AE184" i="2" s="1"/>
  <c r="AE185" i="2" a="1"/>
  <c r="AE185" i="2" s="1"/>
  <c r="AE186" i="2" a="1"/>
  <c r="AE186" i="2" s="1"/>
  <c r="AE187" i="2" a="1"/>
  <c r="AE187" i="2" s="1"/>
  <c r="AE188" i="2" a="1"/>
  <c r="AE188" i="2" s="1"/>
  <c r="AE189" i="2" a="1"/>
  <c r="AE189" i="2" s="1"/>
  <c r="AE190" i="2" a="1"/>
  <c r="AE190" i="2" s="1"/>
  <c r="AE191" i="2" a="1"/>
  <c r="AE191" i="2" s="1"/>
  <c r="AE192" i="2" a="1"/>
  <c r="AE192" i="2" s="1"/>
  <c r="AE193" i="2" a="1"/>
  <c r="AE193" i="2" s="1"/>
  <c r="AE194" i="2" a="1"/>
  <c r="AE194" i="2" s="1"/>
  <c r="AE195" i="2" a="1"/>
  <c r="AE195" i="2" s="1"/>
  <c r="AE196" i="2" a="1"/>
  <c r="AE196" i="2" s="1"/>
  <c r="AE197" i="2" a="1"/>
  <c r="AE197" i="2" s="1"/>
  <c r="AE198" i="2" a="1"/>
  <c r="AE198" i="2" s="1"/>
  <c r="AE199" i="2" a="1"/>
  <c r="AE199" i="2" s="1"/>
  <c r="AE200" i="2" a="1"/>
  <c r="AE200" i="2" s="1"/>
  <c r="AE201" i="2" a="1"/>
  <c r="AE201" i="2" s="1"/>
  <c r="AE202" i="2" a="1"/>
  <c r="AE202" i="2" s="1"/>
  <c r="AE203" i="2" a="1"/>
  <c r="AE203" i="2" s="1"/>
  <c r="AE204" i="2" a="1"/>
  <c r="AE204" i="2" s="1"/>
  <c r="AE205" i="2" a="1"/>
  <c r="AE205" i="2" s="1"/>
  <c r="AE206" i="2" a="1"/>
  <c r="AE206" i="2" s="1"/>
  <c r="AE207" i="2" a="1"/>
  <c r="AE207" i="2" s="1"/>
  <c r="AE208" i="2" a="1"/>
  <c r="AE208" i="2" s="1"/>
  <c r="AE209" i="2" a="1"/>
  <c r="AE209" i="2" s="1"/>
  <c r="AE210" i="2" a="1"/>
  <c r="AE210" i="2" s="1"/>
  <c r="AE211" i="2" a="1"/>
  <c r="AE211" i="2" s="1"/>
  <c r="AE212" i="2" a="1"/>
  <c r="AE212" i="2" s="1"/>
  <c r="AE213" i="2" a="1"/>
  <c r="AE213" i="2" s="1"/>
  <c r="AE214" i="2" a="1"/>
  <c r="AE214" i="2" s="1"/>
  <c r="AE215" i="2" a="1"/>
  <c r="AE215" i="2" s="1"/>
  <c r="AE216" i="2" a="1"/>
  <c r="AE216" i="2" s="1"/>
  <c r="AE217" i="2" a="1"/>
  <c r="AE217" i="2" s="1"/>
  <c r="AE218" i="2" a="1"/>
  <c r="AE218" i="2" s="1"/>
  <c r="AE219" i="2" a="1"/>
  <c r="AE219" i="2" s="1"/>
  <c r="AE220" i="2" a="1"/>
  <c r="AE220" i="2" s="1"/>
  <c r="AE221" i="2" a="1"/>
  <c r="AE221" i="2" s="1"/>
  <c r="AE222" i="2" a="1"/>
  <c r="AE222" i="2" s="1"/>
  <c r="AE223" i="2" a="1"/>
  <c r="AE223" i="2" s="1"/>
  <c r="AE224" i="2" a="1"/>
  <c r="AE224" i="2" s="1"/>
  <c r="AE225" i="2" a="1"/>
  <c r="AE225" i="2" s="1"/>
  <c r="AE226" i="2" a="1"/>
  <c r="AE226" i="2" s="1"/>
  <c r="AE227" i="2" a="1"/>
  <c r="AE227" i="2" s="1"/>
  <c r="AE228" i="2" a="1"/>
  <c r="AE228" i="2" s="1"/>
  <c r="AE229" i="2" a="1"/>
  <c r="AE229" i="2" s="1"/>
  <c r="AE230" i="2" a="1"/>
  <c r="AE230" i="2" s="1"/>
  <c r="AE231" i="2" a="1"/>
  <c r="AE231" i="2" s="1"/>
  <c r="AE232" i="2" a="1"/>
  <c r="AE232" i="2" s="1"/>
  <c r="AE153" i="2" a="1"/>
  <c r="AE153" i="2" s="1"/>
  <c r="AE156" i="2" a="1"/>
  <c r="AE156" i="2" s="1"/>
  <c r="AE163" i="2" a="1"/>
  <c r="AE163" i="2" s="1"/>
  <c r="AE151" i="2" a="1"/>
  <c r="AE151" i="2" s="1"/>
  <c r="AE154" i="2" a="1"/>
  <c r="AE154" i="2" s="1"/>
  <c r="AE159" i="2" a="1"/>
  <c r="AE159" i="2" s="1"/>
  <c r="AE160" i="2" a="1"/>
  <c r="AE160" i="2" s="1"/>
  <c r="AE164" i="2" a="1"/>
  <c r="AE164" i="2" s="1"/>
  <c r="AE152" i="2" a="1"/>
  <c r="AE152" i="2" s="1"/>
  <c r="AE157" i="2" a="1"/>
  <c r="AE157" i="2" s="1"/>
  <c r="AE161" i="2" a="1"/>
  <c r="AE161" i="2" s="1"/>
  <c r="AE162" i="2" a="1"/>
  <c r="AE162" i="2" s="1"/>
  <c r="AE245" i="2" a="1"/>
  <c r="AE245" i="2" s="1"/>
  <c r="AE246" i="2" a="1"/>
  <c r="AE246" i="2" s="1"/>
  <c r="AE253" i="2" a="1"/>
  <c r="AE253" i="2" s="1"/>
  <c r="AE254" i="2" a="1"/>
  <c r="AE254" i="2" s="1"/>
  <c r="AE261" i="2" a="1"/>
  <c r="AE261" i="2" s="1"/>
  <c r="AE262" i="2" a="1"/>
  <c r="AE262" i="2" s="1"/>
  <c r="AE269" i="2" a="1"/>
  <c r="AE269" i="2" s="1"/>
  <c r="AE270" i="2" a="1"/>
  <c r="AE270" i="2" s="1"/>
  <c r="AE277" i="2" a="1"/>
  <c r="AE277" i="2" s="1"/>
  <c r="AE281" i="2" a="1"/>
  <c r="AE281" i="2" s="1"/>
  <c r="AE285" i="2" a="1"/>
  <c r="AE285" i="2" s="1"/>
  <c r="AE233" i="2" a="1"/>
  <c r="AE233" i="2" s="1"/>
  <c r="AE234" i="2" a="1"/>
  <c r="AE234" i="2" s="1"/>
  <c r="AE235" i="2" a="1"/>
  <c r="AE235" i="2" s="1"/>
  <c r="AE236" i="2" a="1"/>
  <c r="AE236" i="2" s="1"/>
  <c r="AE237" i="2" a="1"/>
  <c r="AE237" i="2" s="1"/>
  <c r="AE238" i="2" a="1"/>
  <c r="AE238" i="2" s="1"/>
  <c r="AE239" i="2" a="1"/>
  <c r="AE239" i="2" s="1"/>
  <c r="AE240" i="2" a="1"/>
  <c r="AE240" i="2" s="1"/>
  <c r="AE241" i="2" a="1"/>
  <c r="AE241" i="2" s="1"/>
  <c r="AE242" i="2" a="1"/>
  <c r="AE242" i="2" s="1"/>
  <c r="AE247" i="2" a="1"/>
  <c r="AE247" i="2" s="1"/>
  <c r="AE248" i="2" a="1"/>
  <c r="AE248" i="2" s="1"/>
  <c r="AE255" i="2" a="1"/>
  <c r="AE255" i="2" s="1"/>
  <c r="AE256" i="2" a="1"/>
  <c r="AE256" i="2" s="1"/>
  <c r="AE263" i="2" a="1"/>
  <c r="AE263" i="2" s="1"/>
  <c r="AE264" i="2" a="1"/>
  <c r="AE264" i="2" s="1"/>
  <c r="AE271" i="2" a="1"/>
  <c r="AE271" i="2" s="1"/>
  <c r="AE272" i="2" a="1"/>
  <c r="AE272" i="2" s="1"/>
  <c r="AE278" i="2" a="1"/>
  <c r="AE278" i="2" s="1"/>
  <c r="AE282" i="2" a="1"/>
  <c r="AE282" i="2" s="1"/>
  <c r="AE286" i="2" a="1"/>
  <c r="AE286" i="2" s="1"/>
  <c r="AE287" i="2" a="1"/>
  <c r="AE287" i="2" s="1"/>
  <c r="AE292" i="2" a="1"/>
  <c r="AE292" i="2" s="1"/>
  <c r="AE293" i="2" a="1"/>
  <c r="AE293" i="2" s="1"/>
  <c r="AE296" i="2" a="1"/>
  <c r="AE296" i="2" s="1"/>
  <c r="AE297" i="2" a="1"/>
  <c r="AE297" i="2" s="1"/>
  <c r="AE300" i="2" a="1"/>
  <c r="AE300" i="2" s="1"/>
  <c r="AE301" i="2" a="1"/>
  <c r="AE301" i="2" s="1"/>
  <c r="AE304" i="2" a="1"/>
  <c r="AE304" i="2" s="1"/>
  <c r="AE305" i="2" a="1"/>
  <c r="AE305" i="2" s="1"/>
  <c r="AE308" i="2" a="1"/>
  <c r="AE308" i="2" s="1"/>
  <c r="AE309" i="2" a="1"/>
  <c r="AE309" i="2" s="1"/>
  <c r="AE312" i="2" a="1"/>
  <c r="AE312" i="2" s="1"/>
  <c r="AE313" i="2" a="1"/>
  <c r="AE313" i="2" s="1"/>
  <c r="AE316" i="2" a="1"/>
  <c r="AE316" i="2" s="1"/>
  <c r="AE317" i="2" a="1"/>
  <c r="AE317" i="2" s="1"/>
  <c r="AE320" i="2" a="1"/>
  <c r="AE320" i="2" s="1"/>
  <c r="AE321" i="2" a="1"/>
  <c r="AE321" i="2" s="1"/>
  <c r="AE324" i="2" a="1"/>
  <c r="AE324" i="2" s="1"/>
  <c r="AE325" i="2" a="1"/>
  <c r="AE325" i="2" s="1"/>
  <c r="AE328" i="2" a="1"/>
  <c r="AE328" i="2" s="1"/>
  <c r="AE249" i="2" a="1"/>
  <c r="AE249" i="2" s="1"/>
  <c r="AE250" i="2" a="1"/>
  <c r="AE250" i="2" s="1"/>
  <c r="AE257" i="2" a="1"/>
  <c r="AE257" i="2" s="1"/>
  <c r="AE258" i="2" a="1"/>
  <c r="AE258" i="2" s="1"/>
  <c r="AE265" i="2" a="1"/>
  <c r="AE265" i="2" s="1"/>
  <c r="AE266" i="2" a="1"/>
  <c r="AE266" i="2" s="1"/>
  <c r="AE273" i="2" a="1"/>
  <c r="AE273" i="2" s="1"/>
  <c r="AE274" i="2" a="1"/>
  <c r="AE274" i="2" s="1"/>
  <c r="AE279" i="2" a="1"/>
  <c r="AE279" i="2" s="1"/>
  <c r="AE283" i="2" a="1"/>
  <c r="AE283" i="2" s="1"/>
  <c r="AE288" i="2" a="1"/>
  <c r="AE288" i="2" s="1"/>
  <c r="AE289" i="2" a="1"/>
  <c r="AE289" i="2" s="1"/>
  <c r="AE329" i="2" a="1"/>
  <c r="AE329" i="2" s="1"/>
  <c r="AE243" i="2" a="1"/>
  <c r="AE243" i="2" s="1"/>
  <c r="AE244" i="2" a="1"/>
  <c r="AE244" i="2" s="1"/>
  <c r="AE251" i="2" a="1"/>
  <c r="AE251" i="2" s="1"/>
  <c r="AE252" i="2" a="1"/>
  <c r="AE252" i="2" s="1"/>
  <c r="AE259" i="2" a="1"/>
  <c r="AE259" i="2" s="1"/>
  <c r="AE260" i="2" a="1"/>
  <c r="AE260" i="2" s="1"/>
  <c r="AE267" i="2" a="1"/>
  <c r="AE267" i="2" s="1"/>
  <c r="AE268" i="2" a="1"/>
  <c r="AE268" i="2" s="1"/>
  <c r="AE275" i="2" a="1"/>
  <c r="AE275" i="2" s="1"/>
  <c r="AE276" i="2" a="1"/>
  <c r="AE276" i="2" s="1"/>
  <c r="AE280" i="2" a="1"/>
  <c r="AE280" i="2" s="1"/>
  <c r="AE284" i="2" a="1"/>
  <c r="AE284" i="2" s="1"/>
  <c r="AE290" i="2" a="1"/>
  <c r="AE290" i="2" s="1"/>
  <c r="AE291" i="2" a="1"/>
  <c r="AE291" i="2" s="1"/>
  <c r="AE294" i="2" a="1"/>
  <c r="AE294" i="2" s="1"/>
  <c r="AE295" i="2" a="1"/>
  <c r="AE295" i="2" s="1"/>
  <c r="AE298" i="2" a="1"/>
  <c r="AE298" i="2" s="1"/>
  <c r="AE299" i="2" a="1"/>
  <c r="AE299" i="2" s="1"/>
  <c r="AE302" i="2" a="1"/>
  <c r="AE302" i="2" s="1"/>
  <c r="AE303" i="2" a="1"/>
  <c r="AE303" i="2" s="1"/>
  <c r="AE306" i="2" a="1"/>
  <c r="AE306" i="2" s="1"/>
  <c r="AE307" i="2" a="1"/>
  <c r="AE307" i="2" s="1"/>
  <c r="AE310" i="2" a="1"/>
  <c r="AE310" i="2" s="1"/>
  <c r="AE311" i="2" a="1"/>
  <c r="AE311" i="2" s="1"/>
  <c r="AE314" i="2" a="1"/>
  <c r="AE314" i="2" s="1"/>
  <c r="AE315" i="2" a="1"/>
  <c r="AE315" i="2" s="1"/>
  <c r="AE318" i="2" a="1"/>
  <c r="AE318" i="2" s="1"/>
  <c r="AE319" i="2" a="1"/>
  <c r="AE319" i="2" s="1"/>
  <c r="AE322" i="2" a="1"/>
  <c r="AE322" i="2" s="1"/>
  <c r="AE323" i="2" a="1"/>
  <c r="AE323" i="2" s="1"/>
  <c r="AE326" i="2" a="1"/>
  <c r="AE326" i="2" s="1"/>
  <c r="AE327" i="2" a="1"/>
  <c r="AE327" i="2" s="1"/>
  <c r="AE330" i="2" a="1"/>
  <c r="AE330" i="2" s="1"/>
  <c r="AE331" i="2" a="1"/>
  <c r="AE331" i="2" s="1"/>
  <c r="AE332" i="2" a="1"/>
  <c r="AE332" i="2" s="1"/>
  <c r="AE333" i="2" a="1"/>
  <c r="AE333" i="2" s="1"/>
  <c r="AE334" i="2" a="1"/>
  <c r="AE334" i="2" s="1"/>
  <c r="AE335" i="2" a="1"/>
  <c r="AE335" i="2" s="1"/>
  <c r="AE336" i="2" a="1"/>
  <c r="AE336" i="2" s="1"/>
  <c r="AE337" i="2" a="1"/>
  <c r="AE337" i="2" s="1"/>
  <c r="AE338" i="2" a="1"/>
  <c r="AE338" i="2" s="1"/>
  <c r="AE339" i="2" a="1"/>
  <c r="AE339" i="2" s="1"/>
  <c r="AE340" i="2" a="1"/>
  <c r="AE340" i="2" s="1"/>
  <c r="AE341" i="2" a="1"/>
  <c r="AE341" i="2" s="1"/>
  <c r="AE342" i="2" a="1"/>
  <c r="AE342" i="2" s="1"/>
  <c r="AE343" i="2" a="1"/>
  <c r="AE343" i="2" s="1"/>
  <c r="AE344" i="2" a="1"/>
  <c r="AE344" i="2" s="1"/>
  <c r="AE345" i="2" a="1"/>
  <c r="AE345" i="2" s="1"/>
  <c r="AE346" i="2" a="1"/>
  <c r="AE346" i="2" s="1"/>
  <c r="AE347" i="2" a="1"/>
  <c r="AE347" i="2" s="1"/>
  <c r="AE348" i="2" a="1"/>
  <c r="AE348" i="2" s="1"/>
  <c r="AE349" i="2" a="1"/>
  <c r="AE349" i="2" s="1"/>
  <c r="AE350" i="2" a="1"/>
  <c r="AE350" i="2" s="1"/>
  <c r="AE351" i="2" a="1"/>
  <c r="AE351" i="2" s="1"/>
  <c r="AE352" i="2" a="1"/>
  <c r="AE352" i="2" s="1"/>
  <c r="AE353" i="2" a="1"/>
  <c r="AE353" i="2" s="1"/>
  <c r="AE354" i="2" a="1"/>
  <c r="AE354" i="2" s="1"/>
  <c r="AE355" i="2" a="1"/>
  <c r="AE355" i="2" s="1"/>
  <c r="AE356" i="2" a="1"/>
  <c r="AE356" i="2" s="1"/>
  <c r="AE357" i="2" a="1"/>
  <c r="AE357" i="2" s="1"/>
  <c r="AE358" i="2" a="1"/>
  <c r="AE358" i="2" s="1"/>
  <c r="AE359" i="2" a="1"/>
  <c r="AE359" i="2" s="1"/>
  <c r="AE360" i="2" a="1"/>
  <c r="AE360" i="2" s="1"/>
  <c r="AE361" i="2" a="1"/>
  <c r="AE361" i="2" s="1"/>
  <c r="AE362" i="2" a="1"/>
  <c r="AE362" i="2" s="1"/>
  <c r="AE363" i="2" a="1"/>
  <c r="AE363" i="2" s="1"/>
  <c r="AE364" i="2" a="1"/>
  <c r="AE364" i="2" s="1"/>
  <c r="AE365" i="2" a="1"/>
  <c r="AE365" i="2" s="1"/>
  <c r="AE366" i="2" a="1"/>
  <c r="AE366" i="2" s="1"/>
  <c r="AE367" i="2" a="1"/>
  <c r="AE367" i="2" s="1"/>
  <c r="AE368" i="2" a="1"/>
  <c r="AE368" i="2" s="1"/>
  <c r="AE369" i="2" a="1"/>
  <c r="AE369" i="2" s="1"/>
  <c r="AE370" i="2" a="1"/>
  <c r="AE370" i="2" s="1"/>
  <c r="AE371" i="2" a="1"/>
  <c r="AE371" i="2" s="1"/>
  <c r="AE372" i="2" a="1"/>
  <c r="AE372" i="2" s="1"/>
  <c r="AE373" i="2" a="1"/>
  <c r="AE373" i="2" s="1"/>
  <c r="AE374" i="2" a="1"/>
  <c r="AE374" i="2" s="1"/>
  <c r="AE375" i="2" a="1"/>
  <c r="AE375" i="2" s="1"/>
  <c r="AE376" i="2" a="1"/>
  <c r="AE376" i="2" s="1"/>
  <c r="AE377" i="2" a="1"/>
  <c r="AE377" i="2" s="1"/>
  <c r="AE378" i="2" a="1"/>
  <c r="AE378" i="2" s="1"/>
  <c r="AE379" i="2" a="1"/>
  <c r="AE379" i="2" s="1"/>
  <c r="AE380" i="2" a="1"/>
  <c r="AE380" i="2" s="1"/>
  <c r="AE381" i="2" a="1"/>
  <c r="AE381" i="2" s="1"/>
  <c r="AE382" i="2" a="1"/>
  <c r="AE382" i="2" s="1"/>
  <c r="AE383" i="2" a="1"/>
  <c r="AE383" i="2" s="1"/>
  <c r="AE384" i="2" a="1"/>
  <c r="AE384" i="2" s="1"/>
  <c r="AE385" i="2" a="1"/>
  <c r="AE385" i="2" s="1"/>
  <c r="AE386" i="2" a="1"/>
  <c r="AE386" i="2" s="1"/>
  <c r="AE387" i="2" a="1"/>
  <c r="AE387" i="2" s="1"/>
  <c r="AE388" i="2" a="1"/>
  <c r="AE388" i="2" s="1"/>
  <c r="AE389" i="2" a="1"/>
  <c r="AE389" i="2" s="1"/>
  <c r="AE390" i="2" a="1"/>
  <c r="AE390" i="2" s="1"/>
  <c r="AE391" i="2" a="1"/>
  <c r="AE391" i="2" s="1"/>
  <c r="AE392" i="2" a="1"/>
  <c r="AE392" i="2" s="1"/>
  <c r="AE393" i="2" a="1"/>
  <c r="AE393" i="2" s="1"/>
  <c r="AE394" i="2" a="1"/>
  <c r="AE394" i="2" s="1"/>
  <c r="AE395" i="2" a="1"/>
  <c r="AE395" i="2" s="1"/>
  <c r="AE396" i="2" a="1"/>
  <c r="AE396" i="2" s="1"/>
  <c r="AE397" i="2" a="1"/>
  <c r="AE397" i="2" s="1"/>
  <c r="AE398" i="2" a="1"/>
  <c r="AE398" i="2" s="1"/>
  <c r="AE399" i="2" a="1"/>
  <c r="AE399" i="2" s="1"/>
  <c r="AE400" i="2" a="1"/>
  <c r="AE400" i="2" s="1"/>
  <c r="AE401" i="2" a="1"/>
  <c r="AE401" i="2" s="1"/>
  <c r="AE402" i="2" a="1"/>
  <c r="AE402" i="2" s="1"/>
  <c r="AE403" i="2" a="1"/>
  <c r="AE403" i="2" s="1"/>
  <c r="AE404" i="2" a="1"/>
  <c r="AE404" i="2" s="1"/>
  <c r="AE405" i="2" a="1"/>
  <c r="AE405" i="2" s="1"/>
  <c r="AE406" i="2" a="1"/>
  <c r="AE406" i="2" s="1"/>
  <c r="AE407" i="2" a="1"/>
  <c r="AE407" i="2" s="1"/>
  <c r="AE408" i="2" a="1"/>
  <c r="AE408" i="2" s="1"/>
  <c r="AE409" i="2" a="1"/>
  <c r="AE409" i="2" s="1"/>
  <c r="AE410" i="2" a="1"/>
  <c r="AE410" i="2" s="1"/>
  <c r="AE411" i="2" a="1"/>
  <c r="AE411" i="2" s="1"/>
  <c r="AE412" i="2" a="1"/>
  <c r="AE412" i="2" s="1"/>
  <c r="AE413" i="2" a="1"/>
  <c r="AE413" i="2" s="1"/>
  <c r="AE414" i="2" a="1"/>
  <c r="AE414" i="2" s="1"/>
  <c r="AE415" i="2" a="1"/>
  <c r="AE415" i="2" s="1"/>
  <c r="AE416" i="2" a="1"/>
  <c r="AE416" i="2" s="1"/>
  <c r="AE417" i="2" a="1"/>
  <c r="AE417" i="2" s="1"/>
  <c r="AE418" i="2" a="1"/>
  <c r="AE418" i="2" s="1"/>
  <c r="AE419" i="2" a="1"/>
  <c r="AE419" i="2" s="1"/>
  <c r="AE420" i="2" a="1"/>
  <c r="AE420" i="2" s="1"/>
  <c r="AE421" i="2" a="1"/>
  <c r="AE421" i="2" s="1"/>
  <c r="AE422" i="2" a="1"/>
  <c r="AE422" i="2" s="1"/>
  <c r="AE423" i="2" a="1"/>
  <c r="AE423" i="2" s="1"/>
  <c r="AE424" i="2" a="1"/>
  <c r="AE424" i="2" s="1"/>
  <c r="AE425" i="2" a="1"/>
  <c r="AE425" i="2" s="1"/>
  <c r="AE426" i="2" a="1"/>
  <c r="AE426" i="2" s="1"/>
  <c r="AE427" i="2" a="1"/>
  <c r="AE427" i="2" s="1"/>
  <c r="AE428" i="2" a="1"/>
  <c r="AE428" i="2" s="1"/>
  <c r="AE429" i="2" a="1"/>
  <c r="AE429" i="2" s="1"/>
  <c r="AE430" i="2" a="1"/>
  <c r="AE430" i="2" s="1"/>
  <c r="AE431" i="2" a="1"/>
  <c r="AE431" i="2" s="1"/>
  <c r="AE432" i="2" a="1"/>
  <c r="AE432" i="2" s="1"/>
  <c r="AE433" i="2" a="1"/>
  <c r="AE433" i="2" s="1"/>
  <c r="AE434" i="2" a="1"/>
  <c r="AE434" i="2" s="1"/>
  <c r="AE435" i="2" a="1"/>
  <c r="AE435" i="2" s="1"/>
  <c r="AE436" i="2" a="1"/>
  <c r="AE436" i="2" s="1"/>
  <c r="AE437" i="2" a="1"/>
  <c r="AE437" i="2" s="1"/>
  <c r="AE438" i="2" a="1"/>
  <c r="AE438" i="2" s="1"/>
  <c r="AE439" i="2" a="1"/>
  <c r="AE439" i="2" s="1"/>
  <c r="AE440" i="2" a="1"/>
  <c r="AE440" i="2" s="1"/>
  <c r="AE441" i="2" a="1"/>
  <c r="AE441" i="2" s="1"/>
  <c r="AE442" i="2" a="1"/>
  <c r="AE442" i="2" s="1"/>
  <c r="AE443" i="2" a="1"/>
  <c r="AE443" i="2" s="1"/>
  <c r="AE444" i="2" a="1"/>
  <c r="AE444" i="2" s="1"/>
  <c r="AE445" i="2" a="1"/>
  <c r="AE445" i="2" s="1"/>
  <c r="AE446" i="2" a="1"/>
  <c r="AE446" i="2" s="1"/>
  <c r="AE447" i="2" a="1"/>
  <c r="AE447" i="2" s="1"/>
  <c r="AE448" i="2" a="1"/>
  <c r="AE448" i="2" s="1"/>
  <c r="AE449" i="2" a="1"/>
  <c r="AE449" i="2" s="1"/>
  <c r="AE450" i="2" a="1"/>
  <c r="AE450" i="2" s="1"/>
  <c r="AE451" i="2" a="1"/>
  <c r="AE451" i="2" s="1"/>
  <c r="AE452" i="2" a="1"/>
  <c r="AE452" i="2" s="1"/>
  <c r="AE453" i="2" a="1"/>
  <c r="AE453" i="2" s="1"/>
  <c r="AE454" i="2" a="1"/>
  <c r="AE454" i="2" s="1"/>
  <c r="AE455" i="2" a="1"/>
  <c r="AE455" i="2" s="1"/>
  <c r="AE456" i="2" a="1"/>
  <c r="AE456" i="2" s="1"/>
  <c r="AE457" i="2" a="1"/>
  <c r="AE457" i="2" s="1"/>
  <c r="AE458" i="2" a="1"/>
  <c r="AE458" i="2" s="1"/>
  <c r="AE459" i="2" a="1"/>
  <c r="AE459" i="2" s="1"/>
  <c r="AE460" i="2" a="1"/>
  <c r="AE460" i="2" s="1"/>
  <c r="AE461" i="2" a="1"/>
  <c r="AE461" i="2" s="1"/>
  <c r="AE462" i="2" a="1"/>
  <c r="AE462" i="2" s="1"/>
  <c r="AE463" i="2" a="1"/>
  <c r="AE463" i="2" s="1"/>
  <c r="AE464" i="2" a="1"/>
  <c r="AE464" i="2" s="1"/>
  <c r="AE465" i="2" a="1"/>
  <c r="AE465" i="2" s="1"/>
  <c r="AE469" i="2" a="1"/>
  <c r="AE469" i="2" s="1"/>
  <c r="AE473" i="2" a="1"/>
  <c r="AE473" i="2" s="1"/>
  <c r="AE477" i="2" a="1"/>
  <c r="AE477" i="2" s="1"/>
  <c r="AE481" i="2" a="1"/>
  <c r="AE481" i="2" s="1"/>
  <c r="AE485" i="2" a="1"/>
  <c r="AE485" i="2" s="1"/>
  <c r="AE489" i="2" a="1"/>
  <c r="AE489" i="2" s="1"/>
  <c r="AE526" i="2" a="1"/>
  <c r="AE526" i="2" s="1"/>
  <c r="AE529" i="2" a="1"/>
  <c r="AE529" i="2" s="1"/>
  <c r="AE530" i="2" a="1"/>
  <c r="AE530" i="2" s="1"/>
  <c r="AE531" i="2" a="1"/>
  <c r="AE531" i="2" s="1"/>
  <c r="AE532" i="2" a="1"/>
  <c r="AE532" i="2" s="1"/>
  <c r="AE533" i="2" a="1"/>
  <c r="AE533" i="2" s="1"/>
  <c r="AE534" i="2" a="1"/>
  <c r="AE534" i="2" s="1"/>
  <c r="AE535" i="2" a="1"/>
  <c r="AE535" i="2" s="1"/>
  <c r="AE536" i="2" a="1"/>
  <c r="AE536" i="2" s="1"/>
  <c r="AE537" i="2" a="1"/>
  <c r="AE537" i="2" s="1"/>
  <c r="AE538" i="2" a="1"/>
  <c r="AE538" i="2" s="1"/>
  <c r="AE539" i="2" a="1"/>
  <c r="AE539" i="2" s="1"/>
  <c r="AE540" i="2" a="1"/>
  <c r="AE540" i="2" s="1"/>
  <c r="AE541" i="2" a="1"/>
  <c r="AE541" i="2" s="1"/>
  <c r="AE542" i="2" a="1"/>
  <c r="AE542" i="2" s="1"/>
  <c r="AE543" i="2" a="1"/>
  <c r="AE543" i="2" s="1"/>
  <c r="AE544" i="2" a="1"/>
  <c r="AE544" i="2" s="1"/>
  <c r="AE545" i="2" a="1"/>
  <c r="AE545" i="2" s="1"/>
  <c r="AE546" i="2" a="1"/>
  <c r="AE546" i="2" s="1"/>
  <c r="AE466" i="2" a="1"/>
  <c r="AE466" i="2" s="1"/>
  <c r="AE470" i="2" a="1"/>
  <c r="AE470" i="2" s="1"/>
  <c r="AE474" i="2" a="1"/>
  <c r="AE474" i="2" s="1"/>
  <c r="AE478" i="2" a="1"/>
  <c r="AE478" i="2" s="1"/>
  <c r="AE482" i="2" a="1"/>
  <c r="AE482" i="2" s="1"/>
  <c r="AE486" i="2" a="1"/>
  <c r="AE486" i="2" s="1"/>
  <c r="AE490" i="2" a="1"/>
  <c r="AE490" i="2" s="1"/>
  <c r="AE527" i="2" a="1"/>
  <c r="AE527" i="2" s="1"/>
  <c r="AE467" i="2" a="1"/>
  <c r="AE467" i="2" s="1"/>
  <c r="AE471" i="2" a="1"/>
  <c r="AE471" i="2" s="1"/>
  <c r="AE475" i="2" a="1"/>
  <c r="AE475" i="2" s="1"/>
  <c r="AE479" i="2" a="1"/>
  <c r="AE479" i="2" s="1"/>
  <c r="AE483" i="2" a="1"/>
  <c r="AE483" i="2" s="1"/>
  <c r="AE487" i="2" a="1"/>
  <c r="AE487" i="2" s="1"/>
  <c r="AE491" i="2" a="1"/>
  <c r="AE491" i="2" s="1"/>
  <c r="AE468" i="2" a="1"/>
  <c r="AE468" i="2" s="1"/>
  <c r="AE472" i="2" a="1"/>
  <c r="AE472" i="2" s="1"/>
  <c r="AE476" i="2" a="1"/>
  <c r="AE476" i="2" s="1"/>
  <c r="AE480" i="2" a="1"/>
  <c r="AE480" i="2" s="1"/>
  <c r="AE484" i="2" a="1"/>
  <c r="AE484" i="2" s="1"/>
  <c r="AE488" i="2" a="1"/>
  <c r="AE488" i="2" s="1"/>
  <c r="AE492" i="2" a="1"/>
  <c r="AE492" i="2" s="1"/>
  <c r="AE493" i="2" a="1"/>
  <c r="AE493" i="2" s="1"/>
  <c r="AE494" i="2" a="1"/>
  <c r="AE494" i="2" s="1"/>
  <c r="AE495" i="2" a="1"/>
  <c r="AE495" i="2" s="1"/>
  <c r="AE496" i="2" a="1"/>
  <c r="AE496" i="2" s="1"/>
  <c r="AE497" i="2" a="1"/>
  <c r="AE497" i="2" s="1"/>
  <c r="AE498" i="2" a="1"/>
  <c r="AE498" i="2" s="1"/>
  <c r="AE499" i="2" a="1"/>
  <c r="AE499" i="2" s="1"/>
  <c r="AE500" i="2" a="1"/>
  <c r="AE500" i="2" s="1"/>
  <c r="AE501" i="2" a="1"/>
  <c r="AE501" i="2" s="1"/>
  <c r="AE502" i="2" a="1"/>
  <c r="AE502" i="2" s="1"/>
  <c r="AE503" i="2" a="1"/>
  <c r="AE503" i="2" s="1"/>
  <c r="AE504" i="2" a="1"/>
  <c r="AE504" i="2" s="1"/>
  <c r="AE505" i="2" a="1"/>
  <c r="AE505" i="2" s="1"/>
  <c r="AE506" i="2" a="1"/>
  <c r="AE506" i="2" s="1"/>
  <c r="AE507" i="2" a="1"/>
  <c r="AE507" i="2" s="1"/>
  <c r="AE508" i="2" a="1"/>
  <c r="AE508" i="2" s="1"/>
  <c r="AE509" i="2" a="1"/>
  <c r="AE509" i="2" s="1"/>
  <c r="AE510" i="2" a="1"/>
  <c r="AE510" i="2" s="1"/>
  <c r="AE511" i="2" a="1"/>
  <c r="AE511" i="2" s="1"/>
  <c r="AE512" i="2" a="1"/>
  <c r="AE512" i="2" s="1"/>
  <c r="AE513" i="2" a="1"/>
  <c r="AE513" i="2" s="1"/>
  <c r="AE514" i="2" a="1"/>
  <c r="AE514" i="2" s="1"/>
  <c r="AE515" i="2" a="1"/>
  <c r="AE515" i="2" s="1"/>
  <c r="AE516" i="2" a="1"/>
  <c r="AE516" i="2" s="1"/>
  <c r="AE517" i="2" a="1"/>
  <c r="AE517" i="2" s="1"/>
  <c r="AE518" i="2" a="1"/>
  <c r="AE518" i="2" s="1"/>
  <c r="AE519" i="2" a="1"/>
  <c r="AE519" i="2" s="1"/>
  <c r="AE520" i="2" a="1"/>
  <c r="AE520" i="2" s="1"/>
  <c r="AE521" i="2" a="1"/>
  <c r="AE521" i="2" s="1"/>
  <c r="AE522" i="2" a="1"/>
  <c r="AE522" i="2" s="1"/>
  <c r="AE523" i="2" a="1"/>
  <c r="AE523" i="2" s="1"/>
  <c r="AE524" i="2" a="1"/>
  <c r="AE524" i="2" s="1"/>
  <c r="AE525" i="2" a="1"/>
  <c r="AE525" i="2" s="1"/>
  <c r="AE528" i="2" a="1"/>
  <c r="AE528" i="2" s="1"/>
  <c r="AE598" i="2" a="1"/>
  <c r="AE598" i="2" s="1"/>
  <c r="AE600" i="2" a="1"/>
  <c r="AE600" i="2" s="1"/>
  <c r="AE602" i="2" a="1"/>
  <c r="AE602" i="2" s="1"/>
  <c r="AE604" i="2" a="1"/>
  <c r="AE604" i="2" s="1"/>
  <c r="AE606" i="2" a="1"/>
  <c r="AE606" i="2" s="1"/>
  <c r="AE608" i="2" a="1"/>
  <c r="AE608" i="2" s="1"/>
  <c r="AE610" i="2" a="1"/>
  <c r="AE610" i="2" s="1"/>
  <c r="AE612" i="2" a="1"/>
  <c r="AE612" i="2" s="1"/>
  <c r="AE614" i="2" a="1"/>
  <c r="AE614" i="2" s="1"/>
  <c r="AE617" i="2" a="1"/>
  <c r="AE617" i="2" s="1"/>
  <c r="AE621" i="2" a="1"/>
  <c r="AE621" i="2" s="1"/>
  <c r="AE625" i="2" a="1"/>
  <c r="AE625" i="2" s="1"/>
  <c r="AE629" i="2" a="1"/>
  <c r="AE629" i="2" s="1"/>
  <c r="AE633" i="2" a="1"/>
  <c r="AE633" i="2" s="1"/>
  <c r="AE637" i="2" a="1"/>
  <c r="AE637" i="2" s="1"/>
  <c r="AE641" i="2" a="1"/>
  <c r="AE641" i="2" s="1"/>
  <c r="AE645" i="2" a="1"/>
  <c r="AE645" i="2" s="1"/>
  <c r="AE649" i="2" a="1"/>
  <c r="AE649" i="2" s="1"/>
  <c r="AE653" i="2" a="1"/>
  <c r="AE653" i="2" s="1"/>
  <c r="AE657" i="2" a="1"/>
  <c r="AE657" i="2" s="1"/>
  <c r="AE661" i="2" a="1"/>
  <c r="AE661" i="2" s="1"/>
  <c r="AE665" i="2" a="1"/>
  <c r="AE665" i="2" s="1"/>
  <c r="AE669" i="2" a="1"/>
  <c r="AE669" i="2" s="1"/>
  <c r="AE673" i="2" a="1"/>
  <c r="AE673" i="2" s="1"/>
  <c r="AE677" i="2" a="1"/>
  <c r="AE677" i="2" s="1"/>
  <c r="AE681" i="2" a="1"/>
  <c r="AE681" i="2" s="1"/>
  <c r="AE572" i="2" a="1"/>
  <c r="AE572" i="2" s="1"/>
  <c r="AE573" i="2" a="1"/>
  <c r="AE573" i="2" s="1"/>
  <c r="AE576" i="2" a="1"/>
  <c r="AE576" i="2" s="1"/>
  <c r="AE577" i="2" a="1"/>
  <c r="AE577" i="2" s="1"/>
  <c r="AE580" i="2" a="1"/>
  <c r="AE580" i="2" s="1"/>
  <c r="AE581" i="2" a="1"/>
  <c r="AE581" i="2" s="1"/>
  <c r="AE584" i="2" a="1"/>
  <c r="AE584" i="2" s="1"/>
  <c r="AE585" i="2" a="1"/>
  <c r="AE585" i="2" s="1"/>
  <c r="AE588" i="2" a="1"/>
  <c r="AE588" i="2" s="1"/>
  <c r="AE589" i="2" a="1"/>
  <c r="AE589" i="2" s="1"/>
  <c r="AE592" i="2" a="1"/>
  <c r="AE592" i="2" s="1"/>
  <c r="AE593" i="2" a="1"/>
  <c r="AE593" i="2" s="1"/>
  <c r="AE596" i="2" a="1"/>
  <c r="AE596" i="2" s="1"/>
  <c r="AE618" i="2" a="1"/>
  <c r="AE618" i="2" s="1"/>
  <c r="AE622" i="2" a="1"/>
  <c r="AE622" i="2" s="1"/>
  <c r="AE626" i="2" a="1"/>
  <c r="AE626" i="2" s="1"/>
  <c r="AE630" i="2" a="1"/>
  <c r="AE630" i="2" s="1"/>
  <c r="AE634" i="2" a="1"/>
  <c r="AE634" i="2" s="1"/>
  <c r="AE638" i="2" a="1"/>
  <c r="AE638" i="2" s="1"/>
  <c r="AE642" i="2" a="1"/>
  <c r="AE642" i="2" s="1"/>
  <c r="AE646" i="2" a="1"/>
  <c r="AE646" i="2" s="1"/>
  <c r="AE650" i="2" a="1"/>
  <c r="AE650" i="2" s="1"/>
  <c r="AE654" i="2" a="1"/>
  <c r="AE654" i="2" s="1"/>
  <c r="AE658" i="2" a="1"/>
  <c r="AE658" i="2" s="1"/>
  <c r="AE662" i="2" a="1"/>
  <c r="AE662" i="2" s="1"/>
  <c r="AE666" i="2" a="1"/>
  <c r="AE666" i="2" s="1"/>
  <c r="AE670" i="2" a="1"/>
  <c r="AE670" i="2" s="1"/>
  <c r="AE674" i="2" a="1"/>
  <c r="AE674" i="2" s="1"/>
  <c r="AE678" i="2" a="1"/>
  <c r="AE678" i="2" s="1"/>
  <c r="AE597" i="2" a="1"/>
  <c r="AE597" i="2" s="1"/>
  <c r="AE599" i="2" a="1"/>
  <c r="AE599" i="2" s="1"/>
  <c r="AE601" i="2" a="1"/>
  <c r="AE601" i="2" s="1"/>
  <c r="AE603" i="2" a="1"/>
  <c r="AE603" i="2" s="1"/>
  <c r="AE605" i="2" a="1"/>
  <c r="AE605" i="2" s="1"/>
  <c r="AE607" i="2" a="1"/>
  <c r="AE607" i="2" s="1"/>
  <c r="AE609" i="2" a="1"/>
  <c r="AE609" i="2" s="1"/>
  <c r="AE611" i="2" a="1"/>
  <c r="AE611" i="2" s="1"/>
  <c r="AE613" i="2" a="1"/>
  <c r="AE613" i="2" s="1"/>
  <c r="AE615" i="2" a="1"/>
  <c r="AE615" i="2" s="1"/>
  <c r="AE619" i="2" a="1"/>
  <c r="AE619" i="2" s="1"/>
  <c r="AE623" i="2" a="1"/>
  <c r="AE623" i="2" s="1"/>
  <c r="AE627" i="2" a="1"/>
  <c r="AE627" i="2" s="1"/>
  <c r="AE631" i="2" a="1"/>
  <c r="AE631" i="2" s="1"/>
  <c r="AE635" i="2" a="1"/>
  <c r="AE635" i="2" s="1"/>
  <c r="AE639" i="2" a="1"/>
  <c r="AE639" i="2" s="1"/>
  <c r="AE643" i="2" a="1"/>
  <c r="AE643" i="2" s="1"/>
  <c r="AE647" i="2" a="1"/>
  <c r="AE647" i="2" s="1"/>
  <c r="AE651" i="2" a="1"/>
  <c r="AE651" i="2" s="1"/>
  <c r="AE655" i="2" a="1"/>
  <c r="AE655" i="2" s="1"/>
  <c r="AE659" i="2" a="1"/>
  <c r="AE659" i="2" s="1"/>
  <c r="AE663" i="2" a="1"/>
  <c r="AE663" i="2" s="1"/>
  <c r="AE667" i="2" a="1"/>
  <c r="AE667" i="2" s="1"/>
  <c r="AE671" i="2" a="1"/>
  <c r="AE671" i="2" s="1"/>
  <c r="AE675" i="2" a="1"/>
  <c r="AE675" i="2" s="1"/>
  <c r="AE679" i="2" a="1"/>
  <c r="AE679" i="2" s="1"/>
  <c r="AE683" i="2" a="1"/>
  <c r="AE683" i="2" s="1"/>
  <c r="AE547" i="2" a="1"/>
  <c r="AE547" i="2" s="1"/>
  <c r="AE548" i="2" a="1"/>
  <c r="AE548" i="2" s="1"/>
  <c r="AE549" i="2" a="1"/>
  <c r="AE549" i="2" s="1"/>
  <c r="AE550" i="2" a="1"/>
  <c r="AE550" i="2" s="1"/>
  <c r="AE551" i="2" a="1"/>
  <c r="AE551" i="2" s="1"/>
  <c r="AE552" i="2" a="1"/>
  <c r="AE552" i="2" s="1"/>
  <c r="AE553" i="2" a="1"/>
  <c r="AE553" i="2" s="1"/>
  <c r="AE554" i="2" a="1"/>
  <c r="AE554" i="2" s="1"/>
  <c r="AE555" i="2" a="1"/>
  <c r="AE555" i="2" s="1"/>
  <c r="AE556" i="2" a="1"/>
  <c r="AE556" i="2" s="1"/>
  <c r="AE557" i="2" a="1"/>
  <c r="AE557" i="2" s="1"/>
  <c r="AE558" i="2" a="1"/>
  <c r="AE558" i="2" s="1"/>
  <c r="AE559" i="2" a="1"/>
  <c r="AE559" i="2" s="1"/>
  <c r="AE560" i="2" a="1"/>
  <c r="AE560" i="2" s="1"/>
  <c r="AE561" i="2" a="1"/>
  <c r="AE561" i="2" s="1"/>
  <c r="AE562" i="2" a="1"/>
  <c r="AE562" i="2" s="1"/>
  <c r="AE563" i="2" a="1"/>
  <c r="AE563" i="2" s="1"/>
  <c r="AE564" i="2" a="1"/>
  <c r="AE564" i="2" s="1"/>
  <c r="AE565" i="2" a="1"/>
  <c r="AE565" i="2" s="1"/>
  <c r="AE566" i="2" a="1"/>
  <c r="AE566" i="2" s="1"/>
  <c r="AE567" i="2" a="1"/>
  <c r="AE567" i="2" s="1"/>
  <c r="AE568" i="2" a="1"/>
  <c r="AE568" i="2" s="1"/>
  <c r="AE569" i="2" a="1"/>
  <c r="AE569" i="2" s="1"/>
  <c r="AE570" i="2" a="1"/>
  <c r="AE570" i="2" s="1"/>
  <c r="AE571" i="2" a="1"/>
  <c r="AE571" i="2" s="1"/>
  <c r="AE574" i="2" a="1"/>
  <c r="AE574" i="2" s="1"/>
  <c r="AE575" i="2" a="1"/>
  <c r="AE575" i="2" s="1"/>
  <c r="AE578" i="2" a="1"/>
  <c r="AE578" i="2" s="1"/>
  <c r="AE579" i="2" a="1"/>
  <c r="AE579" i="2" s="1"/>
  <c r="AE582" i="2" a="1"/>
  <c r="AE582" i="2" s="1"/>
  <c r="AE583" i="2" a="1"/>
  <c r="AE583" i="2" s="1"/>
  <c r="AE586" i="2" a="1"/>
  <c r="AE586" i="2" s="1"/>
  <c r="AE587" i="2" a="1"/>
  <c r="AE587" i="2" s="1"/>
  <c r="AE590" i="2" a="1"/>
  <c r="AE590" i="2" s="1"/>
  <c r="AE591" i="2" a="1"/>
  <c r="AE591" i="2" s="1"/>
  <c r="AE594" i="2" a="1"/>
  <c r="AE594" i="2" s="1"/>
  <c r="AE595" i="2" a="1"/>
  <c r="AE595" i="2" s="1"/>
  <c r="AE616" i="2" a="1"/>
  <c r="AE616" i="2" s="1"/>
  <c r="AE620" i="2" a="1"/>
  <c r="AE620" i="2" s="1"/>
  <c r="AE624" i="2" a="1"/>
  <c r="AE624" i="2" s="1"/>
  <c r="AE628" i="2" a="1"/>
  <c r="AE628" i="2" s="1"/>
  <c r="AE632" i="2" a="1"/>
  <c r="AE632" i="2" s="1"/>
  <c r="AE636" i="2" a="1"/>
  <c r="AE636" i="2" s="1"/>
  <c r="AE640" i="2" a="1"/>
  <c r="AE640" i="2" s="1"/>
  <c r="AE644" i="2" a="1"/>
  <c r="AE644" i="2" s="1"/>
  <c r="AE648" i="2" a="1"/>
  <c r="AE648" i="2" s="1"/>
  <c r="AE652" i="2" a="1"/>
  <c r="AE652" i="2" s="1"/>
  <c r="AE656" i="2" a="1"/>
  <c r="AE656" i="2" s="1"/>
  <c r="AE660" i="2" a="1"/>
  <c r="AE660" i="2" s="1"/>
  <c r="AE664" i="2" a="1"/>
  <c r="AE664" i="2" s="1"/>
  <c r="AE668" i="2" a="1"/>
  <c r="AE668" i="2" s="1"/>
  <c r="AE672" i="2" a="1"/>
  <c r="AE672" i="2" s="1"/>
  <c r="AE676" i="2" a="1"/>
  <c r="AE676" i="2" s="1"/>
  <c r="AE680" i="2" a="1"/>
  <c r="AE680" i="2" s="1"/>
  <c r="AE682" i="2" a="1"/>
  <c r="AE682" i="2" s="1"/>
  <c r="AE685" i="2" a="1"/>
  <c r="AE685" i="2" s="1"/>
  <c r="AE689" i="2" a="1"/>
  <c r="AE689" i="2" s="1"/>
  <c r="AE693" i="2" a="1"/>
  <c r="AE693" i="2" s="1"/>
  <c r="AE697" i="2" a="1"/>
  <c r="AE697" i="2" s="1"/>
  <c r="AE701" i="2" a="1"/>
  <c r="AE701" i="2" s="1"/>
  <c r="AE705" i="2" a="1"/>
  <c r="AE705" i="2" s="1"/>
  <c r="AE709" i="2" a="1"/>
  <c r="AE709" i="2" s="1"/>
  <c r="AE713" i="2" a="1"/>
  <c r="AE713" i="2" s="1"/>
  <c r="AE717" i="2" a="1"/>
  <c r="AE717" i="2" s="1"/>
  <c r="AE721" i="2" a="1"/>
  <c r="AE721" i="2" s="1"/>
  <c r="AE725" i="2" a="1"/>
  <c r="AE725" i="2" s="1"/>
  <c r="AE729" i="2" a="1"/>
  <c r="AE729" i="2" s="1"/>
  <c r="AE733" i="2" a="1"/>
  <c r="AE733" i="2" s="1"/>
  <c r="AE737" i="2" a="1"/>
  <c r="AE737" i="2" s="1"/>
  <c r="AE741" i="2" a="1"/>
  <c r="AE741" i="2" s="1"/>
  <c r="AE745" i="2" a="1"/>
  <c r="AE745" i="2" s="1"/>
  <c r="AE749" i="2" a="1"/>
  <c r="AE749" i="2" s="1"/>
  <c r="AE753" i="2" a="1"/>
  <c r="AE753" i="2" s="1"/>
  <c r="AE757" i="2" a="1"/>
  <c r="AE757" i="2" s="1"/>
  <c r="AE761" i="2" a="1"/>
  <c r="AE761" i="2" s="1"/>
  <c r="AE765" i="2" a="1"/>
  <c r="AE765" i="2" s="1"/>
  <c r="AE769" i="2" a="1"/>
  <c r="AE769" i="2" s="1"/>
  <c r="AE773" i="2" a="1"/>
  <c r="AE773" i="2" s="1"/>
  <c r="AE777" i="2" a="1"/>
  <c r="AE777" i="2" s="1"/>
  <c r="AE781" i="2" a="1"/>
  <c r="AE781" i="2" s="1"/>
  <c r="AE785" i="2" a="1"/>
  <c r="AE785" i="2" s="1"/>
  <c r="AE789" i="2" a="1"/>
  <c r="AE789" i="2" s="1"/>
  <c r="AE793" i="2" a="1"/>
  <c r="AE793" i="2" s="1"/>
  <c r="AE797" i="2" a="1"/>
  <c r="AE797" i="2" s="1"/>
  <c r="AE801" i="2" a="1"/>
  <c r="AE801" i="2" s="1"/>
  <c r="AE807" i="2" a="1"/>
  <c r="AE807" i="2" s="1"/>
  <c r="AE808" i="2" a="1"/>
  <c r="AE808" i="2" s="1"/>
  <c r="AE813" i="2" a="1"/>
  <c r="AE813" i="2" s="1"/>
  <c r="AE817" i="2" a="1"/>
  <c r="AE817" i="2" s="1"/>
  <c r="AE821" i="2" a="1"/>
  <c r="AE821" i="2" s="1"/>
  <c r="AE825" i="2" a="1"/>
  <c r="AE825" i="2" s="1"/>
  <c r="AE829" i="2" a="1"/>
  <c r="AE829" i="2" s="1"/>
  <c r="AE833" i="2" a="1"/>
  <c r="AE833" i="2" s="1"/>
  <c r="AE837" i="2" a="1"/>
  <c r="AE837" i="2" s="1"/>
  <c r="AE841" i="2" a="1"/>
  <c r="AE841" i="2" s="1"/>
  <c r="AE845" i="2" a="1"/>
  <c r="AE845" i="2" s="1"/>
  <c r="AE849" i="2" a="1"/>
  <c r="AE849" i="2" s="1"/>
  <c r="AE854" i="2" a="1"/>
  <c r="AE854" i="2" s="1"/>
  <c r="AE859" i="2" a="1"/>
  <c r="AE859" i="2" s="1"/>
  <c r="AE863" i="2" a="1"/>
  <c r="AE863" i="2" s="1"/>
  <c r="AE867" i="2" a="1"/>
  <c r="AE867" i="2" s="1"/>
  <c r="AE871" i="2" a="1"/>
  <c r="AE871" i="2" s="1"/>
  <c r="AE875" i="2" a="1"/>
  <c r="AE875" i="2" s="1"/>
  <c r="AE879" i="2" a="1"/>
  <c r="AE879" i="2" s="1"/>
  <c r="AE883" i="2" a="1"/>
  <c r="AE883" i="2" s="1"/>
  <c r="AE887" i="2" a="1"/>
  <c r="AE887" i="2" s="1"/>
  <c r="AE891" i="2" a="1"/>
  <c r="AE891" i="2" s="1"/>
  <c r="AE895" i="2" a="1"/>
  <c r="AE895" i="2" s="1"/>
  <c r="AE899" i="2" a="1"/>
  <c r="AE899" i="2" s="1"/>
  <c r="AE903" i="2" a="1"/>
  <c r="AE903" i="2" s="1"/>
  <c r="AE907" i="2" a="1"/>
  <c r="AE907" i="2" s="1"/>
  <c r="AE911" i="2" a="1"/>
  <c r="AE911" i="2" s="1"/>
  <c r="AE915" i="2" a="1"/>
  <c r="AE915" i="2" s="1"/>
  <c r="AE919" i="2" a="1"/>
  <c r="AE919" i="2" s="1"/>
  <c r="AE923" i="2" a="1"/>
  <c r="AE923" i="2" s="1"/>
  <c r="AE927" i="2" a="1"/>
  <c r="AE927" i="2" s="1"/>
  <c r="AE931" i="2" a="1"/>
  <c r="AE931" i="2" s="1"/>
  <c r="AE686" i="2" a="1"/>
  <c r="AE686" i="2" s="1"/>
  <c r="AE690" i="2" a="1"/>
  <c r="AE690" i="2" s="1"/>
  <c r="AE694" i="2" a="1"/>
  <c r="AE694" i="2" s="1"/>
  <c r="AE698" i="2" a="1"/>
  <c r="AE698" i="2" s="1"/>
  <c r="AE702" i="2" a="1"/>
  <c r="AE702" i="2" s="1"/>
  <c r="AE706" i="2" a="1"/>
  <c r="AE706" i="2" s="1"/>
  <c r="AE710" i="2" a="1"/>
  <c r="AE710" i="2" s="1"/>
  <c r="AE714" i="2" a="1"/>
  <c r="AE714" i="2" s="1"/>
  <c r="AE718" i="2" a="1"/>
  <c r="AE718" i="2" s="1"/>
  <c r="AE722" i="2" a="1"/>
  <c r="AE722" i="2" s="1"/>
  <c r="AE726" i="2" a="1"/>
  <c r="AE726" i="2" s="1"/>
  <c r="AE730" i="2" a="1"/>
  <c r="AE730" i="2" s="1"/>
  <c r="AE734" i="2" a="1"/>
  <c r="AE734" i="2" s="1"/>
  <c r="AE738" i="2" a="1"/>
  <c r="AE738" i="2" s="1"/>
  <c r="AE742" i="2" a="1"/>
  <c r="AE742" i="2" s="1"/>
  <c r="AE746" i="2" a="1"/>
  <c r="AE746" i="2" s="1"/>
  <c r="AE750" i="2" a="1"/>
  <c r="AE750" i="2" s="1"/>
  <c r="AE754" i="2" a="1"/>
  <c r="AE754" i="2" s="1"/>
  <c r="AE758" i="2" a="1"/>
  <c r="AE758" i="2" s="1"/>
  <c r="AE762" i="2" a="1"/>
  <c r="AE762" i="2" s="1"/>
  <c r="AE766" i="2" a="1"/>
  <c r="AE766" i="2" s="1"/>
  <c r="AE770" i="2" a="1"/>
  <c r="AE770" i="2" s="1"/>
  <c r="AE774" i="2" a="1"/>
  <c r="AE774" i="2" s="1"/>
  <c r="AE778" i="2" a="1"/>
  <c r="AE778" i="2" s="1"/>
  <c r="AE782" i="2" a="1"/>
  <c r="AE782" i="2" s="1"/>
  <c r="AE786" i="2" a="1"/>
  <c r="AE786" i="2" s="1"/>
  <c r="AE790" i="2" a="1"/>
  <c r="AE790" i="2" s="1"/>
  <c r="AE794" i="2" a="1"/>
  <c r="AE794" i="2" s="1"/>
  <c r="AE798" i="2" a="1"/>
  <c r="AE798" i="2" s="1"/>
  <c r="AE802" i="2" a="1"/>
  <c r="AE802" i="2" s="1"/>
  <c r="AE809" i="2" a="1"/>
  <c r="AE809" i="2" s="1"/>
  <c r="AE810" i="2" a="1"/>
  <c r="AE810" i="2" s="1"/>
  <c r="AE814" i="2" a="1"/>
  <c r="AE814" i="2" s="1"/>
  <c r="AE818" i="2" a="1"/>
  <c r="AE818" i="2" s="1"/>
  <c r="AE822" i="2" a="1"/>
  <c r="AE822" i="2" s="1"/>
  <c r="AE826" i="2" a="1"/>
  <c r="AE826" i="2" s="1"/>
  <c r="AE830" i="2" a="1"/>
  <c r="AE830" i="2" s="1"/>
  <c r="AE834" i="2" a="1"/>
  <c r="AE834" i="2" s="1"/>
  <c r="AE838" i="2" a="1"/>
  <c r="AE838" i="2" s="1"/>
  <c r="AE842" i="2" a="1"/>
  <c r="AE842" i="2" s="1"/>
  <c r="AE846" i="2" a="1"/>
  <c r="AE846" i="2" s="1"/>
  <c r="AE850" i="2" a="1"/>
  <c r="AE850" i="2" s="1"/>
  <c r="AE855" i="2" a="1"/>
  <c r="AE855" i="2" s="1"/>
  <c r="AE856" i="2" a="1"/>
  <c r="AE856" i="2" s="1"/>
  <c r="AE860" i="2" a="1"/>
  <c r="AE860" i="2" s="1"/>
  <c r="AE864" i="2" a="1"/>
  <c r="AE864" i="2" s="1"/>
  <c r="AE868" i="2" a="1"/>
  <c r="AE868" i="2" s="1"/>
  <c r="AE872" i="2" a="1"/>
  <c r="AE872" i="2" s="1"/>
  <c r="AE876" i="2" a="1"/>
  <c r="AE876" i="2" s="1"/>
  <c r="AE880" i="2" a="1"/>
  <c r="AE880" i="2" s="1"/>
  <c r="AE884" i="2" a="1"/>
  <c r="AE884" i="2" s="1"/>
  <c r="AE888" i="2" a="1"/>
  <c r="AE888" i="2" s="1"/>
  <c r="AE892" i="2" a="1"/>
  <c r="AE892" i="2" s="1"/>
  <c r="AE896" i="2" a="1"/>
  <c r="AE896" i="2" s="1"/>
  <c r="AE900" i="2" a="1"/>
  <c r="AE900" i="2" s="1"/>
  <c r="AE904" i="2" a="1"/>
  <c r="AE904" i="2" s="1"/>
  <c r="AE908" i="2" a="1"/>
  <c r="AE908" i="2" s="1"/>
  <c r="AE912" i="2" a="1"/>
  <c r="AE912" i="2" s="1"/>
  <c r="AE916" i="2" a="1"/>
  <c r="AE916" i="2" s="1"/>
  <c r="AE920" i="2" a="1"/>
  <c r="AE920" i="2" s="1"/>
  <c r="AE924" i="2" a="1"/>
  <c r="AE924" i="2" s="1"/>
  <c r="AE928" i="2" a="1"/>
  <c r="AE928" i="2" s="1"/>
  <c r="AE687" i="2" a="1"/>
  <c r="AE687" i="2" s="1"/>
  <c r="AE691" i="2" a="1"/>
  <c r="AE691" i="2" s="1"/>
  <c r="AE695" i="2" a="1"/>
  <c r="AE695" i="2" s="1"/>
  <c r="AE699" i="2" a="1"/>
  <c r="AE699" i="2" s="1"/>
  <c r="AE703" i="2" a="1"/>
  <c r="AE703" i="2" s="1"/>
  <c r="AE707" i="2" a="1"/>
  <c r="AE707" i="2" s="1"/>
  <c r="AE711" i="2" a="1"/>
  <c r="AE711" i="2" s="1"/>
  <c r="AE715" i="2" a="1"/>
  <c r="AE715" i="2" s="1"/>
  <c r="AE719" i="2" a="1"/>
  <c r="AE719" i="2" s="1"/>
  <c r="AE723" i="2" a="1"/>
  <c r="AE723" i="2" s="1"/>
  <c r="AE727" i="2" a="1"/>
  <c r="AE727" i="2" s="1"/>
  <c r="AE731" i="2" a="1"/>
  <c r="AE731" i="2" s="1"/>
  <c r="AE735" i="2" a="1"/>
  <c r="AE735" i="2" s="1"/>
  <c r="AE739" i="2" a="1"/>
  <c r="AE739" i="2" s="1"/>
  <c r="AE743" i="2" a="1"/>
  <c r="AE743" i="2" s="1"/>
  <c r="AE747" i="2" a="1"/>
  <c r="AE747" i="2" s="1"/>
  <c r="AE751" i="2" a="1"/>
  <c r="AE751" i="2" s="1"/>
  <c r="AE755" i="2" a="1"/>
  <c r="AE755" i="2" s="1"/>
  <c r="AE759" i="2" a="1"/>
  <c r="AE759" i="2" s="1"/>
  <c r="AE763" i="2" a="1"/>
  <c r="AE763" i="2" s="1"/>
  <c r="AE767" i="2" a="1"/>
  <c r="AE767" i="2" s="1"/>
  <c r="AE771" i="2" a="1"/>
  <c r="AE771" i="2" s="1"/>
  <c r="AE775" i="2" a="1"/>
  <c r="AE775" i="2" s="1"/>
  <c r="AE779" i="2" a="1"/>
  <c r="AE779" i="2" s="1"/>
  <c r="AE783" i="2" a="1"/>
  <c r="AE783" i="2" s="1"/>
  <c r="AE787" i="2" a="1"/>
  <c r="AE787" i="2" s="1"/>
  <c r="AE791" i="2" a="1"/>
  <c r="AE791" i="2" s="1"/>
  <c r="AE795" i="2" a="1"/>
  <c r="AE795" i="2" s="1"/>
  <c r="AE799" i="2" a="1"/>
  <c r="AE799" i="2" s="1"/>
  <c r="AE803" i="2" a="1"/>
  <c r="AE803" i="2" s="1"/>
  <c r="AE804" i="2" a="1"/>
  <c r="AE804" i="2" s="1"/>
  <c r="AE811" i="2" a="1"/>
  <c r="AE811" i="2" s="1"/>
  <c r="AE815" i="2" a="1"/>
  <c r="AE815" i="2" s="1"/>
  <c r="AE819" i="2" a="1"/>
  <c r="AE819" i="2" s="1"/>
  <c r="AE823" i="2" a="1"/>
  <c r="AE823" i="2" s="1"/>
  <c r="AE827" i="2" a="1"/>
  <c r="AE827" i="2" s="1"/>
  <c r="AE831" i="2" a="1"/>
  <c r="AE831" i="2" s="1"/>
  <c r="AE835" i="2" a="1"/>
  <c r="AE835" i="2" s="1"/>
  <c r="AE839" i="2" a="1"/>
  <c r="AE839" i="2" s="1"/>
  <c r="AE843" i="2" a="1"/>
  <c r="AE843" i="2" s="1"/>
  <c r="AE847" i="2" a="1"/>
  <c r="AE847" i="2" s="1"/>
  <c r="AE851" i="2" a="1"/>
  <c r="AE851" i="2" s="1"/>
  <c r="AE852" i="2" a="1"/>
  <c r="AE852" i="2" s="1"/>
  <c r="AE857" i="2" a="1"/>
  <c r="AE857" i="2" s="1"/>
  <c r="AE861" i="2" a="1"/>
  <c r="AE861" i="2" s="1"/>
  <c r="AE865" i="2" a="1"/>
  <c r="AE865" i="2" s="1"/>
  <c r="AE869" i="2" a="1"/>
  <c r="AE869" i="2" s="1"/>
  <c r="AE873" i="2" a="1"/>
  <c r="AE873" i="2" s="1"/>
  <c r="AE877" i="2" a="1"/>
  <c r="AE877" i="2" s="1"/>
  <c r="AE881" i="2" a="1"/>
  <c r="AE881" i="2" s="1"/>
  <c r="AE885" i="2" a="1"/>
  <c r="AE885" i="2" s="1"/>
  <c r="AE889" i="2" a="1"/>
  <c r="AE889" i="2" s="1"/>
  <c r="AE893" i="2" a="1"/>
  <c r="AE893" i="2" s="1"/>
  <c r="AE897" i="2" a="1"/>
  <c r="AE897" i="2" s="1"/>
  <c r="AE901" i="2" a="1"/>
  <c r="AE901" i="2" s="1"/>
  <c r="AE905" i="2" a="1"/>
  <c r="AE905" i="2" s="1"/>
  <c r="AE909" i="2" a="1"/>
  <c r="AE909" i="2" s="1"/>
  <c r="AE913" i="2" a="1"/>
  <c r="AE913" i="2" s="1"/>
  <c r="AE917" i="2" a="1"/>
  <c r="AE917" i="2" s="1"/>
  <c r="AE921" i="2" a="1"/>
  <c r="AE921" i="2" s="1"/>
  <c r="AE925" i="2" a="1"/>
  <c r="AE925" i="2" s="1"/>
  <c r="AE929" i="2" a="1"/>
  <c r="AE929" i="2" s="1"/>
  <c r="AE932" i="2" a="1"/>
  <c r="AE932" i="2" s="1"/>
  <c r="AE933" i="2" a="1"/>
  <c r="AE933" i="2" s="1"/>
  <c r="AE934" i="2" a="1"/>
  <c r="AE934" i="2" s="1"/>
  <c r="AE935" i="2" a="1"/>
  <c r="AE935" i="2" s="1"/>
  <c r="AE936" i="2" a="1"/>
  <c r="AE936" i="2" s="1"/>
  <c r="AE937" i="2" a="1"/>
  <c r="AE937" i="2" s="1"/>
  <c r="AE938" i="2" a="1"/>
  <c r="AE938" i="2" s="1"/>
  <c r="AE939" i="2" a="1"/>
  <c r="AE939" i="2" s="1"/>
  <c r="AE940" i="2" a="1"/>
  <c r="AE940" i="2" s="1"/>
  <c r="AE941" i="2" a="1"/>
  <c r="AE941" i="2" s="1"/>
  <c r="AE942" i="2" a="1"/>
  <c r="AE942" i="2" s="1"/>
  <c r="AE943" i="2" a="1"/>
  <c r="AE943" i="2" s="1"/>
  <c r="AE944" i="2" a="1"/>
  <c r="AE944" i="2" s="1"/>
  <c r="AE945" i="2" a="1"/>
  <c r="AE945" i="2" s="1"/>
  <c r="AE946" i="2" a="1"/>
  <c r="AE946" i="2" s="1"/>
  <c r="AE947" i="2" a="1"/>
  <c r="AE947" i="2" s="1"/>
  <c r="AE948" i="2" a="1"/>
  <c r="AE948" i="2" s="1"/>
  <c r="AE949" i="2" a="1"/>
  <c r="AE949" i="2" s="1"/>
  <c r="AE950" i="2" a="1"/>
  <c r="AE950" i="2" s="1"/>
  <c r="AE951" i="2" a="1"/>
  <c r="AE951" i="2" s="1"/>
  <c r="AE952" i="2" a="1"/>
  <c r="AE952" i="2" s="1"/>
  <c r="AE953" i="2" a="1"/>
  <c r="AE953" i="2" s="1"/>
  <c r="AE954" i="2" a="1"/>
  <c r="AE954" i="2" s="1"/>
  <c r="AE955" i="2" a="1"/>
  <c r="AE955" i="2" s="1"/>
  <c r="AE956" i="2" a="1"/>
  <c r="AE956" i="2" s="1"/>
  <c r="AE957" i="2" a="1"/>
  <c r="AE957" i="2" s="1"/>
  <c r="AE958" i="2" a="1"/>
  <c r="AE958" i="2" s="1"/>
  <c r="AE959" i="2" a="1"/>
  <c r="AE959" i="2" s="1"/>
  <c r="AE960" i="2" a="1"/>
  <c r="AE960" i="2" s="1"/>
  <c r="AE961" i="2" a="1"/>
  <c r="AE961" i="2" s="1"/>
  <c r="AE684" i="2" a="1"/>
  <c r="AE684" i="2" s="1"/>
  <c r="AE688" i="2" a="1"/>
  <c r="AE688" i="2" s="1"/>
  <c r="AE692" i="2" a="1"/>
  <c r="AE692" i="2" s="1"/>
  <c r="AE696" i="2" a="1"/>
  <c r="AE696" i="2" s="1"/>
  <c r="AE700" i="2" a="1"/>
  <c r="AE700" i="2" s="1"/>
  <c r="AE704" i="2" a="1"/>
  <c r="AE704" i="2" s="1"/>
  <c r="AE708" i="2" a="1"/>
  <c r="AE708" i="2" s="1"/>
  <c r="AE712" i="2" a="1"/>
  <c r="AE712" i="2" s="1"/>
  <c r="AE716" i="2" a="1"/>
  <c r="AE716" i="2" s="1"/>
  <c r="AE720" i="2" a="1"/>
  <c r="AE720" i="2" s="1"/>
  <c r="AE724" i="2" a="1"/>
  <c r="AE724" i="2" s="1"/>
  <c r="AE728" i="2" a="1"/>
  <c r="AE728" i="2" s="1"/>
  <c r="AE732" i="2" a="1"/>
  <c r="AE732" i="2" s="1"/>
  <c r="AE736" i="2" a="1"/>
  <c r="AE736" i="2" s="1"/>
  <c r="AE740" i="2" a="1"/>
  <c r="AE740" i="2" s="1"/>
  <c r="AE744" i="2" a="1"/>
  <c r="AE744" i="2" s="1"/>
  <c r="AE748" i="2" a="1"/>
  <c r="AE748" i="2" s="1"/>
  <c r="AE752" i="2" a="1"/>
  <c r="AE752" i="2" s="1"/>
  <c r="AE756" i="2" a="1"/>
  <c r="AE756" i="2" s="1"/>
  <c r="AE760" i="2" a="1"/>
  <c r="AE760" i="2" s="1"/>
  <c r="AE764" i="2" a="1"/>
  <c r="AE764" i="2" s="1"/>
  <c r="AE768" i="2" a="1"/>
  <c r="AE768" i="2" s="1"/>
  <c r="AE772" i="2" a="1"/>
  <c r="AE772" i="2" s="1"/>
  <c r="AE776" i="2" a="1"/>
  <c r="AE776" i="2" s="1"/>
  <c r="AE780" i="2" a="1"/>
  <c r="AE780" i="2" s="1"/>
  <c r="AE784" i="2" a="1"/>
  <c r="AE784" i="2" s="1"/>
  <c r="AE788" i="2" a="1"/>
  <c r="AE788" i="2" s="1"/>
  <c r="AE792" i="2" a="1"/>
  <c r="AE792" i="2" s="1"/>
  <c r="AE796" i="2" a="1"/>
  <c r="AE796" i="2" s="1"/>
  <c r="AE800" i="2" a="1"/>
  <c r="AE800" i="2" s="1"/>
  <c r="AE805" i="2" a="1"/>
  <c r="AE805" i="2" s="1"/>
  <c r="AE806" i="2" a="1"/>
  <c r="AE806" i="2" s="1"/>
  <c r="AE812" i="2" a="1"/>
  <c r="AE812" i="2" s="1"/>
  <c r="AE816" i="2" a="1"/>
  <c r="AE816" i="2" s="1"/>
  <c r="AE820" i="2" a="1"/>
  <c r="AE820" i="2" s="1"/>
  <c r="AE824" i="2" a="1"/>
  <c r="AE824" i="2" s="1"/>
  <c r="AE828" i="2" a="1"/>
  <c r="AE828" i="2" s="1"/>
  <c r="AE832" i="2" a="1"/>
  <c r="AE832" i="2" s="1"/>
  <c r="AE836" i="2" a="1"/>
  <c r="AE836" i="2" s="1"/>
  <c r="AE840" i="2" a="1"/>
  <c r="AE840" i="2" s="1"/>
  <c r="AE844" i="2" a="1"/>
  <c r="AE844" i="2" s="1"/>
  <c r="AE848" i="2" a="1"/>
  <c r="AE848" i="2" s="1"/>
  <c r="AE853" i="2" a="1"/>
  <c r="AE853" i="2" s="1"/>
  <c r="AE858" i="2" a="1"/>
  <c r="AE858" i="2" s="1"/>
  <c r="AE862" i="2" a="1"/>
  <c r="AE862" i="2" s="1"/>
  <c r="AE866" i="2" a="1"/>
  <c r="AE866" i="2" s="1"/>
  <c r="AE870" i="2" a="1"/>
  <c r="AE870" i="2" s="1"/>
  <c r="AE874" i="2" a="1"/>
  <c r="AE874" i="2" s="1"/>
  <c r="AE878" i="2" a="1"/>
  <c r="AE878" i="2" s="1"/>
  <c r="AE882" i="2" a="1"/>
  <c r="AE882" i="2" s="1"/>
  <c r="AE886" i="2" a="1"/>
  <c r="AE886" i="2" s="1"/>
  <c r="AE890" i="2" a="1"/>
  <c r="AE890" i="2" s="1"/>
  <c r="AE894" i="2" a="1"/>
  <c r="AE894" i="2" s="1"/>
  <c r="AE898" i="2" a="1"/>
  <c r="AE898" i="2" s="1"/>
  <c r="AE902" i="2" a="1"/>
  <c r="AE902" i="2" s="1"/>
  <c r="AE906" i="2" a="1"/>
  <c r="AE906" i="2" s="1"/>
  <c r="AE910" i="2" a="1"/>
  <c r="AE910" i="2" s="1"/>
  <c r="AE914" i="2" a="1"/>
  <c r="AE914" i="2" s="1"/>
  <c r="AE918" i="2" a="1"/>
  <c r="AE918" i="2" s="1"/>
  <c r="AE922" i="2" a="1"/>
  <c r="AE922" i="2" s="1"/>
  <c r="AE926" i="2" a="1"/>
  <c r="AE926" i="2" s="1"/>
  <c r="AE930" i="2" a="1"/>
  <c r="AE930" i="2" s="1"/>
  <c r="AE962" i="2" a="1"/>
  <c r="AE962" i="2" s="1"/>
  <c r="AE963" i="2" a="1"/>
  <c r="AE963" i="2" s="1"/>
  <c r="AE964" i="2" a="1"/>
  <c r="AE964" i="2" s="1"/>
  <c r="AE965" i="2" a="1"/>
  <c r="AE965" i="2" s="1"/>
  <c r="AE966" i="2" a="1"/>
  <c r="AE966" i="2" s="1"/>
  <c r="AE967" i="2" a="1"/>
  <c r="AE967" i="2" s="1"/>
  <c r="AE968" i="2" a="1"/>
  <c r="AE968" i="2" s="1"/>
  <c r="AE969" i="2" a="1"/>
  <c r="AE969" i="2" s="1"/>
  <c r="AE970" i="2" a="1"/>
  <c r="AE970" i="2" s="1"/>
  <c r="AE971" i="2" a="1"/>
  <c r="AE971" i="2" s="1"/>
  <c r="AE972" i="2" a="1"/>
  <c r="AE972" i="2" s="1"/>
  <c r="AE973" i="2" a="1"/>
  <c r="AE973" i="2" s="1"/>
  <c r="AE974" i="2" a="1"/>
  <c r="AE974" i="2" s="1"/>
  <c r="AE975" i="2" a="1"/>
  <c r="AE975" i="2" s="1"/>
  <c r="AE976" i="2" a="1"/>
  <c r="AE976" i="2" s="1"/>
  <c r="AE977" i="2" a="1"/>
  <c r="AE977" i="2" s="1"/>
  <c r="AE978" i="2" a="1"/>
  <c r="AE978" i="2" s="1"/>
  <c r="AE979" i="2" a="1"/>
  <c r="AE979" i="2" s="1"/>
  <c r="AE980" i="2" a="1"/>
  <c r="AE980" i="2" s="1"/>
  <c r="AE981" i="2" a="1"/>
  <c r="AE981" i="2" s="1"/>
  <c r="AE982" i="2" a="1"/>
  <c r="AE982" i="2" s="1"/>
  <c r="AE983" i="2" a="1"/>
  <c r="AE983" i="2" s="1"/>
  <c r="AE984" i="2" a="1"/>
  <c r="AE984" i="2" s="1"/>
  <c r="AE985" i="2" a="1"/>
  <c r="AE985" i="2" s="1"/>
  <c r="AE986" i="2" a="1"/>
  <c r="AE986" i="2" s="1"/>
  <c r="AE987" i="2" a="1"/>
  <c r="AE987" i="2" s="1"/>
  <c r="AE988" i="2" a="1"/>
  <c r="AE988" i="2" s="1"/>
  <c r="AE989" i="2" a="1"/>
  <c r="AE989" i="2" s="1"/>
  <c r="AE990" i="2" a="1"/>
  <c r="AE990" i="2" s="1"/>
  <c r="AE991" i="2" a="1"/>
  <c r="AE991" i="2" s="1"/>
  <c r="AE992" i="2" a="1"/>
  <c r="AE992" i="2" s="1"/>
  <c r="AE993" i="2" a="1"/>
  <c r="AE993" i="2" s="1"/>
  <c r="AE994" i="2" a="1"/>
  <c r="AE994" i="2" s="1"/>
  <c r="AE995" i="2" a="1"/>
  <c r="AE995" i="2" s="1"/>
  <c r="AE996" i="2" a="1"/>
  <c r="AE996" i="2" s="1"/>
  <c r="AE997" i="2" a="1"/>
  <c r="AE997" i="2" s="1"/>
  <c r="AE998" i="2" a="1"/>
  <c r="AE998" i="2" s="1"/>
  <c r="AE999" i="2" a="1"/>
  <c r="AE999" i="2" s="1"/>
  <c r="AE1000" i="2" a="1"/>
  <c r="AE1000" i="2" s="1"/>
  <c r="AE1001" i="2" a="1"/>
  <c r="AE1001" i="2" s="1"/>
  <c r="AE1002" i="2" a="1"/>
  <c r="AE1002" i="2" s="1"/>
  <c r="AE1003" i="2" a="1"/>
  <c r="AE1003" i="2" s="1"/>
  <c r="AE4" i="2" a="1"/>
  <c r="AE4" i="2" s="1"/>
  <c r="R12" i="2" l="1"/>
  <c r="R13" i="2"/>
  <c r="R14" i="2" s="1"/>
  <c r="M3" i="3" l="1"/>
  <c r="O3" i="3"/>
  <c r="P3" i="3"/>
  <c r="N3" i="3"/>
</calcChain>
</file>

<file path=xl/sharedStrings.xml><?xml version="1.0" encoding="utf-8"?>
<sst xmlns="http://schemas.openxmlformats.org/spreadsheetml/2006/main" count="63" uniqueCount="30">
  <si>
    <t>Global</t>
  </si>
  <si>
    <t>m</t>
  </si>
  <si>
    <r>
      <rPr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Calibri"/>
        <family val="2"/>
        <scheme val="minor"/>
      </rPr>
      <t>2</t>
    </r>
  </si>
  <si>
    <t>N</t>
  </si>
  <si>
    <t>Valor</t>
  </si>
  <si>
    <t>#10</t>
  </si>
  <si>
    <t>Xbarra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</si>
  <si>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 xml:space="preserve"> =</t>
    </r>
  </si>
  <si>
    <t>min</t>
  </si>
  <si>
    <t>1q</t>
  </si>
  <si>
    <t>med</t>
  </si>
  <si>
    <t>3q</t>
  </si>
  <si>
    <t>max</t>
  </si>
  <si>
    <t>Outliers</t>
  </si>
  <si>
    <t>Boxplot</t>
  </si>
  <si>
    <t>#20</t>
  </si>
  <si>
    <t>#50</t>
  </si>
  <si>
    <t>l</t>
  </si>
  <si>
    <t>c</t>
  </si>
  <si>
    <t>v</t>
  </si>
  <si>
    <t>Xbarra1</t>
  </si>
  <si>
    <t>Xbarra2</t>
  </si>
  <si>
    <t>Xbarra3</t>
  </si>
  <si>
    <t>#11</t>
  </si>
  <si>
    <t>#1</t>
  </si>
  <si>
    <t>#2</t>
  </si>
  <si>
    <t>#3</t>
  </si>
  <si>
    <t>#100</t>
  </si>
  <si>
    <t>#https://cdrenno.github.io/Estatistica/</t>
  </si>
  <si>
    <t>#Estatística: Aplicação ao Sensoriamento Remoto - SER204, INPE,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</si>
</sst>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2" xfId="0" applyFont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/>
  </cellXfs>
  <cellStyles count="1">
    <cellStyle name="Normal" xfId="0" builtinId="0"/>
  </cellStyles>
  <dxfs count="33"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marker>
            <c:symbol val="none"/>
          </c:marker>
          <c:xVal>
            <c:numRef>
              <c:f>simples!$Q$3:$Q$22</c:f>
              <c:numCache>
                <c:formatCode>General</c:formatCode>
                <c:ptCount val="20"/>
                <c:pt idx="0">
                  <c:v>0.75</c:v>
                </c:pt>
                <c:pt idx="1">
                  <c:v>1</c:v>
                </c:pt>
                <c:pt idx="2">
                  <c:v>1</c:v>
                </c:pt>
                <c:pt idx="3">
                  <c:v>0.75</c:v>
                </c:pt>
                <c:pt idx="4">
                  <c:v>0.75</c:v>
                </c:pt>
                <c:pt idx="5">
                  <c:v>1.25</c:v>
                </c:pt>
                <c:pt idx="6">
                  <c:v>1.25</c:v>
                </c:pt>
                <c:pt idx="7">
                  <c:v>1</c:v>
                </c:pt>
                <c:pt idx="8">
                  <c:v>1</c:v>
                </c:pt>
                <c:pt idx="9">
                  <c:v>1.25</c:v>
                </c:pt>
                <c:pt idx="10">
                  <c:v>0.75</c:v>
                </c:pt>
                <c:pt idx="11">
                  <c:v>1</c:v>
                </c:pt>
                <c:pt idx="12">
                  <c:v>1</c:v>
                </c:pt>
                <c:pt idx="13">
                  <c:v>0.75</c:v>
                </c:pt>
                <c:pt idx="14">
                  <c:v>0.75</c:v>
                </c:pt>
                <c:pt idx="15">
                  <c:v>1.25</c:v>
                </c:pt>
                <c:pt idx="16">
                  <c:v>1.25</c:v>
                </c:pt>
                <c:pt idx="17">
                  <c:v>1</c:v>
                </c:pt>
                <c:pt idx="18">
                  <c:v>1</c:v>
                </c:pt>
                <c:pt idx="19">
                  <c:v>1.25</c:v>
                </c:pt>
              </c:numCache>
            </c:numRef>
          </c:xVal>
          <c:yVal>
            <c:numRef>
              <c:f>simples!$R$3:$R$22</c:f>
              <c:numCache>
                <c:formatCode>General</c:formatCode>
                <c:ptCount val="20"/>
                <c:pt idx="0">
                  <c:v>20</c:v>
                </c:pt>
                <c:pt idx="1">
                  <c:v>20</c:v>
                </c:pt>
                <c:pt idx="2">
                  <c:v>15.454545454545455</c:v>
                </c:pt>
                <c:pt idx="3">
                  <c:v>15.454545454545455</c:v>
                </c:pt>
                <c:pt idx="4">
                  <c:v>13.818181818181818</c:v>
                </c:pt>
                <c:pt idx="5">
                  <c:v>13.818181818181818</c:v>
                </c:pt>
                <c:pt idx="6">
                  <c:v>12.363636363636363</c:v>
                </c:pt>
                <c:pt idx="7">
                  <c:v>12.363636363636363</c:v>
                </c:pt>
                <c:pt idx="8">
                  <c:v>8.454545454545455</c:v>
                </c:pt>
                <c:pt idx="9">
                  <c:v>8.454545454545455</c:v>
                </c:pt>
                <c:pt idx="10">
                  <c:v>8.454545454545455</c:v>
                </c:pt>
                <c:pt idx="11">
                  <c:v>8.454545454545455</c:v>
                </c:pt>
                <c:pt idx="12">
                  <c:v>12.363636363636363</c:v>
                </c:pt>
                <c:pt idx="13">
                  <c:v>12.363636363636363</c:v>
                </c:pt>
                <c:pt idx="14">
                  <c:v>13.818181818181818</c:v>
                </c:pt>
                <c:pt idx="15">
                  <c:v>13.818181818181818</c:v>
                </c:pt>
                <c:pt idx="16">
                  <c:v>15.454545454545455</c:v>
                </c:pt>
                <c:pt idx="17">
                  <c:v>15.454545454545455</c:v>
                </c:pt>
                <c:pt idx="18">
                  <c:v>20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F9-489B-B39F-A42D56F506B0}"/>
            </c:ext>
          </c:extLst>
        </c:ser>
        <c:ser>
          <c:idx val="1"/>
          <c:order val="1"/>
          <c:tx>
            <c:v>2</c:v>
          </c:tx>
          <c:marker>
            <c:symbol val="none"/>
          </c:marker>
          <c:xVal>
            <c:numRef>
              <c:f>simples!$S$3:$S$22</c:f>
              <c:numCache>
                <c:formatCode>General</c:formatCode>
                <c:ptCount val="20"/>
                <c:pt idx="0">
                  <c:v>1.75</c:v>
                </c:pt>
                <c:pt idx="1">
                  <c:v>2</c:v>
                </c:pt>
                <c:pt idx="2">
                  <c:v>2</c:v>
                </c:pt>
                <c:pt idx="3">
                  <c:v>1.75</c:v>
                </c:pt>
                <c:pt idx="4">
                  <c:v>1.75</c:v>
                </c:pt>
                <c:pt idx="5">
                  <c:v>2.25</c:v>
                </c:pt>
                <c:pt idx="6">
                  <c:v>2.25</c:v>
                </c:pt>
                <c:pt idx="7">
                  <c:v>2</c:v>
                </c:pt>
                <c:pt idx="8">
                  <c:v>2</c:v>
                </c:pt>
                <c:pt idx="9">
                  <c:v>2.25</c:v>
                </c:pt>
                <c:pt idx="10">
                  <c:v>1.75</c:v>
                </c:pt>
                <c:pt idx="11">
                  <c:v>2</c:v>
                </c:pt>
                <c:pt idx="12">
                  <c:v>2</c:v>
                </c:pt>
                <c:pt idx="13">
                  <c:v>1.75</c:v>
                </c:pt>
                <c:pt idx="14">
                  <c:v>1.75</c:v>
                </c:pt>
                <c:pt idx="15">
                  <c:v>2.25</c:v>
                </c:pt>
                <c:pt idx="16">
                  <c:v>2.25</c:v>
                </c:pt>
                <c:pt idx="17">
                  <c:v>2</c:v>
                </c:pt>
                <c:pt idx="18">
                  <c:v>2</c:v>
                </c:pt>
                <c:pt idx="19">
                  <c:v>2.25</c:v>
                </c:pt>
              </c:numCache>
            </c:numRef>
          </c:xVal>
          <c:yVal>
            <c:numRef>
              <c:f>simples!$T$3:$T$22</c:f>
              <c:numCache>
                <c:formatCode>General</c:formatCode>
                <c:ptCount val="20"/>
                <c:pt idx="0">
                  <c:v>18.45</c:v>
                </c:pt>
                <c:pt idx="1">
                  <c:v>18.45</c:v>
                </c:pt>
                <c:pt idx="2">
                  <c:v>15.15</c:v>
                </c:pt>
                <c:pt idx="3">
                  <c:v>15.15</c:v>
                </c:pt>
                <c:pt idx="4">
                  <c:v>13.925000000000001</c:v>
                </c:pt>
                <c:pt idx="5">
                  <c:v>13.925000000000001</c:v>
                </c:pt>
                <c:pt idx="6">
                  <c:v>12.8</c:v>
                </c:pt>
                <c:pt idx="7">
                  <c:v>12.8</c:v>
                </c:pt>
                <c:pt idx="8">
                  <c:v>9.75</c:v>
                </c:pt>
                <c:pt idx="9">
                  <c:v>9.75</c:v>
                </c:pt>
                <c:pt idx="10">
                  <c:v>9.75</c:v>
                </c:pt>
                <c:pt idx="11">
                  <c:v>9.75</c:v>
                </c:pt>
                <c:pt idx="12">
                  <c:v>12.8</c:v>
                </c:pt>
                <c:pt idx="13">
                  <c:v>12.8</c:v>
                </c:pt>
                <c:pt idx="14">
                  <c:v>13.925000000000001</c:v>
                </c:pt>
                <c:pt idx="15">
                  <c:v>13.925000000000001</c:v>
                </c:pt>
                <c:pt idx="16">
                  <c:v>15.15</c:v>
                </c:pt>
                <c:pt idx="17">
                  <c:v>15.15</c:v>
                </c:pt>
                <c:pt idx="18">
                  <c:v>18.45</c:v>
                </c:pt>
                <c:pt idx="19">
                  <c:v>18.45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F9-489B-B39F-A42D56F506B0}"/>
            </c:ext>
          </c:extLst>
        </c:ser>
        <c:ser>
          <c:idx val="2"/>
          <c:order val="2"/>
          <c:tx>
            <c:v>3</c:v>
          </c:tx>
          <c:marker>
            <c:symbol val="none"/>
          </c:marker>
          <c:xVal>
            <c:numRef>
              <c:f>simples!$U$3:$U$22</c:f>
              <c:numCache>
                <c:formatCode>General</c:formatCode>
                <c:ptCount val="20"/>
                <c:pt idx="0">
                  <c:v>2.75</c:v>
                </c:pt>
                <c:pt idx="1">
                  <c:v>3</c:v>
                </c:pt>
                <c:pt idx="2">
                  <c:v>3</c:v>
                </c:pt>
                <c:pt idx="3">
                  <c:v>2.75</c:v>
                </c:pt>
                <c:pt idx="4">
                  <c:v>2.75</c:v>
                </c:pt>
                <c:pt idx="5">
                  <c:v>3.25</c:v>
                </c:pt>
                <c:pt idx="6">
                  <c:v>3.25</c:v>
                </c:pt>
                <c:pt idx="7">
                  <c:v>3</c:v>
                </c:pt>
                <c:pt idx="8">
                  <c:v>3</c:v>
                </c:pt>
                <c:pt idx="9">
                  <c:v>3.25</c:v>
                </c:pt>
                <c:pt idx="10">
                  <c:v>2.75</c:v>
                </c:pt>
                <c:pt idx="11">
                  <c:v>3</c:v>
                </c:pt>
                <c:pt idx="12">
                  <c:v>3</c:v>
                </c:pt>
                <c:pt idx="13">
                  <c:v>2.75</c:v>
                </c:pt>
                <c:pt idx="14">
                  <c:v>2.75</c:v>
                </c:pt>
                <c:pt idx="15">
                  <c:v>3.25</c:v>
                </c:pt>
                <c:pt idx="16">
                  <c:v>3.25</c:v>
                </c:pt>
                <c:pt idx="17">
                  <c:v>3</c:v>
                </c:pt>
                <c:pt idx="18">
                  <c:v>3</c:v>
                </c:pt>
                <c:pt idx="19">
                  <c:v>3.25</c:v>
                </c:pt>
              </c:numCache>
            </c:numRef>
          </c:xVal>
          <c:yVal>
            <c:numRef>
              <c:f>simples!$V$3:$V$22</c:f>
              <c:numCache>
                <c:formatCode>General</c:formatCode>
                <c:ptCount val="20"/>
                <c:pt idx="0">
                  <c:v>16.86</c:v>
                </c:pt>
                <c:pt idx="1">
                  <c:v>16.86</c:v>
                </c:pt>
                <c:pt idx="2">
                  <c:v>14.74</c:v>
                </c:pt>
                <c:pt idx="3">
                  <c:v>14.74</c:v>
                </c:pt>
                <c:pt idx="4">
                  <c:v>14</c:v>
                </c:pt>
                <c:pt idx="5">
                  <c:v>14</c:v>
                </c:pt>
                <c:pt idx="6">
                  <c:v>13.32</c:v>
                </c:pt>
                <c:pt idx="7">
                  <c:v>13.32</c:v>
                </c:pt>
                <c:pt idx="8">
                  <c:v>11.26</c:v>
                </c:pt>
                <c:pt idx="9">
                  <c:v>11.26</c:v>
                </c:pt>
                <c:pt idx="10">
                  <c:v>11.26</c:v>
                </c:pt>
                <c:pt idx="11">
                  <c:v>11.26</c:v>
                </c:pt>
                <c:pt idx="12">
                  <c:v>13.32</c:v>
                </c:pt>
                <c:pt idx="13">
                  <c:v>13.32</c:v>
                </c:pt>
                <c:pt idx="14">
                  <c:v>14</c:v>
                </c:pt>
                <c:pt idx="15">
                  <c:v>14</c:v>
                </c:pt>
                <c:pt idx="16">
                  <c:v>14.74</c:v>
                </c:pt>
                <c:pt idx="17">
                  <c:v>14.74</c:v>
                </c:pt>
                <c:pt idx="18">
                  <c:v>16.86</c:v>
                </c:pt>
                <c:pt idx="19">
                  <c:v>16.86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F9-489B-B39F-A42D56F506B0}"/>
            </c:ext>
          </c:extLst>
        </c:ser>
        <c:ser>
          <c:idx val="3"/>
          <c:order val="3"/>
          <c:tx>
            <c:v>4</c:v>
          </c:tx>
          <c:marker>
            <c:symbol val="none"/>
          </c:marker>
          <c:xVal>
            <c:numRef>
              <c:f>simples!$W$3:$W$22</c:f>
              <c:numCache>
                <c:formatCode>General</c:formatCode>
                <c:ptCount val="20"/>
                <c:pt idx="0">
                  <c:v>3.75</c:v>
                </c:pt>
                <c:pt idx="1">
                  <c:v>4</c:v>
                </c:pt>
                <c:pt idx="2">
                  <c:v>4</c:v>
                </c:pt>
                <c:pt idx="3">
                  <c:v>3.75</c:v>
                </c:pt>
                <c:pt idx="4">
                  <c:v>3.75</c:v>
                </c:pt>
                <c:pt idx="5">
                  <c:v>4.25</c:v>
                </c:pt>
                <c:pt idx="6">
                  <c:v>4.25</c:v>
                </c:pt>
                <c:pt idx="7">
                  <c:v>4</c:v>
                </c:pt>
                <c:pt idx="8">
                  <c:v>4</c:v>
                </c:pt>
                <c:pt idx="9">
                  <c:v>4.25</c:v>
                </c:pt>
                <c:pt idx="10">
                  <c:v>3.75</c:v>
                </c:pt>
                <c:pt idx="11">
                  <c:v>4</c:v>
                </c:pt>
                <c:pt idx="12">
                  <c:v>4</c:v>
                </c:pt>
                <c:pt idx="13">
                  <c:v>3.75</c:v>
                </c:pt>
                <c:pt idx="14">
                  <c:v>3.75</c:v>
                </c:pt>
                <c:pt idx="15">
                  <c:v>4.25</c:v>
                </c:pt>
                <c:pt idx="16">
                  <c:v>4.25</c:v>
                </c:pt>
                <c:pt idx="17">
                  <c:v>4</c:v>
                </c:pt>
                <c:pt idx="18">
                  <c:v>4</c:v>
                </c:pt>
                <c:pt idx="19">
                  <c:v>4.25</c:v>
                </c:pt>
              </c:numCache>
            </c:numRef>
          </c:xVal>
          <c:yVal>
            <c:numRef>
              <c:f>simples!$X$3:$X$22</c:f>
              <c:numCache>
                <c:formatCode>General</c:formatCode>
                <c:ptCount val="20"/>
                <c:pt idx="0">
                  <c:v>15.75</c:v>
                </c:pt>
                <c:pt idx="1">
                  <c:v>15.75</c:v>
                </c:pt>
                <c:pt idx="2">
                  <c:v>14.49</c:v>
                </c:pt>
                <c:pt idx="3">
                  <c:v>14.49</c:v>
                </c:pt>
                <c:pt idx="4">
                  <c:v>14.04</c:v>
                </c:pt>
                <c:pt idx="5">
                  <c:v>14.04</c:v>
                </c:pt>
                <c:pt idx="6">
                  <c:v>13.58</c:v>
                </c:pt>
                <c:pt idx="7">
                  <c:v>13.58</c:v>
                </c:pt>
                <c:pt idx="8">
                  <c:v>12.36</c:v>
                </c:pt>
                <c:pt idx="9">
                  <c:v>12.36</c:v>
                </c:pt>
                <c:pt idx="10">
                  <c:v>12.36</c:v>
                </c:pt>
                <c:pt idx="11">
                  <c:v>12.36</c:v>
                </c:pt>
                <c:pt idx="12">
                  <c:v>13.58</c:v>
                </c:pt>
                <c:pt idx="13">
                  <c:v>13.58</c:v>
                </c:pt>
                <c:pt idx="14">
                  <c:v>14.04</c:v>
                </c:pt>
                <c:pt idx="15">
                  <c:v>14.04</c:v>
                </c:pt>
                <c:pt idx="16">
                  <c:v>14.49</c:v>
                </c:pt>
                <c:pt idx="17">
                  <c:v>14.49</c:v>
                </c:pt>
                <c:pt idx="18">
                  <c:v>15.75</c:v>
                </c:pt>
                <c:pt idx="19">
                  <c:v>15.75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F9-489B-B39F-A42D56F506B0}"/>
            </c:ext>
          </c:extLst>
        </c:ser>
        <c:ser>
          <c:idx val="4"/>
          <c:order val="4"/>
          <c:tx>
            <c:v>out/01</c:v>
          </c:tx>
          <c:spPr>
            <a:ln>
              <a:noFill/>
            </a:ln>
          </c:spPr>
          <c:marker>
            <c:symbol val="circle"/>
            <c:size val="5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simples!$Z$4:$Z$1003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xVal>
          <c:yVal>
            <c:numRef>
              <c:f>simples!$AA$4:$AA$1003</c:f>
              <c:numCache>
                <c:formatCode>General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20.818181818181817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20.727272727272727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21.181818181818183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20.181818181818183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20.272727272727273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20.181818181818183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20.09090909090909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20.181818181818183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21.818181818181817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20.90909090909091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F9-489B-B39F-A42D56F506B0}"/>
            </c:ext>
          </c:extLst>
        </c:ser>
        <c:ser>
          <c:idx val="5"/>
          <c:order val="5"/>
          <c:tx>
            <c:v>out/02</c:v>
          </c:tx>
          <c:spPr>
            <a:ln>
              <a:noFill/>
            </a:ln>
          </c:spPr>
          <c:marker>
            <c:symbol val="circle"/>
            <c:size val="5"/>
            <c:spPr>
              <a:noFill/>
            </c:spPr>
          </c:marker>
          <c:xVal>
            <c:numRef>
              <c:f>simples!$AB$4:$AB$1003</c:f>
              <c:numCache>
                <c:formatCode>General</c:formatCode>
                <c:ptCount val="100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</c:numCache>
            </c:numRef>
          </c:xVal>
          <c:yVal>
            <c:numRef>
              <c:f>simples!$AC$4:$AC$1003</c:f>
              <c:numCache>
                <c:formatCode>General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18.75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18.95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20.5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19.7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21.25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F9-489B-B39F-A42D56F506B0}"/>
            </c:ext>
          </c:extLst>
        </c:ser>
        <c:ser>
          <c:idx val="6"/>
          <c:order val="6"/>
          <c:tx>
            <c:v>out/03</c:v>
          </c:tx>
          <c:spPr>
            <a:ln>
              <a:noFill/>
            </a:ln>
          </c:spPr>
          <c:marker>
            <c:symbol val="circle"/>
            <c:size val="5"/>
            <c:spPr>
              <a:noFill/>
            </c:spPr>
          </c:marker>
          <c:xVal>
            <c:numRef>
              <c:f>simples!$AD$4:$AD$1003</c:f>
              <c:numCache>
                <c:formatCode>General</c:formatCode>
                <c:ptCount val="100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3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</c:numCache>
            </c:numRef>
          </c:xVal>
          <c:yVal>
            <c:numRef>
              <c:f>simples!$AE$4:$AE$1003</c:f>
              <c:numCache>
                <c:formatCode>General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16.98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17.12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17.38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17.600000000000001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17.22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16.88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17.52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17.579999999999998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6F9-489B-B39F-A42D56F506B0}"/>
            </c:ext>
          </c:extLst>
        </c:ser>
        <c:ser>
          <c:idx val="7"/>
          <c:order val="7"/>
          <c:tx>
            <c:v>out/04</c:v>
          </c:tx>
          <c:spPr>
            <a:ln>
              <a:noFill/>
            </a:ln>
          </c:spPr>
          <c:marker>
            <c:symbol val="circle"/>
            <c:size val="5"/>
            <c:spPr>
              <a:noFill/>
            </c:spPr>
          </c:marker>
          <c:xVal>
            <c:numRef>
              <c:f>simples!$AF$4:$AF$1003</c:f>
              <c:numCache>
                <c:formatCode>General</c:formatCode>
                <c:ptCount val="100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4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4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4</c:v>
                </c:pt>
                <c:pt idx="471">
                  <c:v>4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4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4</c:v>
                </c:pt>
                <c:pt idx="498">
                  <c:v>4</c:v>
                </c:pt>
                <c:pt idx="499">
                  <c:v>4</c:v>
                </c:pt>
                <c:pt idx="500">
                  <c:v>4</c:v>
                </c:pt>
                <c:pt idx="501">
                  <c:v>4</c:v>
                </c:pt>
                <c:pt idx="502">
                  <c:v>4</c:v>
                </c:pt>
                <c:pt idx="503">
                  <c:v>4</c:v>
                </c:pt>
                <c:pt idx="504">
                  <c:v>4</c:v>
                </c:pt>
                <c:pt idx="505">
                  <c:v>4</c:v>
                </c:pt>
                <c:pt idx="506">
                  <c:v>4</c:v>
                </c:pt>
                <c:pt idx="507">
                  <c:v>4</c:v>
                </c:pt>
                <c:pt idx="508">
                  <c:v>4</c:v>
                </c:pt>
                <c:pt idx="509">
                  <c:v>4</c:v>
                </c:pt>
                <c:pt idx="510">
                  <c:v>4</c:v>
                </c:pt>
                <c:pt idx="511">
                  <c:v>4</c:v>
                </c:pt>
                <c:pt idx="512">
                  <c:v>4</c:v>
                </c:pt>
                <c:pt idx="513">
                  <c:v>4</c:v>
                </c:pt>
                <c:pt idx="514">
                  <c:v>4</c:v>
                </c:pt>
                <c:pt idx="515">
                  <c:v>4</c:v>
                </c:pt>
                <c:pt idx="516">
                  <c:v>4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4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4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4</c:v>
                </c:pt>
                <c:pt idx="538">
                  <c:v>4</c:v>
                </c:pt>
                <c:pt idx="539">
                  <c:v>4</c:v>
                </c:pt>
                <c:pt idx="540">
                  <c:v>4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4</c:v>
                </c:pt>
                <c:pt idx="573">
                  <c:v>4</c:v>
                </c:pt>
                <c:pt idx="574">
                  <c:v>4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4</c:v>
                </c:pt>
                <c:pt idx="593">
                  <c:v>4</c:v>
                </c:pt>
                <c:pt idx="594">
                  <c:v>4</c:v>
                </c:pt>
                <c:pt idx="595">
                  <c:v>4</c:v>
                </c:pt>
                <c:pt idx="596">
                  <c:v>4</c:v>
                </c:pt>
                <c:pt idx="597">
                  <c:v>4</c:v>
                </c:pt>
                <c:pt idx="598">
                  <c:v>4</c:v>
                </c:pt>
                <c:pt idx="599">
                  <c:v>4</c:v>
                </c:pt>
                <c:pt idx="600">
                  <c:v>4</c:v>
                </c:pt>
                <c:pt idx="601">
                  <c:v>4</c:v>
                </c:pt>
                <c:pt idx="602">
                  <c:v>4</c:v>
                </c:pt>
                <c:pt idx="603">
                  <c:v>4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4</c:v>
                </c:pt>
                <c:pt idx="612">
                  <c:v>4</c:v>
                </c:pt>
                <c:pt idx="613">
                  <c:v>4</c:v>
                </c:pt>
                <c:pt idx="614">
                  <c:v>4</c:v>
                </c:pt>
                <c:pt idx="615">
                  <c:v>4</c:v>
                </c:pt>
                <c:pt idx="616">
                  <c:v>4</c:v>
                </c:pt>
                <c:pt idx="617">
                  <c:v>4</c:v>
                </c:pt>
                <c:pt idx="618">
                  <c:v>4</c:v>
                </c:pt>
                <c:pt idx="619">
                  <c:v>4</c:v>
                </c:pt>
                <c:pt idx="620">
                  <c:v>4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4</c:v>
                </c:pt>
                <c:pt idx="626">
                  <c:v>4</c:v>
                </c:pt>
                <c:pt idx="627">
                  <c:v>4</c:v>
                </c:pt>
                <c:pt idx="628">
                  <c:v>4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4</c:v>
                </c:pt>
                <c:pt idx="634">
                  <c:v>4</c:v>
                </c:pt>
                <c:pt idx="635">
                  <c:v>4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4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4</c:v>
                </c:pt>
                <c:pt idx="644">
                  <c:v>4</c:v>
                </c:pt>
                <c:pt idx="645">
                  <c:v>4</c:v>
                </c:pt>
                <c:pt idx="646">
                  <c:v>4</c:v>
                </c:pt>
                <c:pt idx="647">
                  <c:v>4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4</c:v>
                </c:pt>
                <c:pt idx="653">
                  <c:v>4</c:v>
                </c:pt>
                <c:pt idx="654">
                  <c:v>4</c:v>
                </c:pt>
                <c:pt idx="655">
                  <c:v>4</c:v>
                </c:pt>
                <c:pt idx="656">
                  <c:v>4</c:v>
                </c:pt>
                <c:pt idx="657">
                  <c:v>4</c:v>
                </c:pt>
                <c:pt idx="658">
                  <c:v>4</c:v>
                </c:pt>
                <c:pt idx="659">
                  <c:v>4</c:v>
                </c:pt>
                <c:pt idx="660">
                  <c:v>4</c:v>
                </c:pt>
                <c:pt idx="661">
                  <c:v>4</c:v>
                </c:pt>
                <c:pt idx="662">
                  <c:v>4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4</c:v>
                </c:pt>
                <c:pt idx="668">
                  <c:v>4</c:v>
                </c:pt>
                <c:pt idx="669">
                  <c:v>4</c:v>
                </c:pt>
                <c:pt idx="670">
                  <c:v>4</c:v>
                </c:pt>
                <c:pt idx="671">
                  <c:v>4</c:v>
                </c:pt>
                <c:pt idx="672">
                  <c:v>4</c:v>
                </c:pt>
                <c:pt idx="673">
                  <c:v>4</c:v>
                </c:pt>
                <c:pt idx="674">
                  <c:v>4</c:v>
                </c:pt>
                <c:pt idx="675">
                  <c:v>4</c:v>
                </c:pt>
                <c:pt idx="676">
                  <c:v>4</c:v>
                </c:pt>
                <c:pt idx="677">
                  <c:v>4</c:v>
                </c:pt>
                <c:pt idx="678">
                  <c:v>4</c:v>
                </c:pt>
                <c:pt idx="679">
                  <c:v>4</c:v>
                </c:pt>
                <c:pt idx="680">
                  <c:v>4</c:v>
                </c:pt>
                <c:pt idx="681">
                  <c:v>4</c:v>
                </c:pt>
                <c:pt idx="682">
                  <c:v>4</c:v>
                </c:pt>
                <c:pt idx="683">
                  <c:v>4</c:v>
                </c:pt>
                <c:pt idx="684">
                  <c:v>4</c:v>
                </c:pt>
                <c:pt idx="685">
                  <c:v>4</c:v>
                </c:pt>
                <c:pt idx="686">
                  <c:v>4</c:v>
                </c:pt>
                <c:pt idx="687">
                  <c:v>4</c:v>
                </c:pt>
                <c:pt idx="688">
                  <c:v>4</c:v>
                </c:pt>
                <c:pt idx="689">
                  <c:v>4</c:v>
                </c:pt>
                <c:pt idx="690">
                  <c:v>4</c:v>
                </c:pt>
                <c:pt idx="691">
                  <c:v>4</c:v>
                </c:pt>
                <c:pt idx="692">
                  <c:v>4</c:v>
                </c:pt>
                <c:pt idx="693">
                  <c:v>4</c:v>
                </c:pt>
                <c:pt idx="694">
                  <c:v>4</c:v>
                </c:pt>
                <c:pt idx="695">
                  <c:v>4</c:v>
                </c:pt>
                <c:pt idx="696">
                  <c:v>4</c:v>
                </c:pt>
                <c:pt idx="697">
                  <c:v>4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4</c:v>
                </c:pt>
                <c:pt idx="702">
                  <c:v>4</c:v>
                </c:pt>
                <c:pt idx="703">
                  <c:v>4</c:v>
                </c:pt>
                <c:pt idx="704">
                  <c:v>4</c:v>
                </c:pt>
                <c:pt idx="705">
                  <c:v>4</c:v>
                </c:pt>
                <c:pt idx="706">
                  <c:v>4</c:v>
                </c:pt>
                <c:pt idx="707">
                  <c:v>4</c:v>
                </c:pt>
                <c:pt idx="708">
                  <c:v>4</c:v>
                </c:pt>
                <c:pt idx="709">
                  <c:v>4</c:v>
                </c:pt>
                <c:pt idx="710">
                  <c:v>4</c:v>
                </c:pt>
                <c:pt idx="711">
                  <c:v>4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4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4</c:v>
                </c:pt>
                <c:pt idx="746">
                  <c:v>4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4</c:v>
                </c:pt>
                <c:pt idx="756">
                  <c:v>4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4</c:v>
                </c:pt>
                <c:pt idx="761">
                  <c:v>4</c:v>
                </c:pt>
                <c:pt idx="762">
                  <c:v>4</c:v>
                </c:pt>
                <c:pt idx="763">
                  <c:v>4</c:v>
                </c:pt>
                <c:pt idx="764">
                  <c:v>4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4</c:v>
                </c:pt>
                <c:pt idx="785">
                  <c:v>4</c:v>
                </c:pt>
                <c:pt idx="786">
                  <c:v>4</c:v>
                </c:pt>
                <c:pt idx="787">
                  <c:v>4</c:v>
                </c:pt>
                <c:pt idx="788">
                  <c:v>4</c:v>
                </c:pt>
                <c:pt idx="789">
                  <c:v>4</c:v>
                </c:pt>
                <c:pt idx="790">
                  <c:v>4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4</c:v>
                </c:pt>
                <c:pt idx="798">
                  <c:v>4</c:v>
                </c:pt>
                <c:pt idx="799">
                  <c:v>4</c:v>
                </c:pt>
                <c:pt idx="800">
                  <c:v>4</c:v>
                </c:pt>
                <c:pt idx="801">
                  <c:v>4</c:v>
                </c:pt>
                <c:pt idx="802">
                  <c:v>4</c:v>
                </c:pt>
                <c:pt idx="803">
                  <c:v>4</c:v>
                </c:pt>
                <c:pt idx="804">
                  <c:v>4</c:v>
                </c:pt>
                <c:pt idx="805">
                  <c:v>4</c:v>
                </c:pt>
                <c:pt idx="806">
                  <c:v>4</c:v>
                </c:pt>
                <c:pt idx="807">
                  <c:v>4</c:v>
                </c:pt>
                <c:pt idx="808">
                  <c:v>4</c:v>
                </c:pt>
                <c:pt idx="809">
                  <c:v>4</c:v>
                </c:pt>
                <c:pt idx="810">
                  <c:v>4</c:v>
                </c:pt>
                <c:pt idx="811">
                  <c:v>4</c:v>
                </c:pt>
                <c:pt idx="812">
                  <c:v>4</c:v>
                </c:pt>
                <c:pt idx="813">
                  <c:v>4</c:v>
                </c:pt>
                <c:pt idx="814">
                  <c:v>4</c:v>
                </c:pt>
                <c:pt idx="815">
                  <c:v>4</c:v>
                </c:pt>
                <c:pt idx="816">
                  <c:v>4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4</c:v>
                </c:pt>
                <c:pt idx="821">
                  <c:v>4</c:v>
                </c:pt>
                <c:pt idx="822">
                  <c:v>4</c:v>
                </c:pt>
                <c:pt idx="823">
                  <c:v>4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</c:v>
                </c:pt>
                <c:pt idx="830">
                  <c:v>4</c:v>
                </c:pt>
                <c:pt idx="831">
                  <c:v>4</c:v>
                </c:pt>
                <c:pt idx="832">
                  <c:v>4</c:v>
                </c:pt>
                <c:pt idx="833">
                  <c:v>4</c:v>
                </c:pt>
                <c:pt idx="834">
                  <c:v>4</c:v>
                </c:pt>
                <c:pt idx="835">
                  <c:v>4</c:v>
                </c:pt>
                <c:pt idx="836">
                  <c:v>4</c:v>
                </c:pt>
                <c:pt idx="837">
                  <c:v>4</c:v>
                </c:pt>
                <c:pt idx="838">
                  <c:v>4</c:v>
                </c:pt>
                <c:pt idx="839">
                  <c:v>4</c:v>
                </c:pt>
                <c:pt idx="840">
                  <c:v>4</c:v>
                </c:pt>
                <c:pt idx="841">
                  <c:v>4</c:v>
                </c:pt>
                <c:pt idx="842">
                  <c:v>4</c:v>
                </c:pt>
                <c:pt idx="843">
                  <c:v>4</c:v>
                </c:pt>
                <c:pt idx="844">
                  <c:v>4</c:v>
                </c:pt>
                <c:pt idx="845">
                  <c:v>4</c:v>
                </c:pt>
                <c:pt idx="846">
                  <c:v>4</c:v>
                </c:pt>
                <c:pt idx="847">
                  <c:v>4</c:v>
                </c:pt>
                <c:pt idx="848">
                  <c:v>4</c:v>
                </c:pt>
                <c:pt idx="849">
                  <c:v>4</c:v>
                </c:pt>
                <c:pt idx="850">
                  <c:v>4</c:v>
                </c:pt>
                <c:pt idx="851">
                  <c:v>4</c:v>
                </c:pt>
                <c:pt idx="852">
                  <c:v>4</c:v>
                </c:pt>
                <c:pt idx="853">
                  <c:v>4</c:v>
                </c:pt>
                <c:pt idx="854">
                  <c:v>4</c:v>
                </c:pt>
                <c:pt idx="855">
                  <c:v>4</c:v>
                </c:pt>
                <c:pt idx="856">
                  <c:v>4</c:v>
                </c:pt>
                <c:pt idx="857">
                  <c:v>4</c:v>
                </c:pt>
                <c:pt idx="858">
                  <c:v>4</c:v>
                </c:pt>
                <c:pt idx="859">
                  <c:v>4</c:v>
                </c:pt>
                <c:pt idx="860">
                  <c:v>4</c:v>
                </c:pt>
                <c:pt idx="861">
                  <c:v>4</c:v>
                </c:pt>
                <c:pt idx="862">
                  <c:v>4</c:v>
                </c:pt>
                <c:pt idx="863">
                  <c:v>4</c:v>
                </c:pt>
                <c:pt idx="864">
                  <c:v>4</c:v>
                </c:pt>
                <c:pt idx="865">
                  <c:v>4</c:v>
                </c:pt>
                <c:pt idx="866">
                  <c:v>4</c:v>
                </c:pt>
                <c:pt idx="867">
                  <c:v>4</c:v>
                </c:pt>
                <c:pt idx="868">
                  <c:v>4</c:v>
                </c:pt>
                <c:pt idx="869">
                  <c:v>4</c:v>
                </c:pt>
                <c:pt idx="870">
                  <c:v>4</c:v>
                </c:pt>
                <c:pt idx="871">
                  <c:v>4</c:v>
                </c:pt>
                <c:pt idx="872">
                  <c:v>4</c:v>
                </c:pt>
                <c:pt idx="873">
                  <c:v>4</c:v>
                </c:pt>
                <c:pt idx="874">
                  <c:v>4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4</c:v>
                </c:pt>
                <c:pt idx="879">
                  <c:v>4</c:v>
                </c:pt>
                <c:pt idx="880">
                  <c:v>4</c:v>
                </c:pt>
                <c:pt idx="881">
                  <c:v>4</c:v>
                </c:pt>
                <c:pt idx="882">
                  <c:v>4</c:v>
                </c:pt>
                <c:pt idx="883">
                  <c:v>4</c:v>
                </c:pt>
                <c:pt idx="884">
                  <c:v>4</c:v>
                </c:pt>
                <c:pt idx="885">
                  <c:v>4</c:v>
                </c:pt>
                <c:pt idx="886">
                  <c:v>4</c:v>
                </c:pt>
                <c:pt idx="887">
                  <c:v>4</c:v>
                </c:pt>
                <c:pt idx="888">
                  <c:v>4</c:v>
                </c:pt>
                <c:pt idx="889">
                  <c:v>4</c:v>
                </c:pt>
                <c:pt idx="890">
                  <c:v>4</c:v>
                </c:pt>
                <c:pt idx="891">
                  <c:v>4</c:v>
                </c:pt>
                <c:pt idx="892">
                  <c:v>4</c:v>
                </c:pt>
                <c:pt idx="893">
                  <c:v>4</c:v>
                </c:pt>
                <c:pt idx="894">
                  <c:v>4</c:v>
                </c:pt>
                <c:pt idx="895">
                  <c:v>4</c:v>
                </c:pt>
                <c:pt idx="896">
                  <c:v>4</c:v>
                </c:pt>
                <c:pt idx="897">
                  <c:v>4</c:v>
                </c:pt>
                <c:pt idx="898">
                  <c:v>4</c:v>
                </c:pt>
                <c:pt idx="899">
                  <c:v>4</c:v>
                </c:pt>
                <c:pt idx="900">
                  <c:v>4</c:v>
                </c:pt>
                <c:pt idx="901">
                  <c:v>4</c:v>
                </c:pt>
                <c:pt idx="902">
                  <c:v>4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4</c:v>
                </c:pt>
                <c:pt idx="907">
                  <c:v>4</c:v>
                </c:pt>
                <c:pt idx="908">
                  <c:v>4</c:v>
                </c:pt>
                <c:pt idx="909">
                  <c:v>4</c:v>
                </c:pt>
                <c:pt idx="910">
                  <c:v>4</c:v>
                </c:pt>
                <c:pt idx="911">
                  <c:v>4</c:v>
                </c:pt>
                <c:pt idx="912">
                  <c:v>4</c:v>
                </c:pt>
                <c:pt idx="913">
                  <c:v>4</c:v>
                </c:pt>
                <c:pt idx="914">
                  <c:v>4</c:v>
                </c:pt>
                <c:pt idx="915">
                  <c:v>4</c:v>
                </c:pt>
                <c:pt idx="916">
                  <c:v>4</c:v>
                </c:pt>
                <c:pt idx="917">
                  <c:v>4</c:v>
                </c:pt>
                <c:pt idx="918">
                  <c:v>4</c:v>
                </c:pt>
                <c:pt idx="919">
                  <c:v>4</c:v>
                </c:pt>
                <c:pt idx="920">
                  <c:v>4</c:v>
                </c:pt>
                <c:pt idx="921">
                  <c:v>4</c:v>
                </c:pt>
                <c:pt idx="922">
                  <c:v>4</c:v>
                </c:pt>
                <c:pt idx="923">
                  <c:v>4</c:v>
                </c:pt>
                <c:pt idx="924">
                  <c:v>4</c:v>
                </c:pt>
                <c:pt idx="925">
                  <c:v>4</c:v>
                </c:pt>
                <c:pt idx="926">
                  <c:v>4</c:v>
                </c:pt>
                <c:pt idx="927">
                  <c:v>4</c:v>
                </c:pt>
                <c:pt idx="928">
                  <c:v>4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4</c:v>
                </c:pt>
                <c:pt idx="936">
                  <c:v>4</c:v>
                </c:pt>
                <c:pt idx="937">
                  <c:v>4</c:v>
                </c:pt>
                <c:pt idx="938">
                  <c:v>4</c:v>
                </c:pt>
                <c:pt idx="939">
                  <c:v>4</c:v>
                </c:pt>
                <c:pt idx="940">
                  <c:v>4</c:v>
                </c:pt>
                <c:pt idx="941">
                  <c:v>4</c:v>
                </c:pt>
                <c:pt idx="942">
                  <c:v>4</c:v>
                </c:pt>
                <c:pt idx="943">
                  <c:v>4</c:v>
                </c:pt>
                <c:pt idx="944">
                  <c:v>4</c:v>
                </c:pt>
                <c:pt idx="945">
                  <c:v>4</c:v>
                </c:pt>
                <c:pt idx="946">
                  <c:v>4</c:v>
                </c:pt>
                <c:pt idx="947">
                  <c:v>4</c:v>
                </c:pt>
                <c:pt idx="948">
                  <c:v>4</c:v>
                </c:pt>
                <c:pt idx="949">
                  <c:v>4</c:v>
                </c:pt>
                <c:pt idx="950">
                  <c:v>4</c:v>
                </c:pt>
                <c:pt idx="951">
                  <c:v>4</c:v>
                </c:pt>
                <c:pt idx="952">
                  <c:v>4</c:v>
                </c:pt>
                <c:pt idx="953">
                  <c:v>4</c:v>
                </c:pt>
                <c:pt idx="954">
                  <c:v>4</c:v>
                </c:pt>
                <c:pt idx="955">
                  <c:v>4</c:v>
                </c:pt>
                <c:pt idx="956">
                  <c:v>4</c:v>
                </c:pt>
                <c:pt idx="957">
                  <c:v>4</c:v>
                </c:pt>
                <c:pt idx="958">
                  <c:v>4</c:v>
                </c:pt>
                <c:pt idx="959">
                  <c:v>4</c:v>
                </c:pt>
                <c:pt idx="960">
                  <c:v>4</c:v>
                </c:pt>
                <c:pt idx="961">
                  <c:v>4</c:v>
                </c:pt>
                <c:pt idx="962">
                  <c:v>4</c:v>
                </c:pt>
                <c:pt idx="963">
                  <c:v>4</c:v>
                </c:pt>
                <c:pt idx="964">
                  <c:v>4</c:v>
                </c:pt>
                <c:pt idx="965">
                  <c:v>4</c:v>
                </c:pt>
                <c:pt idx="966">
                  <c:v>4</c:v>
                </c:pt>
                <c:pt idx="967">
                  <c:v>4</c:v>
                </c:pt>
                <c:pt idx="968">
                  <c:v>4</c:v>
                </c:pt>
                <c:pt idx="969">
                  <c:v>4</c:v>
                </c:pt>
                <c:pt idx="970">
                  <c:v>4</c:v>
                </c:pt>
                <c:pt idx="971">
                  <c:v>4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4</c:v>
                </c:pt>
                <c:pt idx="976">
                  <c:v>4</c:v>
                </c:pt>
                <c:pt idx="977">
                  <c:v>4</c:v>
                </c:pt>
                <c:pt idx="978">
                  <c:v>4</c:v>
                </c:pt>
                <c:pt idx="979">
                  <c:v>4</c:v>
                </c:pt>
                <c:pt idx="980">
                  <c:v>4</c:v>
                </c:pt>
                <c:pt idx="981">
                  <c:v>4</c:v>
                </c:pt>
                <c:pt idx="982">
                  <c:v>4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4</c:v>
                </c:pt>
                <c:pt idx="987">
                  <c:v>4</c:v>
                </c:pt>
                <c:pt idx="988">
                  <c:v>4</c:v>
                </c:pt>
                <c:pt idx="989">
                  <c:v>4</c:v>
                </c:pt>
                <c:pt idx="990">
                  <c:v>4</c:v>
                </c:pt>
                <c:pt idx="991">
                  <c:v>4</c:v>
                </c:pt>
                <c:pt idx="992">
                  <c:v>4</c:v>
                </c:pt>
                <c:pt idx="993">
                  <c:v>4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4</c:v>
                </c:pt>
                <c:pt idx="999">
                  <c:v>4</c:v>
                </c:pt>
              </c:numCache>
            </c:numRef>
          </c:xVal>
          <c:yVal>
            <c:numRef>
              <c:f>simples!$AG$4:$AG$1003</c:f>
              <c:numCache>
                <c:formatCode>General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16.100000000000001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15.95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16.12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16.34</c:v>
                </c:pt>
                <c:pt idx="696">
                  <c:v>#N/A</c:v>
                </c:pt>
                <c:pt idx="697">
                  <c:v>12.09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15.97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11.94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12.17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16.32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F9-489B-B39F-A42D56F50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950040"/>
        <c:axId val="372954352"/>
      </c:scatterChart>
      <c:valAx>
        <c:axId val="372950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crossAx val="372954352"/>
        <c:crosses val="autoZero"/>
        <c:crossBetween val="midCat"/>
      </c:valAx>
      <c:valAx>
        <c:axId val="372954352"/>
        <c:scaling>
          <c:orientation val="minMax"/>
          <c:max val="24"/>
          <c:min val="6"/>
        </c:scaling>
        <c:delete val="0"/>
        <c:axPos val="l"/>
        <c:majorGridlines>
          <c:spPr>
            <a:ln>
              <a:solidFill>
                <a:schemeClr val="tx1"/>
              </a:solidFill>
              <a:prstDash val="dash"/>
            </a:ln>
          </c:spPr>
        </c:majorGridlines>
        <c:numFmt formatCode="General" sourceLinked="1"/>
        <c:majorTickMark val="out"/>
        <c:minorTickMark val="none"/>
        <c:tickLblPos val="nextTo"/>
        <c:crossAx val="372950040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marker>
            <c:symbol val="none"/>
          </c:marker>
          <c:xVal>
            <c:numRef>
              <c:f>estratificada!$X$3:$X$22</c:f>
              <c:numCache>
                <c:formatCode>General</c:formatCode>
                <c:ptCount val="20"/>
                <c:pt idx="0">
                  <c:v>0.75</c:v>
                </c:pt>
                <c:pt idx="1">
                  <c:v>1</c:v>
                </c:pt>
                <c:pt idx="2">
                  <c:v>1</c:v>
                </c:pt>
                <c:pt idx="3">
                  <c:v>0.75</c:v>
                </c:pt>
                <c:pt idx="4">
                  <c:v>0.75</c:v>
                </c:pt>
                <c:pt idx="5">
                  <c:v>1.25</c:v>
                </c:pt>
                <c:pt idx="6">
                  <c:v>1.25</c:v>
                </c:pt>
                <c:pt idx="7">
                  <c:v>1</c:v>
                </c:pt>
                <c:pt idx="8">
                  <c:v>1</c:v>
                </c:pt>
                <c:pt idx="9">
                  <c:v>1.25</c:v>
                </c:pt>
                <c:pt idx="10">
                  <c:v>0.75</c:v>
                </c:pt>
                <c:pt idx="11">
                  <c:v>1</c:v>
                </c:pt>
                <c:pt idx="12">
                  <c:v>1</c:v>
                </c:pt>
                <c:pt idx="13">
                  <c:v>0.75</c:v>
                </c:pt>
                <c:pt idx="14">
                  <c:v>0.75</c:v>
                </c:pt>
                <c:pt idx="15">
                  <c:v>1.25</c:v>
                </c:pt>
                <c:pt idx="16">
                  <c:v>1.25</c:v>
                </c:pt>
                <c:pt idx="17">
                  <c:v>1</c:v>
                </c:pt>
                <c:pt idx="18">
                  <c:v>1</c:v>
                </c:pt>
                <c:pt idx="19">
                  <c:v>1.25</c:v>
                </c:pt>
              </c:numCache>
            </c:numRef>
          </c:xVal>
          <c:yVal>
            <c:numRef>
              <c:f>estratificada!$Y$3:$Y$22</c:f>
              <c:numCache>
                <c:formatCode>General</c:formatCode>
                <c:ptCount val="20"/>
                <c:pt idx="0">
                  <c:v>16.953749999999999</c:v>
                </c:pt>
                <c:pt idx="1">
                  <c:v>16.953749999999999</c:v>
                </c:pt>
                <c:pt idx="2">
                  <c:v>14.798125000000001</c:v>
                </c:pt>
                <c:pt idx="3">
                  <c:v>14.798125000000001</c:v>
                </c:pt>
                <c:pt idx="4">
                  <c:v>14.011875</c:v>
                </c:pt>
                <c:pt idx="5">
                  <c:v>14.011875</c:v>
                </c:pt>
                <c:pt idx="6">
                  <c:v>13.299687500000001</c:v>
                </c:pt>
                <c:pt idx="7">
                  <c:v>13.299687500000001</c:v>
                </c:pt>
                <c:pt idx="8">
                  <c:v>11.248749999999999</c:v>
                </c:pt>
                <c:pt idx="9">
                  <c:v>11.248749999999999</c:v>
                </c:pt>
                <c:pt idx="10">
                  <c:v>11.248749999999999</c:v>
                </c:pt>
                <c:pt idx="11">
                  <c:v>11.248749999999999</c:v>
                </c:pt>
                <c:pt idx="12">
                  <c:v>13.299687500000001</c:v>
                </c:pt>
                <c:pt idx="13">
                  <c:v>13.299687500000001</c:v>
                </c:pt>
                <c:pt idx="14">
                  <c:v>14.011875</c:v>
                </c:pt>
                <c:pt idx="15">
                  <c:v>14.011875</c:v>
                </c:pt>
                <c:pt idx="16">
                  <c:v>14.798125000000001</c:v>
                </c:pt>
                <c:pt idx="17">
                  <c:v>14.798125000000001</c:v>
                </c:pt>
                <c:pt idx="18">
                  <c:v>16.953749999999999</c:v>
                </c:pt>
                <c:pt idx="19">
                  <c:v>16.953749999999999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36-4950-80F5-EDAFC71D42DE}"/>
            </c:ext>
          </c:extLst>
        </c:ser>
        <c:ser>
          <c:idx val="1"/>
          <c:order val="1"/>
          <c:tx>
            <c:v>2</c:v>
          </c:tx>
          <c:marker>
            <c:symbol val="none"/>
          </c:marker>
          <c:xVal>
            <c:numRef>
              <c:f>estratificada!$Z$3:$Z$22</c:f>
              <c:numCache>
                <c:formatCode>General</c:formatCode>
                <c:ptCount val="20"/>
                <c:pt idx="0">
                  <c:v>1.75</c:v>
                </c:pt>
                <c:pt idx="1">
                  <c:v>2</c:v>
                </c:pt>
                <c:pt idx="2">
                  <c:v>2</c:v>
                </c:pt>
                <c:pt idx="3">
                  <c:v>1.75</c:v>
                </c:pt>
                <c:pt idx="4">
                  <c:v>1.75</c:v>
                </c:pt>
                <c:pt idx="5">
                  <c:v>2.25</c:v>
                </c:pt>
                <c:pt idx="6">
                  <c:v>2.25</c:v>
                </c:pt>
                <c:pt idx="7">
                  <c:v>2</c:v>
                </c:pt>
                <c:pt idx="8">
                  <c:v>2</c:v>
                </c:pt>
                <c:pt idx="9">
                  <c:v>2.25</c:v>
                </c:pt>
                <c:pt idx="10">
                  <c:v>1.75</c:v>
                </c:pt>
                <c:pt idx="11">
                  <c:v>2</c:v>
                </c:pt>
                <c:pt idx="12">
                  <c:v>2</c:v>
                </c:pt>
                <c:pt idx="13">
                  <c:v>1.75</c:v>
                </c:pt>
                <c:pt idx="14">
                  <c:v>1.75</c:v>
                </c:pt>
                <c:pt idx="15">
                  <c:v>2.25</c:v>
                </c:pt>
                <c:pt idx="16">
                  <c:v>2.25</c:v>
                </c:pt>
                <c:pt idx="17">
                  <c:v>2</c:v>
                </c:pt>
                <c:pt idx="18">
                  <c:v>2</c:v>
                </c:pt>
                <c:pt idx="19">
                  <c:v>2.25</c:v>
                </c:pt>
              </c:numCache>
            </c:numRef>
          </c:xVal>
          <c:yVal>
            <c:numRef>
              <c:f>estratificada!$AA$3:$AA$22</c:f>
              <c:numCache>
                <c:formatCode>General</c:formatCode>
                <c:ptCount val="20"/>
                <c:pt idx="0">
                  <c:v>15.90625</c:v>
                </c:pt>
                <c:pt idx="1">
                  <c:v>15.90625</c:v>
                </c:pt>
                <c:pt idx="2">
                  <c:v>14.5034375</c:v>
                </c:pt>
                <c:pt idx="3">
                  <c:v>14.5034375</c:v>
                </c:pt>
                <c:pt idx="4">
                  <c:v>14.0296875</c:v>
                </c:pt>
                <c:pt idx="5">
                  <c:v>14.0296875</c:v>
                </c:pt>
                <c:pt idx="6">
                  <c:v>13.55859375</c:v>
                </c:pt>
                <c:pt idx="7">
                  <c:v>13.55859375</c:v>
                </c:pt>
                <c:pt idx="8">
                  <c:v>12.19375</c:v>
                </c:pt>
                <c:pt idx="9">
                  <c:v>12.19375</c:v>
                </c:pt>
                <c:pt idx="10">
                  <c:v>12.19375</c:v>
                </c:pt>
                <c:pt idx="11">
                  <c:v>12.19375</c:v>
                </c:pt>
                <c:pt idx="12">
                  <c:v>13.55859375</c:v>
                </c:pt>
                <c:pt idx="13">
                  <c:v>13.55859375</c:v>
                </c:pt>
                <c:pt idx="14">
                  <c:v>14.0296875</c:v>
                </c:pt>
                <c:pt idx="15">
                  <c:v>14.0296875</c:v>
                </c:pt>
                <c:pt idx="16">
                  <c:v>14.5034375</c:v>
                </c:pt>
                <c:pt idx="17">
                  <c:v>14.5034375</c:v>
                </c:pt>
                <c:pt idx="18">
                  <c:v>15.90625</c:v>
                </c:pt>
                <c:pt idx="19">
                  <c:v>15.90625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6-4950-80F5-EDAFC71D42DE}"/>
            </c:ext>
          </c:extLst>
        </c:ser>
        <c:ser>
          <c:idx val="2"/>
          <c:order val="2"/>
          <c:tx>
            <c:v>3</c:v>
          </c:tx>
          <c:marker>
            <c:symbol val="none"/>
          </c:marker>
          <c:xVal>
            <c:numRef>
              <c:f>estratificada!$AB$3:$AB$22</c:f>
              <c:numCache>
                <c:formatCode>General</c:formatCode>
                <c:ptCount val="20"/>
                <c:pt idx="0">
                  <c:v>2.75</c:v>
                </c:pt>
                <c:pt idx="1">
                  <c:v>3</c:v>
                </c:pt>
                <c:pt idx="2">
                  <c:v>3</c:v>
                </c:pt>
                <c:pt idx="3">
                  <c:v>2.75</c:v>
                </c:pt>
                <c:pt idx="4">
                  <c:v>2.75</c:v>
                </c:pt>
                <c:pt idx="5">
                  <c:v>3.25</c:v>
                </c:pt>
                <c:pt idx="6">
                  <c:v>3.25</c:v>
                </c:pt>
                <c:pt idx="7">
                  <c:v>3</c:v>
                </c:pt>
                <c:pt idx="8">
                  <c:v>3</c:v>
                </c:pt>
                <c:pt idx="9">
                  <c:v>3.25</c:v>
                </c:pt>
                <c:pt idx="10">
                  <c:v>2.75</c:v>
                </c:pt>
                <c:pt idx="11">
                  <c:v>3</c:v>
                </c:pt>
                <c:pt idx="12">
                  <c:v>3</c:v>
                </c:pt>
                <c:pt idx="13">
                  <c:v>2.75</c:v>
                </c:pt>
                <c:pt idx="14">
                  <c:v>2.75</c:v>
                </c:pt>
                <c:pt idx="15">
                  <c:v>3.25</c:v>
                </c:pt>
                <c:pt idx="16">
                  <c:v>3.25</c:v>
                </c:pt>
                <c:pt idx="17">
                  <c:v>3</c:v>
                </c:pt>
                <c:pt idx="18">
                  <c:v>3</c:v>
                </c:pt>
                <c:pt idx="19">
                  <c:v>3.25</c:v>
                </c:pt>
              </c:numCache>
            </c:numRef>
          </c:xVal>
          <c:yVal>
            <c:numRef>
              <c:f>estratificada!$AC$3:$AC$22</c:f>
              <c:numCache>
                <c:formatCode>General</c:formatCode>
                <c:ptCount val="20"/>
                <c:pt idx="0">
                  <c:v>15.309458333333334</c:v>
                </c:pt>
                <c:pt idx="1">
                  <c:v>15.309458333333334</c:v>
                </c:pt>
                <c:pt idx="2">
                  <c:v>14.363538194444445</c:v>
                </c:pt>
                <c:pt idx="3">
                  <c:v>14.363538194444445</c:v>
                </c:pt>
                <c:pt idx="4">
                  <c:v>14.037590277777777</c:v>
                </c:pt>
                <c:pt idx="5">
                  <c:v>14.037590277777777</c:v>
                </c:pt>
                <c:pt idx="6">
                  <c:v>13.651034722222221</c:v>
                </c:pt>
                <c:pt idx="7">
                  <c:v>13.651034722222221</c:v>
                </c:pt>
                <c:pt idx="8">
                  <c:v>12.609097222222221</c:v>
                </c:pt>
                <c:pt idx="9">
                  <c:v>12.609097222222221</c:v>
                </c:pt>
                <c:pt idx="10">
                  <c:v>12.609097222222221</c:v>
                </c:pt>
                <c:pt idx="11">
                  <c:v>12.609097222222221</c:v>
                </c:pt>
                <c:pt idx="12">
                  <c:v>13.651034722222221</c:v>
                </c:pt>
                <c:pt idx="13">
                  <c:v>13.651034722222221</c:v>
                </c:pt>
                <c:pt idx="14">
                  <c:v>14.037590277777777</c:v>
                </c:pt>
                <c:pt idx="15">
                  <c:v>14.037590277777777</c:v>
                </c:pt>
                <c:pt idx="16">
                  <c:v>14.363538194444445</c:v>
                </c:pt>
                <c:pt idx="17">
                  <c:v>14.363538194444445</c:v>
                </c:pt>
                <c:pt idx="18">
                  <c:v>15.309458333333334</c:v>
                </c:pt>
                <c:pt idx="19">
                  <c:v>15.309458333333334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36-4950-80F5-EDAFC71D42DE}"/>
            </c:ext>
          </c:extLst>
        </c:ser>
        <c:ser>
          <c:idx val="3"/>
          <c:order val="3"/>
          <c:tx>
            <c:v>4</c:v>
          </c:tx>
          <c:marker>
            <c:symbol val="none"/>
          </c:marker>
          <c:xVal>
            <c:numRef>
              <c:f>estratificada!$AD$3:$AD$22</c:f>
              <c:numCache>
                <c:formatCode>General</c:formatCode>
                <c:ptCount val="20"/>
                <c:pt idx="0">
                  <c:v>3.75</c:v>
                </c:pt>
                <c:pt idx="1">
                  <c:v>4</c:v>
                </c:pt>
                <c:pt idx="2">
                  <c:v>4</c:v>
                </c:pt>
                <c:pt idx="3">
                  <c:v>3.75</c:v>
                </c:pt>
                <c:pt idx="4">
                  <c:v>3.75</c:v>
                </c:pt>
                <c:pt idx="5">
                  <c:v>4.25</c:v>
                </c:pt>
                <c:pt idx="6">
                  <c:v>4.25</c:v>
                </c:pt>
                <c:pt idx="7">
                  <c:v>4</c:v>
                </c:pt>
                <c:pt idx="8">
                  <c:v>4</c:v>
                </c:pt>
                <c:pt idx="9">
                  <c:v>4.25</c:v>
                </c:pt>
                <c:pt idx="10">
                  <c:v>3.75</c:v>
                </c:pt>
                <c:pt idx="11">
                  <c:v>4</c:v>
                </c:pt>
                <c:pt idx="12">
                  <c:v>4</c:v>
                </c:pt>
                <c:pt idx="13">
                  <c:v>3.75</c:v>
                </c:pt>
                <c:pt idx="14">
                  <c:v>3.75</c:v>
                </c:pt>
                <c:pt idx="15">
                  <c:v>4.25</c:v>
                </c:pt>
                <c:pt idx="16">
                  <c:v>4.25</c:v>
                </c:pt>
                <c:pt idx="17">
                  <c:v>4</c:v>
                </c:pt>
                <c:pt idx="18">
                  <c:v>4</c:v>
                </c:pt>
                <c:pt idx="19">
                  <c:v>4.25</c:v>
                </c:pt>
              </c:numCache>
            </c:numRef>
          </c:xVal>
          <c:yVal>
            <c:numRef>
              <c:f>estratificada!$AE$3:$AE$22</c:f>
              <c:numCache>
                <c:formatCode>General</c:formatCode>
                <c:ptCount val="20"/>
                <c:pt idx="0">
                  <c:v>14.873909722222223</c:v>
                </c:pt>
                <c:pt idx="1">
                  <c:v>14.873909722222223</c:v>
                </c:pt>
                <c:pt idx="2">
                  <c:v>14.2440625</c:v>
                </c:pt>
                <c:pt idx="3">
                  <c:v>14.2440625</c:v>
                </c:pt>
                <c:pt idx="4">
                  <c:v>14.021572916666667</c:v>
                </c:pt>
                <c:pt idx="5">
                  <c:v>14.021572916666667</c:v>
                </c:pt>
                <c:pt idx="6">
                  <c:v>13.78565451388889</c:v>
                </c:pt>
                <c:pt idx="7">
                  <c:v>13.78565451388889</c:v>
                </c:pt>
                <c:pt idx="8">
                  <c:v>13.131840277777778</c:v>
                </c:pt>
                <c:pt idx="9">
                  <c:v>13.131840277777778</c:v>
                </c:pt>
                <c:pt idx="10">
                  <c:v>13.131840277777778</c:v>
                </c:pt>
                <c:pt idx="11">
                  <c:v>13.131840277777778</c:v>
                </c:pt>
                <c:pt idx="12">
                  <c:v>13.78565451388889</c:v>
                </c:pt>
                <c:pt idx="13">
                  <c:v>13.78565451388889</c:v>
                </c:pt>
                <c:pt idx="14">
                  <c:v>14.021572916666667</c:v>
                </c:pt>
                <c:pt idx="15">
                  <c:v>14.021572916666667</c:v>
                </c:pt>
                <c:pt idx="16">
                  <c:v>14.2440625</c:v>
                </c:pt>
                <c:pt idx="17">
                  <c:v>14.2440625</c:v>
                </c:pt>
                <c:pt idx="18">
                  <c:v>14.873909722222223</c:v>
                </c:pt>
                <c:pt idx="19">
                  <c:v>14.873909722222223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6-4950-80F5-EDAFC71D42DE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5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estratificada!$AG$4:$AG$1003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xVal>
          <c:yVal>
            <c:numRef>
              <c:f>estratificada!$AH$4:$AH$1003</c:f>
              <c:numCache>
                <c:formatCode>General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10.703749999999999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17.4025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17.268750000000001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17.09375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36-4950-80F5-EDAFC71D42DE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5"/>
            <c:spPr>
              <a:noFill/>
            </c:spPr>
          </c:marker>
          <c:xVal>
            <c:numRef>
              <c:f>estratificada!$AI$4:$AI$1003</c:f>
              <c:numCache>
                <c:formatCode>General</c:formatCode>
                <c:ptCount val="100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</c:numCache>
            </c:numRef>
          </c:xVal>
          <c:yVal>
            <c:numRef>
              <c:f>estratificada!$AJ$4:$AJ$1003</c:f>
              <c:numCache>
                <c:formatCode>General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15.984999999999999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11.988125</c:v>
                </c:pt>
                <c:pt idx="194">
                  <c:v>#N/A</c:v>
                </c:pt>
                <c:pt idx="195">
                  <c:v>16.793749999999999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12.06875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11.781874999999999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12.121874999999999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15.940625000000001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16.202500000000001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12.0025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16.419374999999999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12.0525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15.95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16.00375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16.433125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16.2775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16.151250000000001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12.0025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11.95</c:v>
                </c:pt>
                <c:pt idx="751">
                  <c:v>#N/A</c:v>
                </c:pt>
                <c:pt idx="752">
                  <c:v>#N/A</c:v>
                </c:pt>
                <c:pt idx="753">
                  <c:v>16.106874999999999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16.094999999999999</c:v>
                </c:pt>
                <c:pt idx="769">
                  <c:v>#N/A</c:v>
                </c:pt>
                <c:pt idx="770">
                  <c:v>16.140625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16.272500000000001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11.959375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11.813124999999999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11.805624999999999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36-4950-80F5-EDAFC71D42DE}"/>
            </c:ext>
          </c:extLst>
        </c:ser>
        <c:ser>
          <c:idx val="6"/>
          <c:order val="6"/>
          <c:tx>
            <c:v>out/03</c:v>
          </c:tx>
          <c:spPr>
            <a:ln>
              <a:noFill/>
            </a:ln>
          </c:spPr>
          <c:marker>
            <c:symbol val="circle"/>
            <c:size val="5"/>
            <c:spPr>
              <a:noFill/>
            </c:spPr>
          </c:marker>
          <c:xVal>
            <c:numRef>
              <c:f>estratificada!$AK$4:$AK$1003</c:f>
              <c:numCache>
                <c:formatCode>General</c:formatCode>
                <c:ptCount val="100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3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</c:numCache>
            </c:numRef>
          </c:xVal>
          <c:yVal>
            <c:numRef>
              <c:f>estratificada!$AL$4:$AL$1003</c:f>
              <c:numCache>
                <c:formatCode>General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15.465486111111112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15.572680555555557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12.461138888888888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336-4950-80F5-EDAFC71D42DE}"/>
            </c:ext>
          </c:extLst>
        </c:ser>
        <c:ser>
          <c:idx val="7"/>
          <c:order val="7"/>
          <c:tx>
            <c:v>out/04</c:v>
          </c:tx>
          <c:spPr>
            <a:ln>
              <a:noFill/>
            </a:ln>
          </c:spPr>
          <c:marker>
            <c:symbol val="circle"/>
            <c:size val="5"/>
            <c:spPr>
              <a:noFill/>
            </c:spPr>
          </c:marker>
          <c:xVal>
            <c:numRef>
              <c:f>estratificada!$AM$4:$AM$1003</c:f>
              <c:numCache>
                <c:formatCode>General</c:formatCode>
                <c:ptCount val="100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4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4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4</c:v>
                </c:pt>
                <c:pt idx="471">
                  <c:v>4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4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4</c:v>
                </c:pt>
                <c:pt idx="498">
                  <c:v>4</c:v>
                </c:pt>
                <c:pt idx="499">
                  <c:v>4</c:v>
                </c:pt>
                <c:pt idx="500">
                  <c:v>4</c:v>
                </c:pt>
                <c:pt idx="501">
                  <c:v>4</c:v>
                </c:pt>
                <c:pt idx="502">
                  <c:v>4</c:v>
                </c:pt>
                <c:pt idx="503">
                  <c:v>4</c:v>
                </c:pt>
                <c:pt idx="504">
                  <c:v>4</c:v>
                </c:pt>
                <c:pt idx="505">
                  <c:v>4</c:v>
                </c:pt>
                <c:pt idx="506">
                  <c:v>4</c:v>
                </c:pt>
                <c:pt idx="507">
                  <c:v>4</c:v>
                </c:pt>
                <c:pt idx="508">
                  <c:v>4</c:v>
                </c:pt>
                <c:pt idx="509">
                  <c:v>4</c:v>
                </c:pt>
                <c:pt idx="510">
                  <c:v>4</c:v>
                </c:pt>
                <c:pt idx="511">
                  <c:v>4</c:v>
                </c:pt>
                <c:pt idx="512">
                  <c:v>4</c:v>
                </c:pt>
                <c:pt idx="513">
                  <c:v>4</c:v>
                </c:pt>
                <c:pt idx="514">
                  <c:v>4</c:v>
                </c:pt>
                <c:pt idx="515">
                  <c:v>4</c:v>
                </c:pt>
                <c:pt idx="516">
                  <c:v>4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4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4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4</c:v>
                </c:pt>
                <c:pt idx="538">
                  <c:v>4</c:v>
                </c:pt>
                <c:pt idx="539">
                  <c:v>4</c:v>
                </c:pt>
                <c:pt idx="540">
                  <c:v>4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4</c:v>
                </c:pt>
                <c:pt idx="573">
                  <c:v>4</c:v>
                </c:pt>
                <c:pt idx="574">
                  <c:v>4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4</c:v>
                </c:pt>
                <c:pt idx="593">
                  <c:v>4</c:v>
                </c:pt>
                <c:pt idx="594">
                  <c:v>4</c:v>
                </c:pt>
                <c:pt idx="595">
                  <c:v>4</c:v>
                </c:pt>
                <c:pt idx="596">
                  <c:v>4</c:v>
                </c:pt>
                <c:pt idx="597">
                  <c:v>4</c:v>
                </c:pt>
                <c:pt idx="598">
                  <c:v>4</c:v>
                </c:pt>
                <c:pt idx="599">
                  <c:v>4</c:v>
                </c:pt>
                <c:pt idx="600">
                  <c:v>4</c:v>
                </c:pt>
                <c:pt idx="601">
                  <c:v>4</c:v>
                </c:pt>
                <c:pt idx="602">
                  <c:v>4</c:v>
                </c:pt>
                <c:pt idx="603">
                  <c:v>4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4</c:v>
                </c:pt>
                <c:pt idx="612">
                  <c:v>4</c:v>
                </c:pt>
                <c:pt idx="613">
                  <c:v>4</c:v>
                </c:pt>
                <c:pt idx="614">
                  <c:v>4</c:v>
                </c:pt>
                <c:pt idx="615">
                  <c:v>4</c:v>
                </c:pt>
                <c:pt idx="616">
                  <c:v>4</c:v>
                </c:pt>
                <c:pt idx="617">
                  <c:v>4</c:v>
                </c:pt>
                <c:pt idx="618">
                  <c:v>4</c:v>
                </c:pt>
                <c:pt idx="619">
                  <c:v>4</c:v>
                </c:pt>
                <c:pt idx="620">
                  <c:v>4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4</c:v>
                </c:pt>
                <c:pt idx="626">
                  <c:v>4</c:v>
                </c:pt>
                <c:pt idx="627">
                  <c:v>4</c:v>
                </c:pt>
                <c:pt idx="628">
                  <c:v>4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4</c:v>
                </c:pt>
                <c:pt idx="634">
                  <c:v>4</c:v>
                </c:pt>
                <c:pt idx="635">
                  <c:v>4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4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4</c:v>
                </c:pt>
                <c:pt idx="644">
                  <c:v>4</c:v>
                </c:pt>
                <c:pt idx="645">
                  <c:v>4</c:v>
                </c:pt>
                <c:pt idx="646">
                  <c:v>4</c:v>
                </c:pt>
                <c:pt idx="647">
                  <c:v>4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4</c:v>
                </c:pt>
                <c:pt idx="653">
                  <c:v>4</c:v>
                </c:pt>
                <c:pt idx="654">
                  <c:v>4</c:v>
                </c:pt>
                <c:pt idx="655">
                  <c:v>4</c:v>
                </c:pt>
                <c:pt idx="656">
                  <c:v>4</c:v>
                </c:pt>
                <c:pt idx="657">
                  <c:v>4</c:v>
                </c:pt>
                <c:pt idx="658">
                  <c:v>4</c:v>
                </c:pt>
                <c:pt idx="659">
                  <c:v>4</c:v>
                </c:pt>
                <c:pt idx="660">
                  <c:v>4</c:v>
                </c:pt>
                <c:pt idx="661">
                  <c:v>4</c:v>
                </c:pt>
                <c:pt idx="662">
                  <c:v>4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4</c:v>
                </c:pt>
                <c:pt idx="668">
                  <c:v>4</c:v>
                </c:pt>
                <c:pt idx="669">
                  <c:v>4</c:v>
                </c:pt>
                <c:pt idx="670">
                  <c:v>4</c:v>
                </c:pt>
                <c:pt idx="671">
                  <c:v>4</c:v>
                </c:pt>
                <c:pt idx="672">
                  <c:v>4</c:v>
                </c:pt>
                <c:pt idx="673">
                  <c:v>4</c:v>
                </c:pt>
                <c:pt idx="674">
                  <c:v>4</c:v>
                </c:pt>
                <c:pt idx="675">
                  <c:v>4</c:v>
                </c:pt>
                <c:pt idx="676">
                  <c:v>4</c:v>
                </c:pt>
                <c:pt idx="677">
                  <c:v>4</c:v>
                </c:pt>
                <c:pt idx="678">
                  <c:v>4</c:v>
                </c:pt>
                <c:pt idx="679">
                  <c:v>4</c:v>
                </c:pt>
                <c:pt idx="680">
                  <c:v>4</c:v>
                </c:pt>
                <c:pt idx="681">
                  <c:v>4</c:v>
                </c:pt>
                <c:pt idx="682">
                  <c:v>4</c:v>
                </c:pt>
                <c:pt idx="683">
                  <c:v>4</c:v>
                </c:pt>
                <c:pt idx="684">
                  <c:v>4</c:v>
                </c:pt>
                <c:pt idx="685">
                  <c:v>4</c:v>
                </c:pt>
                <c:pt idx="686">
                  <c:v>4</c:v>
                </c:pt>
                <c:pt idx="687">
                  <c:v>4</c:v>
                </c:pt>
                <c:pt idx="688">
                  <c:v>4</c:v>
                </c:pt>
                <c:pt idx="689">
                  <c:v>4</c:v>
                </c:pt>
                <c:pt idx="690">
                  <c:v>4</c:v>
                </c:pt>
                <c:pt idx="691">
                  <c:v>4</c:v>
                </c:pt>
                <c:pt idx="692">
                  <c:v>4</c:v>
                </c:pt>
                <c:pt idx="693">
                  <c:v>4</c:v>
                </c:pt>
                <c:pt idx="694">
                  <c:v>4</c:v>
                </c:pt>
                <c:pt idx="695">
                  <c:v>4</c:v>
                </c:pt>
                <c:pt idx="696">
                  <c:v>4</c:v>
                </c:pt>
                <c:pt idx="697">
                  <c:v>4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4</c:v>
                </c:pt>
                <c:pt idx="702">
                  <c:v>4</c:v>
                </c:pt>
                <c:pt idx="703">
                  <c:v>4</c:v>
                </c:pt>
                <c:pt idx="704">
                  <c:v>4</c:v>
                </c:pt>
                <c:pt idx="705">
                  <c:v>4</c:v>
                </c:pt>
                <c:pt idx="706">
                  <c:v>4</c:v>
                </c:pt>
                <c:pt idx="707">
                  <c:v>4</c:v>
                </c:pt>
                <c:pt idx="708">
                  <c:v>4</c:v>
                </c:pt>
                <c:pt idx="709">
                  <c:v>4</c:v>
                </c:pt>
                <c:pt idx="710">
                  <c:v>4</c:v>
                </c:pt>
                <c:pt idx="711">
                  <c:v>4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4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4</c:v>
                </c:pt>
                <c:pt idx="746">
                  <c:v>4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4</c:v>
                </c:pt>
                <c:pt idx="756">
                  <c:v>4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4</c:v>
                </c:pt>
                <c:pt idx="761">
                  <c:v>4</c:v>
                </c:pt>
                <c:pt idx="762">
                  <c:v>4</c:v>
                </c:pt>
                <c:pt idx="763">
                  <c:v>4</c:v>
                </c:pt>
                <c:pt idx="764">
                  <c:v>4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4</c:v>
                </c:pt>
                <c:pt idx="785">
                  <c:v>4</c:v>
                </c:pt>
                <c:pt idx="786">
                  <c:v>4</c:v>
                </c:pt>
                <c:pt idx="787">
                  <c:v>4</c:v>
                </c:pt>
                <c:pt idx="788">
                  <c:v>4</c:v>
                </c:pt>
                <c:pt idx="789">
                  <c:v>4</c:v>
                </c:pt>
                <c:pt idx="790">
                  <c:v>4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4</c:v>
                </c:pt>
                <c:pt idx="798">
                  <c:v>4</c:v>
                </c:pt>
                <c:pt idx="799">
                  <c:v>4</c:v>
                </c:pt>
                <c:pt idx="800">
                  <c:v>4</c:v>
                </c:pt>
                <c:pt idx="801">
                  <c:v>4</c:v>
                </c:pt>
                <c:pt idx="802">
                  <c:v>4</c:v>
                </c:pt>
                <c:pt idx="803">
                  <c:v>4</c:v>
                </c:pt>
                <c:pt idx="804">
                  <c:v>4</c:v>
                </c:pt>
                <c:pt idx="805">
                  <c:v>4</c:v>
                </c:pt>
                <c:pt idx="806">
                  <c:v>4</c:v>
                </c:pt>
                <c:pt idx="807">
                  <c:v>4</c:v>
                </c:pt>
                <c:pt idx="808">
                  <c:v>4</c:v>
                </c:pt>
                <c:pt idx="809">
                  <c:v>4</c:v>
                </c:pt>
                <c:pt idx="810">
                  <c:v>4</c:v>
                </c:pt>
                <c:pt idx="811">
                  <c:v>4</c:v>
                </c:pt>
                <c:pt idx="812">
                  <c:v>4</c:v>
                </c:pt>
                <c:pt idx="813">
                  <c:v>4</c:v>
                </c:pt>
                <c:pt idx="814">
                  <c:v>4</c:v>
                </c:pt>
                <c:pt idx="815">
                  <c:v>4</c:v>
                </c:pt>
                <c:pt idx="816">
                  <c:v>4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4</c:v>
                </c:pt>
                <c:pt idx="821">
                  <c:v>4</c:v>
                </c:pt>
                <c:pt idx="822">
                  <c:v>4</c:v>
                </c:pt>
                <c:pt idx="823">
                  <c:v>4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</c:v>
                </c:pt>
                <c:pt idx="830">
                  <c:v>4</c:v>
                </c:pt>
                <c:pt idx="831">
                  <c:v>4</c:v>
                </c:pt>
                <c:pt idx="832">
                  <c:v>4</c:v>
                </c:pt>
                <c:pt idx="833">
                  <c:v>4</c:v>
                </c:pt>
                <c:pt idx="834">
                  <c:v>4</c:v>
                </c:pt>
                <c:pt idx="835">
                  <c:v>4</c:v>
                </c:pt>
                <c:pt idx="836">
                  <c:v>4</c:v>
                </c:pt>
                <c:pt idx="837">
                  <c:v>4</c:v>
                </c:pt>
                <c:pt idx="838">
                  <c:v>4</c:v>
                </c:pt>
                <c:pt idx="839">
                  <c:v>4</c:v>
                </c:pt>
                <c:pt idx="840">
                  <c:v>4</c:v>
                </c:pt>
                <c:pt idx="841">
                  <c:v>4</c:v>
                </c:pt>
                <c:pt idx="842">
                  <c:v>4</c:v>
                </c:pt>
                <c:pt idx="843">
                  <c:v>4</c:v>
                </c:pt>
                <c:pt idx="844">
                  <c:v>4</c:v>
                </c:pt>
                <c:pt idx="845">
                  <c:v>4</c:v>
                </c:pt>
                <c:pt idx="846">
                  <c:v>4</c:v>
                </c:pt>
                <c:pt idx="847">
                  <c:v>4</c:v>
                </c:pt>
                <c:pt idx="848">
                  <c:v>4</c:v>
                </c:pt>
                <c:pt idx="849">
                  <c:v>4</c:v>
                </c:pt>
                <c:pt idx="850">
                  <c:v>4</c:v>
                </c:pt>
                <c:pt idx="851">
                  <c:v>4</c:v>
                </c:pt>
                <c:pt idx="852">
                  <c:v>4</c:v>
                </c:pt>
                <c:pt idx="853">
                  <c:v>4</c:v>
                </c:pt>
                <c:pt idx="854">
                  <c:v>4</c:v>
                </c:pt>
                <c:pt idx="855">
                  <c:v>4</c:v>
                </c:pt>
                <c:pt idx="856">
                  <c:v>4</c:v>
                </c:pt>
                <c:pt idx="857">
                  <c:v>4</c:v>
                </c:pt>
                <c:pt idx="858">
                  <c:v>4</c:v>
                </c:pt>
                <c:pt idx="859">
                  <c:v>4</c:v>
                </c:pt>
                <c:pt idx="860">
                  <c:v>4</c:v>
                </c:pt>
                <c:pt idx="861">
                  <c:v>4</c:v>
                </c:pt>
                <c:pt idx="862">
                  <c:v>4</c:v>
                </c:pt>
                <c:pt idx="863">
                  <c:v>4</c:v>
                </c:pt>
                <c:pt idx="864">
                  <c:v>4</c:v>
                </c:pt>
                <c:pt idx="865">
                  <c:v>4</c:v>
                </c:pt>
                <c:pt idx="866">
                  <c:v>4</c:v>
                </c:pt>
                <c:pt idx="867">
                  <c:v>4</c:v>
                </c:pt>
                <c:pt idx="868">
                  <c:v>4</c:v>
                </c:pt>
                <c:pt idx="869">
                  <c:v>4</c:v>
                </c:pt>
                <c:pt idx="870">
                  <c:v>4</c:v>
                </c:pt>
                <c:pt idx="871">
                  <c:v>4</c:v>
                </c:pt>
                <c:pt idx="872">
                  <c:v>4</c:v>
                </c:pt>
                <c:pt idx="873">
                  <c:v>4</c:v>
                </c:pt>
                <c:pt idx="874">
                  <c:v>4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4</c:v>
                </c:pt>
                <c:pt idx="879">
                  <c:v>4</c:v>
                </c:pt>
                <c:pt idx="880">
                  <c:v>4</c:v>
                </c:pt>
                <c:pt idx="881">
                  <c:v>4</c:v>
                </c:pt>
                <c:pt idx="882">
                  <c:v>4</c:v>
                </c:pt>
                <c:pt idx="883">
                  <c:v>4</c:v>
                </c:pt>
                <c:pt idx="884">
                  <c:v>4</c:v>
                </c:pt>
                <c:pt idx="885">
                  <c:v>4</c:v>
                </c:pt>
                <c:pt idx="886">
                  <c:v>4</c:v>
                </c:pt>
                <c:pt idx="887">
                  <c:v>4</c:v>
                </c:pt>
                <c:pt idx="888">
                  <c:v>4</c:v>
                </c:pt>
                <c:pt idx="889">
                  <c:v>4</c:v>
                </c:pt>
                <c:pt idx="890">
                  <c:v>4</c:v>
                </c:pt>
                <c:pt idx="891">
                  <c:v>4</c:v>
                </c:pt>
                <c:pt idx="892">
                  <c:v>4</c:v>
                </c:pt>
                <c:pt idx="893">
                  <c:v>4</c:v>
                </c:pt>
                <c:pt idx="894">
                  <c:v>4</c:v>
                </c:pt>
                <c:pt idx="895">
                  <c:v>4</c:v>
                </c:pt>
                <c:pt idx="896">
                  <c:v>4</c:v>
                </c:pt>
                <c:pt idx="897">
                  <c:v>4</c:v>
                </c:pt>
                <c:pt idx="898">
                  <c:v>4</c:v>
                </c:pt>
                <c:pt idx="899">
                  <c:v>4</c:v>
                </c:pt>
                <c:pt idx="900">
                  <c:v>4</c:v>
                </c:pt>
                <c:pt idx="901">
                  <c:v>4</c:v>
                </c:pt>
                <c:pt idx="902">
                  <c:v>4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4</c:v>
                </c:pt>
                <c:pt idx="907">
                  <c:v>4</c:v>
                </c:pt>
                <c:pt idx="908">
                  <c:v>4</c:v>
                </c:pt>
                <c:pt idx="909">
                  <c:v>4</c:v>
                </c:pt>
                <c:pt idx="910">
                  <c:v>4</c:v>
                </c:pt>
                <c:pt idx="911">
                  <c:v>4</c:v>
                </c:pt>
                <c:pt idx="912">
                  <c:v>4</c:v>
                </c:pt>
                <c:pt idx="913">
                  <c:v>4</c:v>
                </c:pt>
                <c:pt idx="914">
                  <c:v>4</c:v>
                </c:pt>
                <c:pt idx="915">
                  <c:v>4</c:v>
                </c:pt>
                <c:pt idx="916">
                  <c:v>4</c:v>
                </c:pt>
                <c:pt idx="917">
                  <c:v>4</c:v>
                </c:pt>
                <c:pt idx="918">
                  <c:v>4</c:v>
                </c:pt>
                <c:pt idx="919">
                  <c:v>4</c:v>
                </c:pt>
                <c:pt idx="920">
                  <c:v>4</c:v>
                </c:pt>
                <c:pt idx="921">
                  <c:v>4</c:v>
                </c:pt>
                <c:pt idx="922">
                  <c:v>4</c:v>
                </c:pt>
                <c:pt idx="923">
                  <c:v>4</c:v>
                </c:pt>
                <c:pt idx="924">
                  <c:v>4</c:v>
                </c:pt>
                <c:pt idx="925">
                  <c:v>4</c:v>
                </c:pt>
                <c:pt idx="926">
                  <c:v>4</c:v>
                </c:pt>
                <c:pt idx="927">
                  <c:v>4</c:v>
                </c:pt>
                <c:pt idx="928">
                  <c:v>4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4</c:v>
                </c:pt>
                <c:pt idx="936">
                  <c:v>4</c:v>
                </c:pt>
                <c:pt idx="937">
                  <c:v>4</c:v>
                </c:pt>
                <c:pt idx="938">
                  <c:v>4</c:v>
                </c:pt>
                <c:pt idx="939">
                  <c:v>4</c:v>
                </c:pt>
                <c:pt idx="940">
                  <c:v>4</c:v>
                </c:pt>
                <c:pt idx="941">
                  <c:v>4</c:v>
                </c:pt>
                <c:pt idx="942">
                  <c:v>4</c:v>
                </c:pt>
                <c:pt idx="943">
                  <c:v>4</c:v>
                </c:pt>
                <c:pt idx="944">
                  <c:v>4</c:v>
                </c:pt>
                <c:pt idx="945">
                  <c:v>4</c:v>
                </c:pt>
                <c:pt idx="946">
                  <c:v>4</c:v>
                </c:pt>
                <c:pt idx="947">
                  <c:v>4</c:v>
                </c:pt>
                <c:pt idx="948">
                  <c:v>4</c:v>
                </c:pt>
                <c:pt idx="949">
                  <c:v>4</c:v>
                </c:pt>
                <c:pt idx="950">
                  <c:v>4</c:v>
                </c:pt>
                <c:pt idx="951">
                  <c:v>4</c:v>
                </c:pt>
                <c:pt idx="952">
                  <c:v>4</c:v>
                </c:pt>
                <c:pt idx="953">
                  <c:v>4</c:v>
                </c:pt>
                <c:pt idx="954">
                  <c:v>4</c:v>
                </c:pt>
                <c:pt idx="955">
                  <c:v>4</c:v>
                </c:pt>
                <c:pt idx="956">
                  <c:v>4</c:v>
                </c:pt>
                <c:pt idx="957">
                  <c:v>4</c:v>
                </c:pt>
                <c:pt idx="958">
                  <c:v>4</c:v>
                </c:pt>
                <c:pt idx="959">
                  <c:v>4</c:v>
                </c:pt>
                <c:pt idx="960">
                  <c:v>4</c:v>
                </c:pt>
                <c:pt idx="961">
                  <c:v>4</c:v>
                </c:pt>
                <c:pt idx="962">
                  <c:v>4</c:v>
                </c:pt>
                <c:pt idx="963">
                  <c:v>4</c:v>
                </c:pt>
                <c:pt idx="964">
                  <c:v>4</c:v>
                </c:pt>
                <c:pt idx="965">
                  <c:v>4</c:v>
                </c:pt>
                <c:pt idx="966">
                  <c:v>4</c:v>
                </c:pt>
                <c:pt idx="967">
                  <c:v>4</c:v>
                </c:pt>
                <c:pt idx="968">
                  <c:v>4</c:v>
                </c:pt>
                <c:pt idx="969">
                  <c:v>4</c:v>
                </c:pt>
                <c:pt idx="970">
                  <c:v>4</c:v>
                </c:pt>
                <c:pt idx="971">
                  <c:v>4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4</c:v>
                </c:pt>
                <c:pt idx="976">
                  <c:v>4</c:v>
                </c:pt>
                <c:pt idx="977">
                  <c:v>4</c:v>
                </c:pt>
                <c:pt idx="978">
                  <c:v>4</c:v>
                </c:pt>
                <c:pt idx="979">
                  <c:v>4</c:v>
                </c:pt>
                <c:pt idx="980">
                  <c:v>4</c:v>
                </c:pt>
                <c:pt idx="981">
                  <c:v>4</c:v>
                </c:pt>
                <c:pt idx="982">
                  <c:v>4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4</c:v>
                </c:pt>
                <c:pt idx="987">
                  <c:v>4</c:v>
                </c:pt>
                <c:pt idx="988">
                  <c:v>4</c:v>
                </c:pt>
                <c:pt idx="989">
                  <c:v>4</c:v>
                </c:pt>
                <c:pt idx="990">
                  <c:v>4</c:v>
                </c:pt>
                <c:pt idx="991">
                  <c:v>4</c:v>
                </c:pt>
                <c:pt idx="992">
                  <c:v>4</c:v>
                </c:pt>
                <c:pt idx="993">
                  <c:v>4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4</c:v>
                </c:pt>
                <c:pt idx="999">
                  <c:v>4</c:v>
                </c:pt>
              </c:numCache>
            </c:numRef>
          </c:xVal>
          <c:yVal>
            <c:numRef>
              <c:f>estratificada!$AN$4:$AN$1003</c:f>
              <c:numCache>
                <c:formatCode>General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13.075597222222223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13.041388888888887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15.016041666666668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14.968083333333334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13.073548611111109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12.916236111111111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12.881881944444444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336-4950-80F5-EDAFC71D4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956312"/>
        <c:axId val="372953568"/>
      </c:scatterChart>
      <c:valAx>
        <c:axId val="372956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crossAx val="372953568"/>
        <c:crosses val="autoZero"/>
        <c:crossBetween val="midCat"/>
      </c:valAx>
      <c:valAx>
        <c:axId val="372953568"/>
        <c:scaling>
          <c:orientation val="minMax"/>
          <c:max val="24"/>
          <c:min val="6"/>
        </c:scaling>
        <c:delete val="0"/>
        <c:axPos val="l"/>
        <c:majorGridlines>
          <c:spPr>
            <a:ln>
              <a:solidFill>
                <a:schemeClr val="tx1"/>
              </a:solidFill>
              <a:prstDash val="dash"/>
            </a:ln>
          </c:spPr>
        </c:majorGridlines>
        <c:numFmt formatCode="General" sourceLinked="1"/>
        <c:majorTickMark val="out"/>
        <c:minorTickMark val="none"/>
        <c:tickLblPos val="nextTo"/>
        <c:crossAx val="372956312"/>
        <c:crosses val="autoZero"/>
        <c:crossBetween val="midCat"/>
        <c:majorUnit val="2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371475</xdr:colOff>
      <xdr:row>8</xdr:row>
      <xdr:rowOff>57149</xdr:rowOff>
    </xdr:from>
    <xdr:to>
      <xdr:col>17</xdr:col>
      <xdr:colOff>66675</xdr:colOff>
      <xdr:row>22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0.20833</cdr:x>
      <cdr:y>0.83624</cdr:y>
    </cdr:from>
    <cdr:to>
      <cdr:x>0.2875</cdr:x>
      <cdr:y>0.92683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952500" y="2286000"/>
          <a:ext cx="361950" cy="247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#11</a:t>
          </a:r>
        </a:p>
      </cdr:txBody>
    </cdr:sp>
  </cdr:relSizeAnchor>
  <cdr:relSizeAnchor xmlns:cdr="http://schemas.openxmlformats.org/drawingml/2006/chartDrawing">
    <cdr:from>
      <cdr:x>0.38958</cdr:x>
      <cdr:y>0.83275</cdr:y>
    </cdr:from>
    <cdr:to>
      <cdr:x>0.46875</cdr:x>
      <cdr:y>0.92335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1781175" y="2276475"/>
          <a:ext cx="361950" cy="247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#20</a:t>
          </a:r>
        </a:p>
      </cdr:txBody>
    </cdr:sp>
  </cdr:relSizeAnchor>
  <cdr:relSizeAnchor xmlns:cdr="http://schemas.openxmlformats.org/drawingml/2006/chartDrawing">
    <cdr:from>
      <cdr:x>0.57083</cdr:x>
      <cdr:y>0.83275</cdr:y>
    </cdr:from>
    <cdr:to>
      <cdr:x>0.65</cdr:x>
      <cdr:y>0.92335</cdr:y>
    </cdr:to>
    <cdr:sp macro="" textlink="">
      <cdr:nvSpPr>
        <cdr:cNvPr id="4" name="CaixaDeTexto 3"/>
        <cdr:cNvSpPr txBox="1"/>
      </cdr:nvSpPr>
      <cdr:spPr>
        <a:xfrm xmlns:a="http://schemas.openxmlformats.org/drawingml/2006/main">
          <a:off x="2609850" y="2276475"/>
          <a:ext cx="361950" cy="247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#50</a:t>
          </a:r>
        </a:p>
      </cdr:txBody>
    </cdr:sp>
  </cdr:relSizeAnchor>
  <cdr:relSizeAnchor xmlns:cdr="http://schemas.openxmlformats.org/drawingml/2006/chartDrawing">
    <cdr:from>
      <cdr:x>0.74792</cdr:x>
      <cdr:y>0.83275</cdr:y>
    </cdr:from>
    <cdr:to>
      <cdr:x>0.82708</cdr:x>
      <cdr:y>0.92335</cdr:y>
    </cdr:to>
    <cdr:sp macro="" textlink="">
      <cdr:nvSpPr>
        <cdr:cNvPr id="5" name="CaixaDeTexto 4"/>
        <cdr:cNvSpPr txBox="1"/>
      </cdr:nvSpPr>
      <cdr:spPr>
        <a:xfrm xmlns:a="http://schemas.openxmlformats.org/drawingml/2006/main">
          <a:off x="3419475" y="2276475"/>
          <a:ext cx="361950" cy="247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#100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8</xdr:row>
      <xdr:rowOff>0</xdr:rowOff>
    </xdr:from>
    <xdr:to>
      <xdr:col>24</xdr:col>
      <xdr:colOff>304800</xdr:colOff>
      <xdr:row>22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0.20833</cdr:x>
      <cdr:y>0.83624</cdr:y>
    </cdr:from>
    <cdr:to>
      <cdr:x>0.2875</cdr:x>
      <cdr:y>0.92683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952500" y="2286000"/>
          <a:ext cx="361950" cy="247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#11</a:t>
          </a:r>
        </a:p>
      </cdr:txBody>
    </cdr:sp>
  </cdr:relSizeAnchor>
  <cdr:relSizeAnchor xmlns:cdr="http://schemas.openxmlformats.org/drawingml/2006/chartDrawing">
    <cdr:from>
      <cdr:x>0.38958</cdr:x>
      <cdr:y>0.83275</cdr:y>
    </cdr:from>
    <cdr:to>
      <cdr:x>0.46875</cdr:x>
      <cdr:y>0.92335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1781175" y="2276475"/>
          <a:ext cx="361950" cy="247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#20</a:t>
          </a:r>
        </a:p>
      </cdr:txBody>
    </cdr:sp>
  </cdr:relSizeAnchor>
  <cdr:relSizeAnchor xmlns:cdr="http://schemas.openxmlformats.org/drawingml/2006/chartDrawing">
    <cdr:from>
      <cdr:x>0.57083</cdr:x>
      <cdr:y>0.83275</cdr:y>
    </cdr:from>
    <cdr:to>
      <cdr:x>0.65</cdr:x>
      <cdr:y>0.92335</cdr:y>
    </cdr:to>
    <cdr:sp macro="" textlink="">
      <cdr:nvSpPr>
        <cdr:cNvPr id="4" name="CaixaDeTexto 3"/>
        <cdr:cNvSpPr txBox="1"/>
      </cdr:nvSpPr>
      <cdr:spPr>
        <a:xfrm xmlns:a="http://schemas.openxmlformats.org/drawingml/2006/main">
          <a:off x="2609850" y="2276475"/>
          <a:ext cx="361950" cy="247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#50</a:t>
          </a:r>
        </a:p>
      </cdr:txBody>
    </cdr:sp>
  </cdr:relSizeAnchor>
  <cdr:relSizeAnchor xmlns:cdr="http://schemas.openxmlformats.org/drawingml/2006/chartDrawing">
    <cdr:from>
      <cdr:x>0.74792</cdr:x>
      <cdr:y>0.83275</cdr:y>
    </cdr:from>
    <cdr:to>
      <cdr:x>0.82708</cdr:x>
      <cdr:y>0.92335</cdr:y>
    </cdr:to>
    <cdr:sp macro="" textlink="">
      <cdr:nvSpPr>
        <cdr:cNvPr id="5" name="CaixaDeTexto 4"/>
        <cdr:cNvSpPr txBox="1"/>
      </cdr:nvSpPr>
      <cdr:spPr>
        <a:xfrm xmlns:a="http://schemas.openxmlformats.org/drawingml/2006/main">
          <a:off x="3419475" y="2276475"/>
          <a:ext cx="361950" cy="247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#100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22"/>
  <sheetViews>
    <sheetView tabSelected="1" workbookViewId="0">
      <selection activeCell="AQ8" sqref="AQ8:AQ10"/>
    </sheetView>
  </sheetViews>
  <sheetFormatPr defaultRowHeight="15" x14ac:dyDescent="0.25"/>
  <cols>
    <col min="1" max="20" width="3.140625" customWidth="1"/>
    <col min="22" max="41" width="3" customWidth="1"/>
  </cols>
  <sheetData>
    <row r="1" spans="1:46" ht="17.25" x14ac:dyDescent="0.25">
      <c r="A1">
        <v>3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2</v>
      </c>
      <c r="R1">
        <v>1</v>
      </c>
      <c r="S1">
        <v>1</v>
      </c>
      <c r="T1">
        <v>1</v>
      </c>
      <c r="V1" s="10">
        <v>25</v>
      </c>
      <c r="W1" s="10">
        <v>9</v>
      </c>
      <c r="X1" s="10">
        <v>11</v>
      </c>
      <c r="Y1" s="10">
        <v>10</v>
      </c>
      <c r="Z1" s="10">
        <v>12</v>
      </c>
      <c r="AA1" s="10">
        <v>13</v>
      </c>
      <c r="AB1" s="10">
        <v>7</v>
      </c>
      <c r="AC1" s="10">
        <v>5</v>
      </c>
      <c r="AD1" s="10">
        <v>8</v>
      </c>
      <c r="AE1" s="10">
        <v>7</v>
      </c>
      <c r="AF1" s="10">
        <v>6</v>
      </c>
      <c r="AG1" s="10">
        <v>10</v>
      </c>
      <c r="AH1" s="10">
        <v>11</v>
      </c>
      <c r="AI1" s="10">
        <v>9</v>
      </c>
      <c r="AJ1" s="10">
        <v>11</v>
      </c>
      <c r="AK1" s="10">
        <v>5</v>
      </c>
      <c r="AL1" s="10">
        <v>28</v>
      </c>
      <c r="AM1" s="10">
        <v>9</v>
      </c>
      <c r="AN1" s="10">
        <v>6</v>
      </c>
      <c r="AO1" s="10">
        <v>11</v>
      </c>
      <c r="AR1" s="1" t="s">
        <v>1</v>
      </c>
      <c r="AS1" s="2" t="s">
        <v>2</v>
      </c>
      <c r="AT1" t="s">
        <v>3</v>
      </c>
    </row>
    <row r="2" spans="1:46" x14ac:dyDescent="0.25">
      <c r="A2">
        <v>3</v>
      </c>
      <c r="B2">
        <v>3</v>
      </c>
      <c r="C2">
        <v>1</v>
      </c>
      <c r="D2">
        <v>1</v>
      </c>
      <c r="E2">
        <v>1</v>
      </c>
      <c r="F2">
        <v>3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R2">
        <v>2</v>
      </c>
      <c r="S2">
        <v>1</v>
      </c>
      <c r="T2">
        <v>1</v>
      </c>
      <c r="V2" s="10">
        <v>32</v>
      </c>
      <c r="W2" s="10">
        <v>24</v>
      </c>
      <c r="X2" s="10">
        <v>10</v>
      </c>
      <c r="Y2" s="10">
        <v>6</v>
      </c>
      <c r="Z2" s="10">
        <v>12</v>
      </c>
      <c r="AA2" s="10">
        <v>30</v>
      </c>
      <c r="AB2" s="10">
        <v>13</v>
      </c>
      <c r="AC2" s="10">
        <v>13</v>
      </c>
      <c r="AD2" s="10">
        <v>18</v>
      </c>
      <c r="AE2" s="10">
        <v>11</v>
      </c>
      <c r="AF2" s="10">
        <v>5</v>
      </c>
      <c r="AG2" s="10">
        <v>10</v>
      </c>
      <c r="AH2" s="10">
        <v>10</v>
      </c>
      <c r="AI2" s="10">
        <v>11</v>
      </c>
      <c r="AJ2" s="10">
        <v>4</v>
      </c>
      <c r="AK2" s="10">
        <v>5</v>
      </c>
      <c r="AL2" s="10">
        <v>23</v>
      </c>
      <c r="AM2" s="10">
        <v>29</v>
      </c>
      <c r="AN2" s="10">
        <v>15</v>
      </c>
      <c r="AO2" s="10">
        <v>9</v>
      </c>
      <c r="AQ2">
        <v>1</v>
      </c>
      <c r="AR2">
        <f>AVERAGEIF($A$1:$T$20,AQ2,$V$1:$AO$20)</f>
        <v>9.9825783972125439</v>
      </c>
      <c r="AS2">
        <f t="array" ref="AS2">(SUMSQ($V$1:$AO$20*IF($A$1:$T$20=AQ2,1,0))-COUNTIF($A$1:$T$20,AQ2)*AR2*AR2)/COUNTIF($A$1:$T$20,AQ2)</f>
        <v>9.1042261044810555</v>
      </c>
      <c r="AT2">
        <f>COUNTIF($A$1:$T$20,AQ2)</f>
        <v>287</v>
      </c>
    </row>
    <row r="3" spans="1:46" x14ac:dyDescent="0.25">
      <c r="A3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3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R3">
        <v>2</v>
      </c>
      <c r="S3">
        <v>1</v>
      </c>
      <c r="T3">
        <v>1</v>
      </c>
      <c r="V3" s="10">
        <v>29</v>
      </c>
      <c r="W3" s="10">
        <v>10</v>
      </c>
      <c r="X3" s="10">
        <v>11</v>
      </c>
      <c r="Y3" s="10">
        <v>16</v>
      </c>
      <c r="Z3" s="10">
        <v>10</v>
      </c>
      <c r="AA3" s="10">
        <v>10</v>
      </c>
      <c r="AB3" s="10">
        <v>35</v>
      </c>
      <c r="AC3" s="10">
        <v>8</v>
      </c>
      <c r="AD3" s="10">
        <v>14</v>
      </c>
      <c r="AE3" s="10">
        <v>11</v>
      </c>
      <c r="AF3" s="10">
        <v>8</v>
      </c>
      <c r="AG3" s="10">
        <v>8</v>
      </c>
      <c r="AH3" s="10">
        <v>10</v>
      </c>
      <c r="AI3" s="10">
        <v>9</v>
      </c>
      <c r="AJ3" s="10">
        <v>9</v>
      </c>
      <c r="AK3" s="10">
        <v>11</v>
      </c>
      <c r="AL3" s="10">
        <v>13</v>
      </c>
      <c r="AM3" s="10">
        <v>20</v>
      </c>
      <c r="AN3" s="10">
        <v>6</v>
      </c>
      <c r="AO3" s="10">
        <v>13</v>
      </c>
      <c r="AQ3">
        <v>2</v>
      </c>
      <c r="AR3">
        <f t="shared" ref="AR3:AR4" si="0">AVERAGEIF($A$1:$T$20,AQ3,$V$1:$AO$20)</f>
        <v>21.098591549295776</v>
      </c>
      <c r="AS3">
        <f t="array" ref="AS3">(SUMSQ($V$1:$AO$20*IF($A$1:$T$20=AQ3,1,0))-COUNTIF($A$1:$T$20,AQ3)*AR3*AR3)/COUNTIF($A$1:$T$20,AQ3)</f>
        <v>20.962110692322927</v>
      </c>
      <c r="AT3">
        <f t="shared" ref="AT3:AT4" si="1">COUNTIF($A$1:$T$20,AQ3)</f>
        <v>71</v>
      </c>
    </row>
    <row r="4" spans="1:46" x14ac:dyDescent="0.25">
      <c r="A4">
        <v>1</v>
      </c>
      <c r="B4">
        <v>3</v>
      </c>
      <c r="C4">
        <v>1</v>
      </c>
      <c r="D4">
        <v>1</v>
      </c>
      <c r="E4">
        <v>1</v>
      </c>
      <c r="F4">
        <v>1</v>
      </c>
      <c r="G4">
        <v>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2</v>
      </c>
      <c r="S4">
        <v>2</v>
      </c>
      <c r="T4">
        <v>2</v>
      </c>
      <c r="V4" s="10">
        <v>7</v>
      </c>
      <c r="W4" s="10">
        <v>25</v>
      </c>
      <c r="X4" s="10">
        <v>8</v>
      </c>
      <c r="Y4" s="10">
        <v>4</v>
      </c>
      <c r="Z4" s="10">
        <v>11</v>
      </c>
      <c r="AA4" s="10">
        <v>10</v>
      </c>
      <c r="AB4" s="10">
        <v>18</v>
      </c>
      <c r="AC4" s="10">
        <v>13</v>
      </c>
      <c r="AD4" s="10">
        <v>9</v>
      </c>
      <c r="AE4" s="10">
        <v>5</v>
      </c>
      <c r="AF4" s="10">
        <v>14</v>
      </c>
      <c r="AG4" s="10">
        <v>9</v>
      </c>
      <c r="AH4" s="10">
        <v>8</v>
      </c>
      <c r="AI4" s="10">
        <v>10</v>
      </c>
      <c r="AJ4" s="10">
        <v>10</v>
      </c>
      <c r="AK4" s="10">
        <v>8</v>
      </c>
      <c r="AL4" s="10">
        <v>13</v>
      </c>
      <c r="AM4" s="10">
        <v>22</v>
      </c>
      <c r="AN4" s="10">
        <v>21</v>
      </c>
      <c r="AO4" s="10">
        <v>26</v>
      </c>
      <c r="AQ4">
        <v>3</v>
      </c>
      <c r="AR4">
        <f t="shared" si="0"/>
        <v>29.714285714285715</v>
      </c>
      <c r="AS4">
        <f t="array" ref="AS4">(SUMSQ($V$1:$AO$20*IF($A$1:$T$20=AQ4,1,0))-COUNTIF($A$1:$T$20,AQ4)*AR4*AR4)/COUNTIF($A$1:$T$20,AQ4)</f>
        <v>34.108843537414941</v>
      </c>
      <c r="AT4">
        <f t="shared" si="1"/>
        <v>42</v>
      </c>
    </row>
    <row r="5" spans="1:46" x14ac:dyDescent="0.25">
      <c r="A5">
        <v>1</v>
      </c>
      <c r="B5">
        <v>1</v>
      </c>
      <c r="C5">
        <v>3</v>
      </c>
      <c r="D5">
        <v>1</v>
      </c>
      <c r="E5">
        <v>1</v>
      </c>
      <c r="F5">
        <v>3</v>
      </c>
      <c r="G5">
        <v>3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2</v>
      </c>
      <c r="R5">
        <v>2</v>
      </c>
      <c r="S5">
        <v>2</v>
      </c>
      <c r="T5">
        <v>1</v>
      </c>
      <c r="V5" s="10">
        <v>8</v>
      </c>
      <c r="W5" s="10">
        <v>7</v>
      </c>
      <c r="X5" s="10">
        <v>28</v>
      </c>
      <c r="Y5" s="10">
        <v>16</v>
      </c>
      <c r="Z5" s="10">
        <v>13</v>
      </c>
      <c r="AA5" s="10">
        <v>22</v>
      </c>
      <c r="AB5" s="10">
        <v>21</v>
      </c>
      <c r="AC5" s="10">
        <v>10</v>
      </c>
      <c r="AD5" s="10">
        <v>15</v>
      </c>
      <c r="AE5" s="10">
        <v>12</v>
      </c>
      <c r="AF5" s="10">
        <v>8</v>
      </c>
      <c r="AG5" s="10">
        <v>15</v>
      </c>
      <c r="AH5" s="10">
        <v>10</v>
      </c>
      <c r="AI5" s="10">
        <v>12</v>
      </c>
      <c r="AJ5" s="10">
        <v>8</v>
      </c>
      <c r="AK5" s="10">
        <v>9</v>
      </c>
      <c r="AL5" s="10">
        <v>15</v>
      </c>
      <c r="AM5" s="10">
        <v>24</v>
      </c>
      <c r="AN5" s="10">
        <v>20</v>
      </c>
      <c r="AO5" s="10">
        <v>10</v>
      </c>
      <c r="AQ5" t="s">
        <v>0</v>
      </c>
      <c r="AR5">
        <f>AVERAGE(V1:AO20)</f>
        <v>14.0275</v>
      </c>
      <c r="AS5">
        <f>_xlfn.VAR.P(V1:AO20)</f>
        <v>60.286743749999999</v>
      </c>
      <c r="AT5">
        <f>COUNT(V1:AO20)</f>
        <v>400</v>
      </c>
    </row>
    <row r="6" spans="1:46" x14ac:dyDescent="0.2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3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Q6">
        <v>2</v>
      </c>
      <c r="R6">
        <v>2</v>
      </c>
      <c r="S6">
        <v>1</v>
      </c>
      <c r="T6">
        <v>1</v>
      </c>
      <c r="V6" s="10">
        <v>10</v>
      </c>
      <c r="W6" s="10">
        <v>7</v>
      </c>
      <c r="X6" s="10">
        <v>11</v>
      </c>
      <c r="Y6" s="10">
        <v>13</v>
      </c>
      <c r="Z6" s="10">
        <v>7</v>
      </c>
      <c r="AA6" s="10">
        <v>14</v>
      </c>
      <c r="AB6" s="10">
        <v>14</v>
      </c>
      <c r="AC6" s="10">
        <v>26</v>
      </c>
      <c r="AD6" s="10">
        <v>6</v>
      </c>
      <c r="AE6" s="10">
        <v>4</v>
      </c>
      <c r="AF6" s="10">
        <v>9</v>
      </c>
      <c r="AG6" s="10">
        <v>10</v>
      </c>
      <c r="AH6" s="10">
        <v>7</v>
      </c>
      <c r="AI6" s="10">
        <v>8</v>
      </c>
      <c r="AJ6" s="10">
        <v>11</v>
      </c>
      <c r="AK6" s="10">
        <v>26</v>
      </c>
      <c r="AL6" s="10">
        <v>20</v>
      </c>
      <c r="AM6" s="10">
        <v>30</v>
      </c>
      <c r="AN6" s="10">
        <v>9</v>
      </c>
      <c r="AO6" s="10">
        <v>11</v>
      </c>
    </row>
    <row r="7" spans="1:46" x14ac:dyDescent="0.25">
      <c r="A7">
        <v>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3</v>
      </c>
      <c r="I7">
        <v>3</v>
      </c>
      <c r="J7">
        <v>3</v>
      </c>
      <c r="K7">
        <v>1</v>
      </c>
      <c r="L7">
        <v>1</v>
      </c>
      <c r="M7">
        <v>2</v>
      </c>
      <c r="N7">
        <v>2</v>
      </c>
      <c r="O7">
        <v>2</v>
      </c>
      <c r="P7">
        <v>2</v>
      </c>
      <c r="Q7">
        <v>2</v>
      </c>
      <c r="R7">
        <v>1</v>
      </c>
      <c r="S7">
        <v>1</v>
      </c>
      <c r="T7">
        <v>1</v>
      </c>
      <c r="V7" s="10">
        <v>27</v>
      </c>
      <c r="W7" s="10">
        <v>11</v>
      </c>
      <c r="X7" s="10">
        <v>14</v>
      </c>
      <c r="Y7" s="10">
        <v>13</v>
      </c>
      <c r="Z7" s="10">
        <v>15</v>
      </c>
      <c r="AA7" s="10">
        <v>11</v>
      </c>
      <c r="AB7" s="10">
        <v>10</v>
      </c>
      <c r="AC7" s="10">
        <v>27</v>
      </c>
      <c r="AD7" s="10">
        <v>28</v>
      </c>
      <c r="AE7" s="10">
        <v>32</v>
      </c>
      <c r="AF7" s="10">
        <v>11</v>
      </c>
      <c r="AG7" s="10">
        <v>14</v>
      </c>
      <c r="AH7" s="10">
        <v>23</v>
      </c>
      <c r="AI7" s="10">
        <v>26</v>
      </c>
      <c r="AJ7" s="10">
        <v>13</v>
      </c>
      <c r="AK7" s="10">
        <v>19</v>
      </c>
      <c r="AL7" s="10">
        <v>20</v>
      </c>
      <c r="AM7" s="10">
        <v>9</v>
      </c>
      <c r="AN7" s="10">
        <v>10</v>
      </c>
      <c r="AO7" s="10">
        <v>11</v>
      </c>
    </row>
    <row r="8" spans="1:46" x14ac:dyDescent="0.25">
      <c r="A8">
        <v>1</v>
      </c>
      <c r="B8">
        <v>2</v>
      </c>
      <c r="C8">
        <v>2</v>
      </c>
      <c r="D8">
        <v>1</v>
      </c>
      <c r="E8">
        <v>2</v>
      </c>
      <c r="F8">
        <v>1</v>
      </c>
      <c r="G8">
        <v>3</v>
      </c>
      <c r="H8">
        <v>3</v>
      </c>
      <c r="I8">
        <v>3</v>
      </c>
      <c r="J8">
        <v>3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1</v>
      </c>
      <c r="R8">
        <v>1</v>
      </c>
      <c r="S8">
        <v>1</v>
      </c>
      <c r="T8">
        <v>1</v>
      </c>
      <c r="V8" s="10">
        <v>9</v>
      </c>
      <c r="W8" s="10">
        <v>18</v>
      </c>
      <c r="X8" s="10">
        <v>24</v>
      </c>
      <c r="Y8" s="10">
        <v>4</v>
      </c>
      <c r="Z8" s="10">
        <v>28</v>
      </c>
      <c r="AA8" s="10">
        <v>9</v>
      </c>
      <c r="AB8" s="10">
        <v>31</v>
      </c>
      <c r="AC8" s="10">
        <v>33</v>
      </c>
      <c r="AD8" s="10">
        <v>31</v>
      </c>
      <c r="AE8" s="10">
        <v>29</v>
      </c>
      <c r="AF8" s="10">
        <v>26</v>
      </c>
      <c r="AG8" s="10">
        <v>20</v>
      </c>
      <c r="AH8" s="10">
        <v>22</v>
      </c>
      <c r="AI8" s="10">
        <v>15</v>
      </c>
      <c r="AJ8" s="10">
        <v>14</v>
      </c>
      <c r="AK8" s="10">
        <v>22</v>
      </c>
      <c r="AL8" s="10">
        <v>8</v>
      </c>
      <c r="AM8" s="10">
        <v>8</v>
      </c>
      <c r="AN8" s="10">
        <v>16</v>
      </c>
      <c r="AO8" s="10">
        <v>11</v>
      </c>
      <c r="AQ8" t="s">
        <v>29</v>
      </c>
    </row>
    <row r="9" spans="1:46" x14ac:dyDescent="0.25">
      <c r="A9">
        <v>1</v>
      </c>
      <c r="B9">
        <v>1</v>
      </c>
      <c r="C9">
        <v>2</v>
      </c>
      <c r="D9">
        <v>2</v>
      </c>
      <c r="E9">
        <v>1</v>
      </c>
      <c r="F9">
        <v>1</v>
      </c>
      <c r="G9">
        <v>3</v>
      </c>
      <c r="H9">
        <v>3</v>
      </c>
      <c r="I9">
        <v>1</v>
      </c>
      <c r="J9">
        <v>2</v>
      </c>
      <c r="K9">
        <v>2</v>
      </c>
      <c r="L9">
        <v>2</v>
      </c>
      <c r="M9">
        <v>2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V9" s="10">
        <v>10</v>
      </c>
      <c r="W9" s="10">
        <v>8</v>
      </c>
      <c r="X9" s="10">
        <v>26</v>
      </c>
      <c r="Y9" s="10">
        <v>22</v>
      </c>
      <c r="Z9" s="10">
        <v>8</v>
      </c>
      <c r="AA9" s="10">
        <v>8</v>
      </c>
      <c r="AB9" s="10">
        <v>24</v>
      </c>
      <c r="AC9" s="10">
        <v>36</v>
      </c>
      <c r="AD9" s="10">
        <v>7</v>
      </c>
      <c r="AE9" s="10">
        <v>17</v>
      </c>
      <c r="AF9" s="10">
        <v>18</v>
      </c>
      <c r="AG9" s="10">
        <v>24</v>
      </c>
      <c r="AH9" s="10">
        <v>14</v>
      </c>
      <c r="AI9" s="10">
        <v>7</v>
      </c>
      <c r="AJ9" s="10">
        <v>9</v>
      </c>
      <c r="AK9" s="10">
        <v>15</v>
      </c>
      <c r="AL9" s="10">
        <v>14</v>
      </c>
      <c r="AM9" s="10">
        <v>9</v>
      </c>
      <c r="AN9" s="10">
        <v>13</v>
      </c>
      <c r="AO9" s="10">
        <v>9</v>
      </c>
      <c r="AQ9" t="s">
        <v>28</v>
      </c>
    </row>
    <row r="10" spans="1:46" x14ac:dyDescent="0.25">
      <c r="A10">
        <v>1</v>
      </c>
      <c r="B10">
        <v>1</v>
      </c>
      <c r="C10">
        <v>1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  <c r="K10">
        <v>2</v>
      </c>
      <c r="L10">
        <v>2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V10" s="10">
        <v>8</v>
      </c>
      <c r="W10" s="10">
        <v>12</v>
      </c>
      <c r="X10" s="10">
        <v>10</v>
      </c>
      <c r="Y10" s="10">
        <v>22</v>
      </c>
      <c r="Z10" s="10">
        <v>19</v>
      </c>
      <c r="AA10" s="10">
        <v>14</v>
      </c>
      <c r="AB10" s="10">
        <v>6</v>
      </c>
      <c r="AC10" s="10">
        <v>12</v>
      </c>
      <c r="AD10" s="10">
        <v>6</v>
      </c>
      <c r="AE10" s="10">
        <v>14</v>
      </c>
      <c r="AF10" s="10">
        <v>26</v>
      </c>
      <c r="AG10" s="10">
        <v>19</v>
      </c>
      <c r="AH10" s="10">
        <v>15</v>
      </c>
      <c r="AI10" s="10">
        <v>13</v>
      </c>
      <c r="AJ10" s="10">
        <v>11</v>
      </c>
      <c r="AK10" s="10">
        <v>15</v>
      </c>
      <c r="AL10" s="10">
        <v>16</v>
      </c>
      <c r="AM10" s="10">
        <v>9</v>
      </c>
      <c r="AN10" s="10">
        <v>10</v>
      </c>
      <c r="AO10" s="10">
        <v>13</v>
      </c>
    </row>
    <row r="11" spans="1:46" x14ac:dyDescent="0.25">
      <c r="A11">
        <v>1</v>
      </c>
      <c r="B11">
        <v>1</v>
      </c>
      <c r="C11">
        <v>1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  <c r="K11">
        <v>2</v>
      </c>
      <c r="L11">
        <v>2</v>
      </c>
      <c r="M11">
        <v>2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2</v>
      </c>
      <c r="V11" s="10">
        <v>7</v>
      </c>
      <c r="W11" s="10">
        <v>9</v>
      </c>
      <c r="X11" s="10">
        <v>16</v>
      </c>
      <c r="Y11" s="10">
        <v>21</v>
      </c>
      <c r="Z11" s="10">
        <v>8</v>
      </c>
      <c r="AA11" s="10">
        <v>10</v>
      </c>
      <c r="AB11" s="10">
        <v>4</v>
      </c>
      <c r="AC11" s="10">
        <v>8</v>
      </c>
      <c r="AD11" s="10">
        <v>11</v>
      </c>
      <c r="AE11" s="10">
        <v>19</v>
      </c>
      <c r="AF11" s="10">
        <v>17</v>
      </c>
      <c r="AG11" s="10">
        <v>19</v>
      </c>
      <c r="AH11" s="10">
        <v>18</v>
      </c>
      <c r="AI11" s="10">
        <v>14</v>
      </c>
      <c r="AJ11" s="10">
        <v>5</v>
      </c>
      <c r="AK11" s="10">
        <v>10</v>
      </c>
      <c r="AL11" s="10">
        <v>11</v>
      </c>
      <c r="AM11" s="10">
        <v>11</v>
      </c>
      <c r="AN11" s="10">
        <v>10</v>
      </c>
      <c r="AO11" s="10">
        <v>18</v>
      </c>
    </row>
    <row r="12" spans="1:46" x14ac:dyDescent="0.25">
      <c r="A12">
        <v>1</v>
      </c>
      <c r="B12">
        <v>1</v>
      </c>
      <c r="C12">
        <v>2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2</v>
      </c>
      <c r="K12">
        <v>2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2</v>
      </c>
      <c r="S12">
        <v>2</v>
      </c>
      <c r="T12">
        <v>2</v>
      </c>
      <c r="V12" s="10">
        <v>11</v>
      </c>
      <c r="W12" s="10">
        <v>11</v>
      </c>
      <c r="X12" s="10">
        <v>22</v>
      </c>
      <c r="Y12" s="10">
        <v>11</v>
      </c>
      <c r="Z12" s="10">
        <v>13</v>
      </c>
      <c r="AA12" s="10">
        <v>14</v>
      </c>
      <c r="AB12" s="10">
        <v>8</v>
      </c>
      <c r="AC12" s="10">
        <v>10</v>
      </c>
      <c r="AD12" s="10">
        <v>9</v>
      </c>
      <c r="AE12" s="10">
        <v>21</v>
      </c>
      <c r="AF12" s="10">
        <v>16</v>
      </c>
      <c r="AG12" s="10">
        <v>13</v>
      </c>
      <c r="AH12" s="10">
        <v>5</v>
      </c>
      <c r="AI12" s="10">
        <v>6</v>
      </c>
      <c r="AJ12" s="10">
        <v>13</v>
      </c>
      <c r="AK12" s="10">
        <v>6</v>
      </c>
      <c r="AL12" s="10">
        <v>5</v>
      </c>
      <c r="AM12" s="10">
        <v>24</v>
      </c>
      <c r="AN12" s="10">
        <v>21</v>
      </c>
      <c r="AO12" s="10">
        <v>17</v>
      </c>
    </row>
    <row r="13" spans="1:46" x14ac:dyDescent="0.25">
      <c r="A13">
        <v>1</v>
      </c>
      <c r="B13">
        <v>2</v>
      </c>
      <c r="C13">
        <v>2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2</v>
      </c>
      <c r="T13">
        <v>2</v>
      </c>
      <c r="V13" s="10">
        <v>11</v>
      </c>
      <c r="W13" s="10">
        <v>17</v>
      </c>
      <c r="X13" s="10">
        <v>18</v>
      </c>
      <c r="Y13" s="10">
        <v>10</v>
      </c>
      <c r="Z13" s="10">
        <v>13</v>
      </c>
      <c r="AA13" s="10">
        <v>8</v>
      </c>
      <c r="AB13" s="10">
        <v>14</v>
      </c>
      <c r="AC13" s="10">
        <v>14</v>
      </c>
      <c r="AD13" s="10">
        <v>11</v>
      </c>
      <c r="AE13" s="10">
        <v>11</v>
      </c>
      <c r="AF13" s="10">
        <v>13</v>
      </c>
      <c r="AG13" s="10">
        <v>11</v>
      </c>
      <c r="AH13" s="10">
        <v>5</v>
      </c>
      <c r="AI13" s="10">
        <v>8</v>
      </c>
      <c r="AJ13" s="10">
        <v>11</v>
      </c>
      <c r="AK13" s="10">
        <v>7</v>
      </c>
      <c r="AL13" s="10">
        <v>2</v>
      </c>
      <c r="AM13" s="10">
        <v>15</v>
      </c>
      <c r="AN13" s="10">
        <v>27</v>
      </c>
      <c r="AO13" s="10">
        <v>30</v>
      </c>
    </row>
    <row r="14" spans="1:46" x14ac:dyDescent="0.25">
      <c r="A14">
        <v>1</v>
      </c>
      <c r="B14">
        <v>2</v>
      </c>
      <c r="C14">
        <v>2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V14" s="10">
        <v>7</v>
      </c>
      <c r="W14" s="10">
        <v>23</v>
      </c>
      <c r="X14" s="10">
        <v>22</v>
      </c>
      <c r="Y14" s="10">
        <v>13</v>
      </c>
      <c r="Z14" s="10">
        <v>13</v>
      </c>
      <c r="AA14" s="10">
        <v>11</v>
      </c>
      <c r="AB14" s="10">
        <v>10</v>
      </c>
      <c r="AC14" s="10">
        <v>6</v>
      </c>
      <c r="AD14" s="10">
        <v>12</v>
      </c>
      <c r="AE14" s="10">
        <v>7</v>
      </c>
      <c r="AF14" s="10">
        <v>5</v>
      </c>
      <c r="AG14" s="10">
        <v>9</v>
      </c>
      <c r="AH14" s="10">
        <v>13</v>
      </c>
      <c r="AI14" s="10">
        <v>9</v>
      </c>
      <c r="AJ14" s="10">
        <v>14</v>
      </c>
      <c r="AK14" s="10">
        <v>16</v>
      </c>
      <c r="AL14" s="10">
        <v>8</v>
      </c>
      <c r="AM14" s="10">
        <v>11</v>
      </c>
      <c r="AN14" s="10">
        <v>9</v>
      </c>
      <c r="AO14" s="10">
        <v>16</v>
      </c>
    </row>
    <row r="15" spans="1:46" x14ac:dyDescent="0.25">
      <c r="A15">
        <v>2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3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V15" s="10">
        <v>20</v>
      </c>
      <c r="W15" s="10">
        <v>28</v>
      </c>
      <c r="X15" s="10">
        <v>12</v>
      </c>
      <c r="Y15" s="10">
        <v>12</v>
      </c>
      <c r="Z15" s="10">
        <v>6</v>
      </c>
      <c r="AA15" s="10">
        <v>9</v>
      </c>
      <c r="AB15" s="10">
        <v>6</v>
      </c>
      <c r="AC15" s="10">
        <v>12</v>
      </c>
      <c r="AD15" s="10">
        <v>15</v>
      </c>
      <c r="AE15" s="10">
        <v>10</v>
      </c>
      <c r="AF15" s="10">
        <v>14</v>
      </c>
      <c r="AG15" s="10">
        <v>39</v>
      </c>
      <c r="AH15" s="10">
        <v>12</v>
      </c>
      <c r="AI15" s="10">
        <v>8</v>
      </c>
      <c r="AJ15" s="10">
        <v>11</v>
      </c>
      <c r="AK15" s="10">
        <v>11</v>
      </c>
      <c r="AL15" s="10">
        <v>9</v>
      </c>
      <c r="AM15" s="10">
        <v>7</v>
      </c>
      <c r="AN15" s="10">
        <v>7</v>
      </c>
      <c r="AO15" s="10">
        <v>7</v>
      </c>
    </row>
    <row r="16" spans="1:46" x14ac:dyDescent="0.25">
      <c r="A16">
        <v>2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3</v>
      </c>
      <c r="L16">
        <v>3</v>
      </c>
      <c r="M16">
        <v>3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V16" s="10">
        <v>19</v>
      </c>
      <c r="W16" s="10">
        <v>17</v>
      </c>
      <c r="X16" s="10">
        <v>5</v>
      </c>
      <c r="Y16" s="10">
        <v>10</v>
      </c>
      <c r="Z16" s="10">
        <v>11</v>
      </c>
      <c r="AA16" s="10">
        <v>5</v>
      </c>
      <c r="AB16" s="10">
        <v>13</v>
      </c>
      <c r="AC16" s="10">
        <v>10</v>
      </c>
      <c r="AD16" s="10">
        <v>11</v>
      </c>
      <c r="AE16" s="10">
        <v>12</v>
      </c>
      <c r="AF16" s="10">
        <v>44</v>
      </c>
      <c r="AG16" s="10">
        <v>33</v>
      </c>
      <c r="AH16" s="10">
        <v>35</v>
      </c>
      <c r="AI16" s="10">
        <v>8</v>
      </c>
      <c r="AJ16" s="10">
        <v>5</v>
      </c>
      <c r="AK16" s="10">
        <v>9</v>
      </c>
      <c r="AL16" s="10">
        <v>6</v>
      </c>
      <c r="AM16" s="10">
        <v>9</v>
      </c>
      <c r="AN16" s="10">
        <v>7</v>
      </c>
      <c r="AO16" s="10">
        <v>15</v>
      </c>
    </row>
    <row r="17" spans="1:41" x14ac:dyDescent="0.25">
      <c r="A17">
        <v>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3</v>
      </c>
      <c r="L17">
        <v>3</v>
      </c>
      <c r="M17">
        <v>3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V17" s="10">
        <v>23</v>
      </c>
      <c r="W17" s="10">
        <v>11</v>
      </c>
      <c r="X17" s="10">
        <v>14</v>
      </c>
      <c r="Y17" s="10">
        <v>13</v>
      </c>
      <c r="Z17" s="10">
        <v>9</v>
      </c>
      <c r="AA17" s="10">
        <v>8</v>
      </c>
      <c r="AB17" s="10">
        <v>7</v>
      </c>
      <c r="AC17" s="10">
        <v>8</v>
      </c>
      <c r="AD17" s="10">
        <v>11</v>
      </c>
      <c r="AE17" s="10">
        <v>12</v>
      </c>
      <c r="AF17" s="10">
        <v>35</v>
      </c>
      <c r="AG17" s="10">
        <v>35</v>
      </c>
      <c r="AH17" s="10">
        <v>23</v>
      </c>
      <c r="AI17" s="10">
        <v>8</v>
      </c>
      <c r="AJ17" s="10">
        <v>14</v>
      </c>
      <c r="AK17" s="10">
        <v>12</v>
      </c>
      <c r="AL17" s="10">
        <v>7</v>
      </c>
      <c r="AM17" s="10">
        <v>7</v>
      </c>
      <c r="AN17" s="10">
        <v>6</v>
      </c>
      <c r="AO17" s="10">
        <v>9</v>
      </c>
    </row>
    <row r="18" spans="1:41" x14ac:dyDescent="0.25">
      <c r="A18">
        <v>2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3</v>
      </c>
      <c r="S18">
        <v>3</v>
      </c>
      <c r="T18">
        <v>1</v>
      </c>
      <c r="V18" s="10">
        <v>16</v>
      </c>
      <c r="W18" s="10">
        <v>23</v>
      </c>
      <c r="X18" s="10">
        <v>8</v>
      </c>
      <c r="Y18" s="10">
        <v>12</v>
      </c>
      <c r="Z18" s="10">
        <v>8</v>
      </c>
      <c r="AA18" s="10">
        <v>9</v>
      </c>
      <c r="AB18" s="10">
        <v>13</v>
      </c>
      <c r="AC18" s="10">
        <v>13</v>
      </c>
      <c r="AD18" s="10">
        <v>15</v>
      </c>
      <c r="AE18" s="10">
        <v>11</v>
      </c>
      <c r="AF18" s="10">
        <v>10</v>
      </c>
      <c r="AG18" s="10">
        <v>9</v>
      </c>
      <c r="AH18" s="10">
        <v>14</v>
      </c>
      <c r="AI18" s="10">
        <v>10</v>
      </c>
      <c r="AJ18" s="10">
        <v>7</v>
      </c>
      <c r="AK18" s="10">
        <v>9</v>
      </c>
      <c r="AL18" s="10">
        <v>12</v>
      </c>
      <c r="AM18" s="10">
        <v>37</v>
      </c>
      <c r="AN18" s="10">
        <v>20</v>
      </c>
      <c r="AO18" s="10">
        <v>11</v>
      </c>
    </row>
    <row r="19" spans="1:41" x14ac:dyDescent="0.25">
      <c r="A19">
        <v>2</v>
      </c>
      <c r="B19">
        <v>2</v>
      </c>
      <c r="C19">
        <v>2</v>
      </c>
      <c r="D19">
        <v>3</v>
      </c>
      <c r="E19">
        <v>3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3</v>
      </c>
      <c r="R19">
        <v>3</v>
      </c>
      <c r="S19">
        <v>3</v>
      </c>
      <c r="T19">
        <v>1</v>
      </c>
      <c r="V19" s="10">
        <v>22</v>
      </c>
      <c r="W19" s="10">
        <v>29</v>
      </c>
      <c r="X19" s="10">
        <v>14</v>
      </c>
      <c r="Y19" s="10">
        <v>28</v>
      </c>
      <c r="Z19" s="10">
        <v>29</v>
      </c>
      <c r="AA19" s="10">
        <v>12</v>
      </c>
      <c r="AB19" s="10">
        <v>4</v>
      </c>
      <c r="AC19" s="10">
        <v>8</v>
      </c>
      <c r="AD19" s="10">
        <v>13</v>
      </c>
      <c r="AE19" s="10">
        <v>7</v>
      </c>
      <c r="AF19" s="10">
        <v>10</v>
      </c>
      <c r="AG19" s="10">
        <v>14</v>
      </c>
      <c r="AH19" s="10">
        <v>5</v>
      </c>
      <c r="AI19" s="10">
        <v>11</v>
      </c>
      <c r="AJ19" s="10">
        <v>8</v>
      </c>
      <c r="AK19" s="10">
        <v>7</v>
      </c>
      <c r="AL19" s="10">
        <v>34</v>
      </c>
      <c r="AM19" s="10">
        <v>37</v>
      </c>
      <c r="AN19" s="10">
        <v>32</v>
      </c>
      <c r="AO19" s="10">
        <v>9</v>
      </c>
    </row>
    <row r="20" spans="1:41" x14ac:dyDescent="0.25">
      <c r="A20">
        <v>2</v>
      </c>
      <c r="B20">
        <v>2</v>
      </c>
      <c r="C20">
        <v>2</v>
      </c>
      <c r="D20">
        <v>3</v>
      </c>
      <c r="E20">
        <v>3</v>
      </c>
      <c r="F20">
        <v>3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3</v>
      </c>
      <c r="R20">
        <v>3</v>
      </c>
      <c r="S20">
        <v>3</v>
      </c>
      <c r="T20">
        <v>3</v>
      </c>
      <c r="V20" s="10">
        <v>19</v>
      </c>
      <c r="W20" s="10">
        <v>22</v>
      </c>
      <c r="X20" s="10">
        <v>29</v>
      </c>
      <c r="Y20" s="10">
        <v>33</v>
      </c>
      <c r="Z20" s="10">
        <v>25</v>
      </c>
      <c r="AA20" s="10">
        <v>27</v>
      </c>
      <c r="AB20" s="10">
        <v>13</v>
      </c>
      <c r="AC20" s="10">
        <v>9</v>
      </c>
      <c r="AD20" s="10">
        <v>9</v>
      </c>
      <c r="AE20" s="10">
        <v>7</v>
      </c>
      <c r="AF20" s="10">
        <v>8</v>
      </c>
      <c r="AG20" s="10">
        <v>4</v>
      </c>
      <c r="AH20" s="10">
        <v>15</v>
      </c>
      <c r="AI20" s="10">
        <v>8</v>
      </c>
      <c r="AJ20" s="10">
        <v>10</v>
      </c>
      <c r="AK20" s="10">
        <v>13</v>
      </c>
      <c r="AL20" s="10">
        <v>41</v>
      </c>
      <c r="AM20" s="10">
        <v>23</v>
      </c>
      <c r="AN20" s="10">
        <v>22</v>
      </c>
      <c r="AO20" s="10">
        <v>30</v>
      </c>
    </row>
    <row r="22" spans="1:41" x14ac:dyDescent="0.25">
      <c r="B22" s="2" t="s">
        <v>17</v>
      </c>
      <c r="C22" s="2" t="s">
        <v>18</v>
      </c>
      <c r="D22" s="2"/>
      <c r="E22" s="2" t="s">
        <v>19</v>
      </c>
    </row>
    <row r="23" spans="1:41" x14ac:dyDescent="0.25">
      <c r="A23">
        <f ca="1">RAND()</f>
        <v>0.53155151687157431</v>
      </c>
      <c r="B23">
        <v>1</v>
      </c>
      <c r="C23">
        <v>1</v>
      </c>
      <c r="D23">
        <f t="shared" ref="D23:D86" ca="1" si="2">INDIRECT(ADDRESS(B23,C23,1,0),0)</f>
        <v>3</v>
      </c>
      <c r="E23">
        <f t="shared" ref="E23:E86" ca="1" si="3">INDIRECT(ADDRESS(B23,C23+21,1,0),0)</f>
        <v>25</v>
      </c>
    </row>
    <row r="24" spans="1:41" x14ac:dyDescent="0.25">
      <c r="A24">
        <f t="shared" ref="A24:A87" ca="1" si="4">RAND()</f>
        <v>0.62210183349479697</v>
      </c>
      <c r="B24">
        <v>1</v>
      </c>
      <c r="C24">
        <v>2</v>
      </c>
      <c r="D24">
        <f t="shared" ca="1" si="2"/>
        <v>1</v>
      </c>
      <c r="E24">
        <f t="shared" ca="1" si="3"/>
        <v>9</v>
      </c>
    </row>
    <row r="25" spans="1:41" x14ac:dyDescent="0.25">
      <c r="A25">
        <f t="shared" ca="1" si="4"/>
        <v>0.54761375255332279</v>
      </c>
      <c r="B25">
        <v>1</v>
      </c>
      <c r="C25">
        <v>3</v>
      </c>
      <c r="D25">
        <f t="shared" ca="1" si="2"/>
        <v>1</v>
      </c>
      <c r="E25">
        <f t="shared" ca="1" si="3"/>
        <v>11</v>
      </c>
    </row>
    <row r="26" spans="1:41" x14ac:dyDescent="0.25">
      <c r="A26">
        <f t="shared" ca="1" si="4"/>
        <v>0.66532627530864352</v>
      </c>
      <c r="B26">
        <v>1</v>
      </c>
      <c r="C26">
        <v>4</v>
      </c>
      <c r="D26">
        <f t="shared" ca="1" si="2"/>
        <v>1</v>
      </c>
      <c r="E26">
        <f t="shared" ca="1" si="3"/>
        <v>10</v>
      </c>
    </row>
    <row r="27" spans="1:41" x14ac:dyDescent="0.25">
      <c r="A27">
        <f t="shared" ca="1" si="4"/>
        <v>0.30645383086276934</v>
      </c>
      <c r="B27">
        <v>1</v>
      </c>
      <c r="C27">
        <v>5</v>
      </c>
      <c r="D27">
        <f t="shared" ca="1" si="2"/>
        <v>1</v>
      </c>
      <c r="E27">
        <f t="shared" ca="1" si="3"/>
        <v>12</v>
      </c>
    </row>
    <row r="28" spans="1:41" x14ac:dyDescent="0.25">
      <c r="A28">
        <f t="shared" ca="1" si="4"/>
        <v>0.82698037279973946</v>
      </c>
      <c r="B28">
        <v>1</v>
      </c>
      <c r="C28">
        <v>6</v>
      </c>
      <c r="D28">
        <f t="shared" ca="1" si="2"/>
        <v>1</v>
      </c>
      <c r="E28">
        <f t="shared" ca="1" si="3"/>
        <v>13</v>
      </c>
    </row>
    <row r="29" spans="1:41" x14ac:dyDescent="0.25">
      <c r="A29">
        <f t="shared" ca="1" si="4"/>
        <v>0.41094609560352968</v>
      </c>
      <c r="B29">
        <v>1</v>
      </c>
      <c r="C29">
        <v>7</v>
      </c>
      <c r="D29">
        <f t="shared" ca="1" si="2"/>
        <v>1</v>
      </c>
      <c r="E29">
        <f t="shared" ca="1" si="3"/>
        <v>7</v>
      </c>
    </row>
    <row r="30" spans="1:41" x14ac:dyDescent="0.25">
      <c r="A30">
        <f t="shared" ca="1" si="4"/>
        <v>0.90686604748343158</v>
      </c>
      <c r="B30">
        <v>1</v>
      </c>
      <c r="C30">
        <v>8</v>
      </c>
      <c r="D30">
        <f t="shared" ca="1" si="2"/>
        <v>1</v>
      </c>
      <c r="E30">
        <f t="shared" ca="1" si="3"/>
        <v>5</v>
      </c>
    </row>
    <row r="31" spans="1:41" x14ac:dyDescent="0.25">
      <c r="A31">
        <f t="shared" ca="1" si="4"/>
        <v>0.9256560085461657</v>
      </c>
      <c r="B31">
        <v>1</v>
      </c>
      <c r="C31">
        <v>9</v>
      </c>
      <c r="D31">
        <f t="shared" ca="1" si="2"/>
        <v>1</v>
      </c>
      <c r="E31">
        <f t="shared" ca="1" si="3"/>
        <v>8</v>
      </c>
    </row>
    <row r="32" spans="1:41" x14ac:dyDescent="0.25">
      <c r="A32">
        <f t="shared" ca="1" si="4"/>
        <v>0.38221917437167885</v>
      </c>
      <c r="B32">
        <v>1</v>
      </c>
      <c r="C32">
        <v>10</v>
      </c>
      <c r="D32">
        <f t="shared" ca="1" si="2"/>
        <v>1</v>
      </c>
      <c r="E32">
        <f t="shared" ca="1" si="3"/>
        <v>7</v>
      </c>
    </row>
    <row r="33" spans="1:5" x14ac:dyDescent="0.25">
      <c r="A33">
        <f t="shared" ca="1" si="4"/>
        <v>0.78896752743547849</v>
      </c>
      <c r="B33">
        <v>1</v>
      </c>
      <c r="C33">
        <v>11</v>
      </c>
      <c r="D33">
        <f t="shared" ca="1" si="2"/>
        <v>1</v>
      </c>
      <c r="E33">
        <f t="shared" ca="1" si="3"/>
        <v>6</v>
      </c>
    </row>
    <row r="34" spans="1:5" x14ac:dyDescent="0.25">
      <c r="A34">
        <f t="shared" ca="1" si="4"/>
        <v>0.22093936342410259</v>
      </c>
      <c r="B34">
        <v>1</v>
      </c>
      <c r="C34">
        <v>12</v>
      </c>
      <c r="D34">
        <f t="shared" ca="1" si="2"/>
        <v>1</v>
      </c>
      <c r="E34">
        <f t="shared" ca="1" si="3"/>
        <v>10</v>
      </c>
    </row>
    <row r="35" spans="1:5" x14ac:dyDescent="0.25">
      <c r="A35">
        <f t="shared" ca="1" si="4"/>
        <v>0.52960018250392704</v>
      </c>
      <c r="B35">
        <v>1</v>
      </c>
      <c r="C35">
        <v>13</v>
      </c>
      <c r="D35">
        <f t="shared" ca="1" si="2"/>
        <v>1</v>
      </c>
      <c r="E35">
        <f t="shared" ca="1" si="3"/>
        <v>11</v>
      </c>
    </row>
    <row r="36" spans="1:5" x14ac:dyDescent="0.25">
      <c r="A36">
        <f t="shared" ca="1" si="4"/>
        <v>0.9657520687911153</v>
      </c>
      <c r="B36">
        <v>1</v>
      </c>
      <c r="C36">
        <v>14</v>
      </c>
      <c r="D36">
        <f t="shared" ca="1" si="2"/>
        <v>1</v>
      </c>
      <c r="E36">
        <f t="shared" ca="1" si="3"/>
        <v>9</v>
      </c>
    </row>
    <row r="37" spans="1:5" x14ac:dyDescent="0.25">
      <c r="A37">
        <f t="shared" ca="1" si="4"/>
        <v>0.14688962297991159</v>
      </c>
      <c r="B37">
        <v>1</v>
      </c>
      <c r="C37">
        <v>15</v>
      </c>
      <c r="D37">
        <f t="shared" ca="1" si="2"/>
        <v>1</v>
      </c>
      <c r="E37">
        <f t="shared" ca="1" si="3"/>
        <v>11</v>
      </c>
    </row>
    <row r="38" spans="1:5" x14ac:dyDescent="0.25">
      <c r="A38">
        <f t="shared" ca="1" si="4"/>
        <v>0.48291549558703273</v>
      </c>
      <c r="B38">
        <v>1</v>
      </c>
      <c r="C38">
        <v>16</v>
      </c>
      <c r="D38">
        <f t="shared" ca="1" si="2"/>
        <v>1</v>
      </c>
      <c r="E38">
        <f t="shared" ca="1" si="3"/>
        <v>5</v>
      </c>
    </row>
    <row r="39" spans="1:5" x14ac:dyDescent="0.25">
      <c r="A39">
        <f t="shared" ca="1" si="4"/>
        <v>0.95870683830142533</v>
      </c>
      <c r="B39">
        <v>1</v>
      </c>
      <c r="C39">
        <v>17</v>
      </c>
      <c r="D39">
        <f t="shared" ca="1" si="2"/>
        <v>2</v>
      </c>
      <c r="E39">
        <f t="shared" ca="1" si="3"/>
        <v>28</v>
      </c>
    </row>
    <row r="40" spans="1:5" x14ac:dyDescent="0.25">
      <c r="A40">
        <f t="shared" ca="1" si="4"/>
        <v>0.81667863240239447</v>
      </c>
      <c r="B40">
        <v>1</v>
      </c>
      <c r="C40">
        <v>18</v>
      </c>
      <c r="D40">
        <f t="shared" ca="1" si="2"/>
        <v>1</v>
      </c>
      <c r="E40">
        <f t="shared" ca="1" si="3"/>
        <v>9</v>
      </c>
    </row>
    <row r="41" spans="1:5" x14ac:dyDescent="0.25">
      <c r="A41">
        <f t="shared" ca="1" si="4"/>
        <v>0.9681443527848359</v>
      </c>
      <c r="B41">
        <v>1</v>
      </c>
      <c r="C41">
        <v>19</v>
      </c>
      <c r="D41">
        <f t="shared" ca="1" si="2"/>
        <v>1</v>
      </c>
      <c r="E41">
        <f t="shared" ca="1" si="3"/>
        <v>6</v>
      </c>
    </row>
    <row r="42" spans="1:5" x14ac:dyDescent="0.25">
      <c r="A42">
        <f t="shared" ca="1" si="4"/>
        <v>0.54112745601627488</v>
      </c>
      <c r="B42">
        <v>1</v>
      </c>
      <c r="C42">
        <v>20</v>
      </c>
      <c r="D42">
        <f t="shared" ca="1" si="2"/>
        <v>1</v>
      </c>
      <c r="E42">
        <f t="shared" ca="1" si="3"/>
        <v>11</v>
      </c>
    </row>
    <row r="43" spans="1:5" x14ac:dyDescent="0.25">
      <c r="A43">
        <f t="shared" ca="1" si="4"/>
        <v>0.12497756616431255</v>
      </c>
      <c r="B43">
        <f>B23+1</f>
        <v>2</v>
      </c>
      <c r="C43">
        <f>C23</f>
        <v>1</v>
      </c>
      <c r="D43">
        <f t="shared" ca="1" si="2"/>
        <v>3</v>
      </c>
      <c r="E43">
        <f t="shared" ca="1" si="3"/>
        <v>32</v>
      </c>
    </row>
    <row r="44" spans="1:5" x14ac:dyDescent="0.25">
      <c r="A44">
        <f t="shared" ca="1" si="4"/>
        <v>0.28677628057636684</v>
      </c>
      <c r="B44">
        <f t="shared" ref="B44:B107" si="5">B24+1</f>
        <v>2</v>
      </c>
      <c r="C44">
        <f t="shared" ref="C44:C107" si="6">C24</f>
        <v>2</v>
      </c>
      <c r="D44">
        <f t="shared" ca="1" si="2"/>
        <v>3</v>
      </c>
      <c r="E44">
        <f t="shared" ca="1" si="3"/>
        <v>24</v>
      </c>
    </row>
    <row r="45" spans="1:5" x14ac:dyDescent="0.25">
      <c r="A45">
        <f t="shared" ca="1" si="4"/>
        <v>0.32678761372296095</v>
      </c>
      <c r="B45">
        <f t="shared" si="5"/>
        <v>2</v>
      </c>
      <c r="C45">
        <f t="shared" si="6"/>
        <v>3</v>
      </c>
      <c r="D45">
        <f t="shared" ca="1" si="2"/>
        <v>1</v>
      </c>
      <c r="E45">
        <f t="shared" ca="1" si="3"/>
        <v>10</v>
      </c>
    </row>
    <row r="46" spans="1:5" x14ac:dyDescent="0.25">
      <c r="A46">
        <f t="shared" ca="1" si="4"/>
        <v>0.61983125946434847</v>
      </c>
      <c r="B46">
        <f t="shared" si="5"/>
        <v>2</v>
      </c>
      <c r="C46">
        <f t="shared" si="6"/>
        <v>4</v>
      </c>
      <c r="D46">
        <f t="shared" ca="1" si="2"/>
        <v>1</v>
      </c>
      <c r="E46">
        <f t="shared" ca="1" si="3"/>
        <v>6</v>
      </c>
    </row>
    <row r="47" spans="1:5" x14ac:dyDescent="0.25">
      <c r="A47">
        <f t="shared" ca="1" si="4"/>
        <v>0.25579570011728114</v>
      </c>
      <c r="B47">
        <f t="shared" si="5"/>
        <v>2</v>
      </c>
      <c r="C47">
        <f t="shared" si="6"/>
        <v>5</v>
      </c>
      <c r="D47">
        <f t="shared" ca="1" si="2"/>
        <v>1</v>
      </c>
      <c r="E47">
        <f t="shared" ca="1" si="3"/>
        <v>12</v>
      </c>
    </row>
    <row r="48" spans="1:5" x14ac:dyDescent="0.25">
      <c r="A48">
        <f t="shared" ca="1" si="4"/>
        <v>0.87819090424836554</v>
      </c>
      <c r="B48">
        <f t="shared" si="5"/>
        <v>2</v>
      </c>
      <c r="C48">
        <f t="shared" si="6"/>
        <v>6</v>
      </c>
      <c r="D48">
        <f t="shared" ca="1" si="2"/>
        <v>3</v>
      </c>
      <c r="E48">
        <f t="shared" ca="1" si="3"/>
        <v>30</v>
      </c>
    </row>
    <row r="49" spans="1:5" x14ac:dyDescent="0.25">
      <c r="A49">
        <f t="shared" ca="1" si="4"/>
        <v>0.95029200633839261</v>
      </c>
      <c r="B49">
        <f t="shared" si="5"/>
        <v>2</v>
      </c>
      <c r="C49">
        <f t="shared" si="6"/>
        <v>7</v>
      </c>
      <c r="D49">
        <f t="shared" ca="1" si="2"/>
        <v>1</v>
      </c>
      <c r="E49">
        <f t="shared" ca="1" si="3"/>
        <v>13</v>
      </c>
    </row>
    <row r="50" spans="1:5" x14ac:dyDescent="0.25">
      <c r="A50">
        <f t="shared" ca="1" si="4"/>
        <v>0.78519186566729693</v>
      </c>
      <c r="B50">
        <f t="shared" si="5"/>
        <v>2</v>
      </c>
      <c r="C50">
        <f t="shared" si="6"/>
        <v>8</v>
      </c>
      <c r="D50">
        <f t="shared" ca="1" si="2"/>
        <v>1</v>
      </c>
      <c r="E50">
        <f t="shared" ca="1" si="3"/>
        <v>13</v>
      </c>
    </row>
    <row r="51" spans="1:5" x14ac:dyDescent="0.25">
      <c r="A51">
        <f t="shared" ca="1" si="4"/>
        <v>0.78520520700254925</v>
      </c>
      <c r="B51">
        <f t="shared" si="5"/>
        <v>2</v>
      </c>
      <c r="C51">
        <f t="shared" si="6"/>
        <v>9</v>
      </c>
      <c r="D51">
        <f t="shared" ca="1" si="2"/>
        <v>1</v>
      </c>
      <c r="E51">
        <f t="shared" ca="1" si="3"/>
        <v>18</v>
      </c>
    </row>
    <row r="52" spans="1:5" x14ac:dyDescent="0.25">
      <c r="A52">
        <f t="shared" ca="1" si="4"/>
        <v>0.17096267850416336</v>
      </c>
      <c r="B52">
        <f t="shared" si="5"/>
        <v>2</v>
      </c>
      <c r="C52">
        <f t="shared" si="6"/>
        <v>10</v>
      </c>
      <c r="D52">
        <f t="shared" ca="1" si="2"/>
        <v>1</v>
      </c>
      <c r="E52">
        <f t="shared" ca="1" si="3"/>
        <v>11</v>
      </c>
    </row>
    <row r="53" spans="1:5" x14ac:dyDescent="0.25">
      <c r="A53">
        <f t="shared" ca="1" si="4"/>
        <v>2.4876855188646352E-2</v>
      </c>
      <c r="B53">
        <f t="shared" si="5"/>
        <v>2</v>
      </c>
      <c r="C53">
        <f t="shared" si="6"/>
        <v>11</v>
      </c>
      <c r="D53">
        <f t="shared" ca="1" si="2"/>
        <v>1</v>
      </c>
      <c r="E53">
        <f t="shared" ca="1" si="3"/>
        <v>5</v>
      </c>
    </row>
    <row r="54" spans="1:5" x14ac:dyDescent="0.25">
      <c r="A54">
        <f t="shared" ca="1" si="4"/>
        <v>0.17740241898666453</v>
      </c>
      <c r="B54">
        <f t="shared" si="5"/>
        <v>2</v>
      </c>
      <c r="C54">
        <f t="shared" si="6"/>
        <v>12</v>
      </c>
      <c r="D54">
        <f t="shared" ca="1" si="2"/>
        <v>1</v>
      </c>
      <c r="E54">
        <f t="shared" ca="1" si="3"/>
        <v>10</v>
      </c>
    </row>
    <row r="55" spans="1:5" x14ac:dyDescent="0.25">
      <c r="A55">
        <f t="shared" ca="1" si="4"/>
        <v>0.73113977567601285</v>
      </c>
      <c r="B55">
        <f t="shared" si="5"/>
        <v>2</v>
      </c>
      <c r="C55">
        <f t="shared" si="6"/>
        <v>13</v>
      </c>
      <c r="D55">
        <f t="shared" ca="1" si="2"/>
        <v>1</v>
      </c>
      <c r="E55">
        <f t="shared" ca="1" si="3"/>
        <v>10</v>
      </c>
    </row>
    <row r="56" spans="1:5" x14ac:dyDescent="0.25">
      <c r="A56">
        <f t="shared" ca="1" si="4"/>
        <v>0.58707386212704638</v>
      </c>
      <c r="B56">
        <f t="shared" si="5"/>
        <v>2</v>
      </c>
      <c r="C56">
        <f t="shared" si="6"/>
        <v>14</v>
      </c>
      <c r="D56">
        <f t="shared" ca="1" si="2"/>
        <v>1</v>
      </c>
      <c r="E56">
        <f t="shared" ca="1" si="3"/>
        <v>11</v>
      </c>
    </row>
    <row r="57" spans="1:5" x14ac:dyDescent="0.25">
      <c r="A57">
        <f t="shared" ca="1" si="4"/>
        <v>0.76358618808144674</v>
      </c>
      <c r="B57">
        <f t="shared" si="5"/>
        <v>2</v>
      </c>
      <c r="C57">
        <f t="shared" si="6"/>
        <v>15</v>
      </c>
      <c r="D57">
        <f t="shared" ca="1" si="2"/>
        <v>1</v>
      </c>
      <c r="E57">
        <f t="shared" ca="1" si="3"/>
        <v>4</v>
      </c>
    </row>
    <row r="58" spans="1:5" x14ac:dyDescent="0.25">
      <c r="A58">
        <f t="shared" ca="1" si="4"/>
        <v>0.79594678053996315</v>
      </c>
      <c r="B58">
        <f t="shared" si="5"/>
        <v>2</v>
      </c>
      <c r="C58">
        <f t="shared" si="6"/>
        <v>16</v>
      </c>
      <c r="D58">
        <f t="shared" ca="1" si="2"/>
        <v>1</v>
      </c>
      <c r="E58">
        <f t="shared" ca="1" si="3"/>
        <v>5</v>
      </c>
    </row>
    <row r="59" spans="1:5" x14ac:dyDescent="0.25">
      <c r="A59">
        <f t="shared" ca="1" si="4"/>
        <v>0.66850583159794841</v>
      </c>
      <c r="B59">
        <f t="shared" si="5"/>
        <v>2</v>
      </c>
      <c r="C59">
        <f t="shared" si="6"/>
        <v>17</v>
      </c>
      <c r="D59">
        <f t="shared" ca="1" si="2"/>
        <v>2</v>
      </c>
      <c r="E59">
        <f t="shared" ca="1" si="3"/>
        <v>23</v>
      </c>
    </row>
    <row r="60" spans="1:5" x14ac:dyDescent="0.25">
      <c r="A60">
        <f t="shared" ca="1" si="4"/>
        <v>9.4356475988138233E-2</v>
      </c>
      <c r="B60">
        <f t="shared" si="5"/>
        <v>2</v>
      </c>
      <c r="C60">
        <f t="shared" si="6"/>
        <v>18</v>
      </c>
      <c r="D60">
        <f t="shared" ca="1" si="2"/>
        <v>2</v>
      </c>
      <c r="E60">
        <f t="shared" ca="1" si="3"/>
        <v>29</v>
      </c>
    </row>
    <row r="61" spans="1:5" x14ac:dyDescent="0.25">
      <c r="A61">
        <f t="shared" ca="1" si="4"/>
        <v>0.17400411420052342</v>
      </c>
      <c r="B61">
        <f t="shared" si="5"/>
        <v>2</v>
      </c>
      <c r="C61">
        <f t="shared" si="6"/>
        <v>19</v>
      </c>
      <c r="D61">
        <f t="shared" ca="1" si="2"/>
        <v>1</v>
      </c>
      <c r="E61">
        <f t="shared" ca="1" si="3"/>
        <v>15</v>
      </c>
    </row>
    <row r="62" spans="1:5" x14ac:dyDescent="0.25">
      <c r="A62">
        <f t="shared" ca="1" si="4"/>
        <v>0.50770301711619459</v>
      </c>
      <c r="B62">
        <f t="shared" si="5"/>
        <v>2</v>
      </c>
      <c r="C62">
        <f t="shared" si="6"/>
        <v>20</v>
      </c>
      <c r="D62">
        <f t="shared" ca="1" si="2"/>
        <v>1</v>
      </c>
      <c r="E62">
        <f t="shared" ca="1" si="3"/>
        <v>9</v>
      </c>
    </row>
    <row r="63" spans="1:5" x14ac:dyDescent="0.25">
      <c r="A63">
        <f t="shared" ca="1" si="4"/>
        <v>0.41642024565453883</v>
      </c>
      <c r="B63">
        <f t="shared" si="5"/>
        <v>3</v>
      </c>
      <c r="C63">
        <f t="shared" si="6"/>
        <v>1</v>
      </c>
      <c r="D63">
        <f t="shared" ca="1" si="2"/>
        <v>3</v>
      </c>
      <c r="E63">
        <f t="shared" ca="1" si="3"/>
        <v>29</v>
      </c>
    </row>
    <row r="64" spans="1:5" x14ac:dyDescent="0.25">
      <c r="A64">
        <f t="shared" ca="1" si="4"/>
        <v>0.31262628123379888</v>
      </c>
      <c r="B64">
        <f t="shared" si="5"/>
        <v>3</v>
      </c>
      <c r="C64">
        <f t="shared" si="6"/>
        <v>2</v>
      </c>
      <c r="D64">
        <f t="shared" ca="1" si="2"/>
        <v>1</v>
      </c>
      <c r="E64">
        <f t="shared" ca="1" si="3"/>
        <v>10</v>
      </c>
    </row>
    <row r="65" spans="1:5" x14ac:dyDescent="0.25">
      <c r="A65">
        <f t="shared" ca="1" si="4"/>
        <v>0.93781312686364182</v>
      </c>
      <c r="B65">
        <f t="shared" si="5"/>
        <v>3</v>
      </c>
      <c r="C65">
        <f t="shared" si="6"/>
        <v>3</v>
      </c>
      <c r="D65">
        <f t="shared" ca="1" si="2"/>
        <v>1</v>
      </c>
      <c r="E65">
        <f t="shared" ca="1" si="3"/>
        <v>11</v>
      </c>
    </row>
    <row r="66" spans="1:5" x14ac:dyDescent="0.25">
      <c r="A66">
        <f t="shared" ca="1" si="4"/>
        <v>0.36703981209352488</v>
      </c>
      <c r="B66">
        <f t="shared" si="5"/>
        <v>3</v>
      </c>
      <c r="C66">
        <f t="shared" si="6"/>
        <v>4</v>
      </c>
      <c r="D66">
        <f t="shared" ca="1" si="2"/>
        <v>1</v>
      </c>
      <c r="E66">
        <f t="shared" ca="1" si="3"/>
        <v>16</v>
      </c>
    </row>
    <row r="67" spans="1:5" x14ac:dyDescent="0.25">
      <c r="A67">
        <f t="shared" ca="1" si="4"/>
        <v>0.71439758197543268</v>
      </c>
      <c r="B67">
        <f t="shared" si="5"/>
        <v>3</v>
      </c>
      <c r="C67">
        <f t="shared" si="6"/>
        <v>5</v>
      </c>
      <c r="D67">
        <f t="shared" ca="1" si="2"/>
        <v>1</v>
      </c>
      <c r="E67">
        <f t="shared" ca="1" si="3"/>
        <v>10</v>
      </c>
    </row>
    <row r="68" spans="1:5" x14ac:dyDescent="0.25">
      <c r="A68">
        <f t="shared" ca="1" si="4"/>
        <v>0.75298359766651513</v>
      </c>
      <c r="B68">
        <f t="shared" si="5"/>
        <v>3</v>
      </c>
      <c r="C68">
        <f t="shared" si="6"/>
        <v>6</v>
      </c>
      <c r="D68">
        <f t="shared" ca="1" si="2"/>
        <v>1</v>
      </c>
      <c r="E68">
        <f t="shared" ca="1" si="3"/>
        <v>10</v>
      </c>
    </row>
    <row r="69" spans="1:5" x14ac:dyDescent="0.25">
      <c r="A69">
        <f t="shared" ca="1" si="4"/>
        <v>6.09724811828396E-2</v>
      </c>
      <c r="B69">
        <f t="shared" si="5"/>
        <v>3</v>
      </c>
      <c r="C69">
        <f t="shared" si="6"/>
        <v>7</v>
      </c>
      <c r="D69">
        <f t="shared" ca="1" si="2"/>
        <v>3</v>
      </c>
      <c r="E69">
        <f t="shared" ca="1" si="3"/>
        <v>35</v>
      </c>
    </row>
    <row r="70" spans="1:5" x14ac:dyDescent="0.25">
      <c r="A70">
        <f t="shared" ca="1" si="4"/>
        <v>0.5768447959284283</v>
      </c>
      <c r="B70">
        <f t="shared" si="5"/>
        <v>3</v>
      </c>
      <c r="C70">
        <f t="shared" si="6"/>
        <v>8</v>
      </c>
      <c r="D70">
        <f t="shared" ca="1" si="2"/>
        <v>1</v>
      </c>
      <c r="E70">
        <f t="shared" ca="1" si="3"/>
        <v>8</v>
      </c>
    </row>
    <row r="71" spans="1:5" x14ac:dyDescent="0.25">
      <c r="A71">
        <f t="shared" ca="1" si="4"/>
        <v>0.94148405812845093</v>
      </c>
      <c r="B71">
        <f t="shared" si="5"/>
        <v>3</v>
      </c>
      <c r="C71">
        <f t="shared" si="6"/>
        <v>9</v>
      </c>
      <c r="D71">
        <f t="shared" ca="1" si="2"/>
        <v>1</v>
      </c>
      <c r="E71">
        <f t="shared" ca="1" si="3"/>
        <v>14</v>
      </c>
    </row>
    <row r="72" spans="1:5" x14ac:dyDescent="0.25">
      <c r="A72">
        <f t="shared" ca="1" si="4"/>
        <v>0.39585658182289851</v>
      </c>
      <c r="B72">
        <f t="shared" si="5"/>
        <v>3</v>
      </c>
      <c r="C72">
        <f t="shared" si="6"/>
        <v>10</v>
      </c>
      <c r="D72">
        <f t="shared" ca="1" si="2"/>
        <v>1</v>
      </c>
      <c r="E72">
        <f t="shared" ca="1" si="3"/>
        <v>11</v>
      </c>
    </row>
    <row r="73" spans="1:5" x14ac:dyDescent="0.25">
      <c r="A73">
        <f t="shared" ca="1" si="4"/>
        <v>0.26307649368138952</v>
      </c>
      <c r="B73">
        <f t="shared" si="5"/>
        <v>3</v>
      </c>
      <c r="C73">
        <f t="shared" si="6"/>
        <v>11</v>
      </c>
      <c r="D73">
        <f t="shared" ca="1" si="2"/>
        <v>1</v>
      </c>
      <c r="E73">
        <f t="shared" ca="1" si="3"/>
        <v>8</v>
      </c>
    </row>
    <row r="74" spans="1:5" x14ac:dyDescent="0.25">
      <c r="A74">
        <f t="shared" ca="1" si="4"/>
        <v>0.23403423358269571</v>
      </c>
      <c r="B74">
        <f t="shared" si="5"/>
        <v>3</v>
      </c>
      <c r="C74">
        <f t="shared" si="6"/>
        <v>12</v>
      </c>
      <c r="D74">
        <f t="shared" ca="1" si="2"/>
        <v>1</v>
      </c>
      <c r="E74">
        <f t="shared" ca="1" si="3"/>
        <v>8</v>
      </c>
    </row>
    <row r="75" spans="1:5" x14ac:dyDescent="0.25">
      <c r="A75">
        <f t="shared" ca="1" si="4"/>
        <v>0.9627384868349006</v>
      </c>
      <c r="B75">
        <f t="shared" si="5"/>
        <v>3</v>
      </c>
      <c r="C75">
        <f t="shared" si="6"/>
        <v>13</v>
      </c>
      <c r="D75">
        <f t="shared" ca="1" si="2"/>
        <v>1</v>
      </c>
      <c r="E75">
        <f t="shared" ca="1" si="3"/>
        <v>10</v>
      </c>
    </row>
    <row r="76" spans="1:5" x14ac:dyDescent="0.25">
      <c r="A76">
        <f t="shared" ca="1" si="4"/>
        <v>5.1027568262385081E-4</v>
      </c>
      <c r="B76">
        <f t="shared" si="5"/>
        <v>3</v>
      </c>
      <c r="C76">
        <f t="shared" si="6"/>
        <v>14</v>
      </c>
      <c r="D76">
        <f t="shared" ca="1" si="2"/>
        <v>1</v>
      </c>
      <c r="E76">
        <f t="shared" ca="1" si="3"/>
        <v>9</v>
      </c>
    </row>
    <row r="77" spans="1:5" x14ac:dyDescent="0.25">
      <c r="A77">
        <f t="shared" ca="1" si="4"/>
        <v>0.25218722755855982</v>
      </c>
      <c r="B77">
        <f t="shared" si="5"/>
        <v>3</v>
      </c>
      <c r="C77">
        <f t="shared" si="6"/>
        <v>15</v>
      </c>
      <c r="D77">
        <f t="shared" ca="1" si="2"/>
        <v>1</v>
      </c>
      <c r="E77">
        <f t="shared" ca="1" si="3"/>
        <v>9</v>
      </c>
    </row>
    <row r="78" spans="1:5" x14ac:dyDescent="0.25">
      <c r="A78">
        <f t="shared" ca="1" si="4"/>
        <v>0.21989992522073787</v>
      </c>
      <c r="B78">
        <f t="shared" si="5"/>
        <v>3</v>
      </c>
      <c r="C78">
        <f t="shared" si="6"/>
        <v>16</v>
      </c>
      <c r="D78">
        <f t="shared" ca="1" si="2"/>
        <v>1</v>
      </c>
      <c r="E78">
        <f t="shared" ca="1" si="3"/>
        <v>11</v>
      </c>
    </row>
    <row r="79" spans="1:5" x14ac:dyDescent="0.25">
      <c r="A79">
        <f t="shared" ca="1" si="4"/>
        <v>3.2498108814583371E-2</v>
      </c>
      <c r="B79">
        <f t="shared" si="5"/>
        <v>3</v>
      </c>
      <c r="C79">
        <f t="shared" si="6"/>
        <v>17</v>
      </c>
      <c r="D79">
        <f t="shared" ca="1" si="2"/>
        <v>2</v>
      </c>
      <c r="E79">
        <f t="shared" ca="1" si="3"/>
        <v>13</v>
      </c>
    </row>
    <row r="80" spans="1:5" x14ac:dyDescent="0.25">
      <c r="A80">
        <f t="shared" ca="1" si="4"/>
        <v>0.30990357936986479</v>
      </c>
      <c r="B80">
        <f t="shared" si="5"/>
        <v>3</v>
      </c>
      <c r="C80">
        <f t="shared" si="6"/>
        <v>18</v>
      </c>
      <c r="D80">
        <f t="shared" ca="1" si="2"/>
        <v>2</v>
      </c>
      <c r="E80">
        <f t="shared" ca="1" si="3"/>
        <v>20</v>
      </c>
    </row>
    <row r="81" spans="1:5" x14ac:dyDescent="0.25">
      <c r="A81">
        <f t="shared" ca="1" si="4"/>
        <v>0.97443404090897856</v>
      </c>
      <c r="B81">
        <f t="shared" si="5"/>
        <v>3</v>
      </c>
      <c r="C81">
        <f t="shared" si="6"/>
        <v>19</v>
      </c>
      <c r="D81">
        <f t="shared" ca="1" si="2"/>
        <v>1</v>
      </c>
      <c r="E81">
        <f t="shared" ca="1" si="3"/>
        <v>6</v>
      </c>
    </row>
    <row r="82" spans="1:5" x14ac:dyDescent="0.25">
      <c r="A82">
        <f t="shared" ca="1" si="4"/>
        <v>6.7138792485729182E-2</v>
      </c>
      <c r="B82">
        <f t="shared" si="5"/>
        <v>3</v>
      </c>
      <c r="C82">
        <f t="shared" si="6"/>
        <v>20</v>
      </c>
      <c r="D82">
        <f t="shared" ca="1" si="2"/>
        <v>1</v>
      </c>
      <c r="E82">
        <f t="shared" ca="1" si="3"/>
        <v>13</v>
      </c>
    </row>
    <row r="83" spans="1:5" x14ac:dyDescent="0.25">
      <c r="A83">
        <f t="shared" ca="1" si="4"/>
        <v>0.50081885497938461</v>
      </c>
      <c r="B83">
        <f t="shared" si="5"/>
        <v>4</v>
      </c>
      <c r="C83">
        <f t="shared" si="6"/>
        <v>1</v>
      </c>
      <c r="D83">
        <f t="shared" ca="1" si="2"/>
        <v>1</v>
      </c>
      <c r="E83">
        <f t="shared" ca="1" si="3"/>
        <v>7</v>
      </c>
    </row>
    <row r="84" spans="1:5" x14ac:dyDescent="0.25">
      <c r="A84">
        <f t="shared" ca="1" si="4"/>
        <v>0.95102635517762824</v>
      </c>
      <c r="B84">
        <f t="shared" si="5"/>
        <v>4</v>
      </c>
      <c r="C84">
        <f t="shared" si="6"/>
        <v>2</v>
      </c>
      <c r="D84">
        <f t="shared" ca="1" si="2"/>
        <v>3</v>
      </c>
      <c r="E84">
        <f t="shared" ca="1" si="3"/>
        <v>25</v>
      </c>
    </row>
    <row r="85" spans="1:5" x14ac:dyDescent="0.25">
      <c r="A85">
        <f t="shared" ca="1" si="4"/>
        <v>0.51693942563801665</v>
      </c>
      <c r="B85">
        <f t="shared" si="5"/>
        <v>4</v>
      </c>
      <c r="C85">
        <f t="shared" si="6"/>
        <v>3</v>
      </c>
      <c r="D85">
        <f t="shared" ca="1" si="2"/>
        <v>1</v>
      </c>
      <c r="E85">
        <f t="shared" ca="1" si="3"/>
        <v>8</v>
      </c>
    </row>
    <row r="86" spans="1:5" x14ac:dyDescent="0.25">
      <c r="A86">
        <f t="shared" ca="1" si="4"/>
        <v>0.78772826638514215</v>
      </c>
      <c r="B86">
        <f t="shared" si="5"/>
        <v>4</v>
      </c>
      <c r="C86">
        <f t="shared" si="6"/>
        <v>4</v>
      </c>
      <c r="D86">
        <f t="shared" ca="1" si="2"/>
        <v>1</v>
      </c>
      <c r="E86">
        <f t="shared" ca="1" si="3"/>
        <v>4</v>
      </c>
    </row>
    <row r="87" spans="1:5" x14ac:dyDescent="0.25">
      <c r="A87">
        <f t="shared" ca="1" si="4"/>
        <v>0.79524648415424892</v>
      </c>
      <c r="B87">
        <f t="shared" si="5"/>
        <v>4</v>
      </c>
      <c r="C87">
        <f t="shared" si="6"/>
        <v>5</v>
      </c>
      <c r="D87">
        <f t="shared" ref="D87:D150" ca="1" si="7">INDIRECT(ADDRESS(B87,C87,1,0),0)</f>
        <v>1</v>
      </c>
      <c r="E87">
        <f t="shared" ref="E87:E150" ca="1" si="8">INDIRECT(ADDRESS(B87,C87+21,1,0),0)</f>
        <v>11</v>
      </c>
    </row>
    <row r="88" spans="1:5" x14ac:dyDescent="0.25">
      <c r="A88">
        <f t="shared" ref="A88:A151" ca="1" si="9">RAND()</f>
        <v>0.92793852131911947</v>
      </c>
      <c r="B88">
        <f t="shared" si="5"/>
        <v>4</v>
      </c>
      <c r="C88">
        <f t="shared" si="6"/>
        <v>6</v>
      </c>
      <c r="D88">
        <f t="shared" ca="1" si="7"/>
        <v>1</v>
      </c>
      <c r="E88">
        <f t="shared" ca="1" si="8"/>
        <v>10</v>
      </c>
    </row>
    <row r="89" spans="1:5" x14ac:dyDescent="0.25">
      <c r="A89">
        <f t="shared" ca="1" si="9"/>
        <v>0.95015602777987695</v>
      </c>
      <c r="B89">
        <f t="shared" si="5"/>
        <v>4</v>
      </c>
      <c r="C89">
        <f t="shared" si="6"/>
        <v>7</v>
      </c>
      <c r="D89">
        <f t="shared" ca="1" si="7"/>
        <v>3</v>
      </c>
      <c r="E89">
        <f t="shared" ca="1" si="8"/>
        <v>18</v>
      </c>
    </row>
    <row r="90" spans="1:5" x14ac:dyDescent="0.25">
      <c r="A90">
        <f t="shared" ca="1" si="9"/>
        <v>0.35312700529055485</v>
      </c>
      <c r="B90">
        <f t="shared" si="5"/>
        <v>4</v>
      </c>
      <c r="C90">
        <f t="shared" si="6"/>
        <v>8</v>
      </c>
      <c r="D90">
        <f t="shared" ca="1" si="7"/>
        <v>1</v>
      </c>
      <c r="E90">
        <f t="shared" ca="1" si="8"/>
        <v>13</v>
      </c>
    </row>
    <row r="91" spans="1:5" x14ac:dyDescent="0.25">
      <c r="A91">
        <f t="shared" ca="1" si="9"/>
        <v>0.23350289559155957</v>
      </c>
      <c r="B91">
        <f t="shared" si="5"/>
        <v>4</v>
      </c>
      <c r="C91">
        <f t="shared" si="6"/>
        <v>9</v>
      </c>
      <c r="D91">
        <f t="shared" ca="1" si="7"/>
        <v>1</v>
      </c>
      <c r="E91">
        <f t="shared" ca="1" si="8"/>
        <v>9</v>
      </c>
    </row>
    <row r="92" spans="1:5" x14ac:dyDescent="0.25">
      <c r="A92">
        <f t="shared" ca="1" si="9"/>
        <v>0.76321120902305539</v>
      </c>
      <c r="B92">
        <f t="shared" si="5"/>
        <v>4</v>
      </c>
      <c r="C92">
        <f t="shared" si="6"/>
        <v>10</v>
      </c>
      <c r="D92">
        <f t="shared" ca="1" si="7"/>
        <v>1</v>
      </c>
      <c r="E92">
        <f t="shared" ca="1" si="8"/>
        <v>5</v>
      </c>
    </row>
    <row r="93" spans="1:5" x14ac:dyDescent="0.25">
      <c r="A93">
        <f t="shared" ca="1" si="9"/>
        <v>4.0481215974306539E-2</v>
      </c>
      <c r="B93">
        <f t="shared" si="5"/>
        <v>4</v>
      </c>
      <c r="C93">
        <f t="shared" si="6"/>
        <v>11</v>
      </c>
      <c r="D93">
        <f t="shared" ca="1" si="7"/>
        <v>1</v>
      </c>
      <c r="E93">
        <f t="shared" ca="1" si="8"/>
        <v>14</v>
      </c>
    </row>
    <row r="94" spans="1:5" x14ac:dyDescent="0.25">
      <c r="A94">
        <f t="shared" ca="1" si="9"/>
        <v>7.5074353149789608E-2</v>
      </c>
      <c r="B94">
        <f t="shared" si="5"/>
        <v>4</v>
      </c>
      <c r="C94">
        <f t="shared" si="6"/>
        <v>12</v>
      </c>
      <c r="D94">
        <f t="shared" ca="1" si="7"/>
        <v>1</v>
      </c>
      <c r="E94">
        <f t="shared" ca="1" si="8"/>
        <v>9</v>
      </c>
    </row>
    <row r="95" spans="1:5" x14ac:dyDescent="0.25">
      <c r="A95">
        <f t="shared" ca="1" si="9"/>
        <v>0.10134671747249779</v>
      </c>
      <c r="B95">
        <f t="shared" si="5"/>
        <v>4</v>
      </c>
      <c r="C95">
        <f t="shared" si="6"/>
        <v>13</v>
      </c>
      <c r="D95">
        <f t="shared" ca="1" si="7"/>
        <v>1</v>
      </c>
      <c r="E95">
        <f t="shared" ca="1" si="8"/>
        <v>8</v>
      </c>
    </row>
    <row r="96" spans="1:5" x14ac:dyDescent="0.25">
      <c r="A96">
        <f t="shared" ca="1" si="9"/>
        <v>0.71080853814323619</v>
      </c>
      <c r="B96">
        <f t="shared" si="5"/>
        <v>4</v>
      </c>
      <c r="C96">
        <f t="shared" si="6"/>
        <v>14</v>
      </c>
      <c r="D96">
        <f t="shared" ca="1" si="7"/>
        <v>1</v>
      </c>
      <c r="E96">
        <f t="shared" ca="1" si="8"/>
        <v>10</v>
      </c>
    </row>
    <row r="97" spans="1:5" x14ac:dyDescent="0.25">
      <c r="A97">
        <f t="shared" ca="1" si="9"/>
        <v>0.54163665753694901</v>
      </c>
      <c r="B97">
        <f t="shared" si="5"/>
        <v>4</v>
      </c>
      <c r="C97">
        <f t="shared" si="6"/>
        <v>15</v>
      </c>
      <c r="D97">
        <f t="shared" ca="1" si="7"/>
        <v>1</v>
      </c>
      <c r="E97">
        <f t="shared" ca="1" si="8"/>
        <v>10</v>
      </c>
    </row>
    <row r="98" spans="1:5" x14ac:dyDescent="0.25">
      <c r="A98">
        <f t="shared" ca="1" si="9"/>
        <v>0.22732362778877602</v>
      </c>
      <c r="B98">
        <f t="shared" si="5"/>
        <v>4</v>
      </c>
      <c r="C98">
        <f t="shared" si="6"/>
        <v>16</v>
      </c>
      <c r="D98">
        <f t="shared" ca="1" si="7"/>
        <v>1</v>
      </c>
      <c r="E98">
        <f t="shared" ca="1" si="8"/>
        <v>8</v>
      </c>
    </row>
    <row r="99" spans="1:5" x14ac:dyDescent="0.25">
      <c r="A99">
        <f t="shared" ca="1" si="9"/>
        <v>0.50043443209574523</v>
      </c>
      <c r="B99">
        <f t="shared" si="5"/>
        <v>4</v>
      </c>
      <c r="C99">
        <f t="shared" si="6"/>
        <v>17</v>
      </c>
      <c r="D99">
        <f t="shared" ca="1" si="7"/>
        <v>1</v>
      </c>
      <c r="E99">
        <f t="shared" ca="1" si="8"/>
        <v>13</v>
      </c>
    </row>
    <row r="100" spans="1:5" x14ac:dyDescent="0.25">
      <c r="A100">
        <f t="shared" ca="1" si="9"/>
        <v>0.68360007790759381</v>
      </c>
      <c r="B100">
        <f t="shared" si="5"/>
        <v>4</v>
      </c>
      <c r="C100">
        <f t="shared" si="6"/>
        <v>18</v>
      </c>
      <c r="D100">
        <f t="shared" ca="1" si="7"/>
        <v>2</v>
      </c>
      <c r="E100">
        <f t="shared" ca="1" si="8"/>
        <v>22</v>
      </c>
    </row>
    <row r="101" spans="1:5" x14ac:dyDescent="0.25">
      <c r="A101">
        <f t="shared" ca="1" si="9"/>
        <v>0.51950388514616141</v>
      </c>
      <c r="B101">
        <f t="shared" si="5"/>
        <v>4</v>
      </c>
      <c r="C101">
        <f t="shared" si="6"/>
        <v>19</v>
      </c>
      <c r="D101">
        <f t="shared" ca="1" si="7"/>
        <v>2</v>
      </c>
      <c r="E101">
        <f t="shared" ca="1" si="8"/>
        <v>21</v>
      </c>
    </row>
    <row r="102" spans="1:5" x14ac:dyDescent="0.25">
      <c r="A102">
        <f t="shared" ca="1" si="9"/>
        <v>0.64546975300411757</v>
      </c>
      <c r="B102">
        <f t="shared" si="5"/>
        <v>4</v>
      </c>
      <c r="C102">
        <f t="shared" si="6"/>
        <v>20</v>
      </c>
      <c r="D102">
        <f t="shared" ca="1" si="7"/>
        <v>2</v>
      </c>
      <c r="E102">
        <f t="shared" ca="1" si="8"/>
        <v>26</v>
      </c>
    </row>
    <row r="103" spans="1:5" x14ac:dyDescent="0.25">
      <c r="A103">
        <f t="shared" ca="1" si="9"/>
        <v>0.43879401145621755</v>
      </c>
      <c r="B103">
        <f t="shared" si="5"/>
        <v>5</v>
      </c>
      <c r="C103">
        <f t="shared" si="6"/>
        <v>1</v>
      </c>
      <c r="D103">
        <f t="shared" ca="1" si="7"/>
        <v>1</v>
      </c>
      <c r="E103">
        <f t="shared" ca="1" si="8"/>
        <v>8</v>
      </c>
    </row>
    <row r="104" spans="1:5" x14ac:dyDescent="0.25">
      <c r="A104">
        <f t="shared" ca="1" si="9"/>
        <v>0.61378528751816452</v>
      </c>
      <c r="B104">
        <f t="shared" si="5"/>
        <v>5</v>
      </c>
      <c r="C104">
        <f t="shared" si="6"/>
        <v>2</v>
      </c>
      <c r="D104">
        <f t="shared" ca="1" si="7"/>
        <v>1</v>
      </c>
      <c r="E104">
        <f t="shared" ca="1" si="8"/>
        <v>7</v>
      </c>
    </row>
    <row r="105" spans="1:5" x14ac:dyDescent="0.25">
      <c r="A105">
        <f t="shared" ca="1" si="9"/>
        <v>9.2508416430395757E-3</v>
      </c>
      <c r="B105">
        <f t="shared" si="5"/>
        <v>5</v>
      </c>
      <c r="C105">
        <f t="shared" si="6"/>
        <v>3</v>
      </c>
      <c r="D105">
        <f t="shared" ca="1" si="7"/>
        <v>3</v>
      </c>
      <c r="E105">
        <f t="shared" ca="1" si="8"/>
        <v>28</v>
      </c>
    </row>
    <row r="106" spans="1:5" x14ac:dyDescent="0.25">
      <c r="A106">
        <f t="shared" ca="1" si="9"/>
        <v>9.2977241741168393E-2</v>
      </c>
      <c r="B106">
        <f t="shared" si="5"/>
        <v>5</v>
      </c>
      <c r="C106">
        <f t="shared" si="6"/>
        <v>4</v>
      </c>
      <c r="D106">
        <f t="shared" ca="1" si="7"/>
        <v>1</v>
      </c>
      <c r="E106">
        <f t="shared" ca="1" si="8"/>
        <v>16</v>
      </c>
    </row>
    <row r="107" spans="1:5" x14ac:dyDescent="0.25">
      <c r="A107">
        <f t="shared" ca="1" si="9"/>
        <v>0.39310323712167217</v>
      </c>
      <c r="B107">
        <f t="shared" si="5"/>
        <v>5</v>
      </c>
      <c r="C107">
        <f t="shared" si="6"/>
        <v>5</v>
      </c>
      <c r="D107">
        <f t="shared" ca="1" si="7"/>
        <v>1</v>
      </c>
      <c r="E107">
        <f t="shared" ca="1" si="8"/>
        <v>13</v>
      </c>
    </row>
    <row r="108" spans="1:5" x14ac:dyDescent="0.25">
      <c r="A108">
        <f t="shared" ca="1" si="9"/>
        <v>0.98824452585817035</v>
      </c>
      <c r="B108">
        <f t="shared" ref="B108:B171" si="10">B88+1</f>
        <v>5</v>
      </c>
      <c r="C108">
        <f t="shared" ref="C108:C171" si="11">C88</f>
        <v>6</v>
      </c>
      <c r="D108">
        <f t="shared" ca="1" si="7"/>
        <v>3</v>
      </c>
      <c r="E108">
        <f t="shared" ca="1" si="8"/>
        <v>22</v>
      </c>
    </row>
    <row r="109" spans="1:5" x14ac:dyDescent="0.25">
      <c r="A109">
        <f t="shared" ca="1" si="9"/>
        <v>0.39665004847339658</v>
      </c>
      <c r="B109">
        <f t="shared" si="10"/>
        <v>5</v>
      </c>
      <c r="C109">
        <f t="shared" si="11"/>
        <v>7</v>
      </c>
      <c r="D109">
        <f t="shared" ca="1" si="7"/>
        <v>3</v>
      </c>
      <c r="E109">
        <f t="shared" ca="1" si="8"/>
        <v>21</v>
      </c>
    </row>
    <row r="110" spans="1:5" x14ac:dyDescent="0.25">
      <c r="A110">
        <f t="shared" ca="1" si="9"/>
        <v>3.0016192295491129E-2</v>
      </c>
      <c r="B110">
        <f t="shared" si="10"/>
        <v>5</v>
      </c>
      <c r="C110">
        <f t="shared" si="11"/>
        <v>8</v>
      </c>
      <c r="D110">
        <f t="shared" ca="1" si="7"/>
        <v>1</v>
      </c>
      <c r="E110">
        <f t="shared" ca="1" si="8"/>
        <v>10</v>
      </c>
    </row>
    <row r="111" spans="1:5" x14ac:dyDescent="0.25">
      <c r="A111">
        <f t="shared" ca="1" si="9"/>
        <v>0.97200403124349333</v>
      </c>
      <c r="B111">
        <f t="shared" si="10"/>
        <v>5</v>
      </c>
      <c r="C111">
        <f t="shared" si="11"/>
        <v>9</v>
      </c>
      <c r="D111">
        <f t="shared" ca="1" si="7"/>
        <v>1</v>
      </c>
      <c r="E111">
        <f t="shared" ca="1" si="8"/>
        <v>15</v>
      </c>
    </row>
    <row r="112" spans="1:5" x14ac:dyDescent="0.25">
      <c r="A112">
        <f t="shared" ca="1" si="9"/>
        <v>0.47055929791966267</v>
      </c>
      <c r="B112">
        <f t="shared" si="10"/>
        <v>5</v>
      </c>
      <c r="C112">
        <f t="shared" si="11"/>
        <v>10</v>
      </c>
      <c r="D112">
        <f t="shared" ca="1" si="7"/>
        <v>1</v>
      </c>
      <c r="E112">
        <f t="shared" ca="1" si="8"/>
        <v>12</v>
      </c>
    </row>
    <row r="113" spans="1:5" x14ac:dyDescent="0.25">
      <c r="A113">
        <f t="shared" ca="1" si="9"/>
        <v>0.51297962761020532</v>
      </c>
      <c r="B113">
        <f t="shared" si="10"/>
        <v>5</v>
      </c>
      <c r="C113">
        <f t="shared" si="11"/>
        <v>11</v>
      </c>
      <c r="D113">
        <f t="shared" ca="1" si="7"/>
        <v>1</v>
      </c>
      <c r="E113">
        <f t="shared" ca="1" si="8"/>
        <v>8</v>
      </c>
    </row>
    <row r="114" spans="1:5" x14ac:dyDescent="0.25">
      <c r="A114">
        <f t="shared" ca="1" si="9"/>
        <v>0.46639055272370555</v>
      </c>
      <c r="B114">
        <f t="shared" si="10"/>
        <v>5</v>
      </c>
      <c r="C114">
        <f t="shared" si="11"/>
        <v>12</v>
      </c>
      <c r="D114">
        <f t="shared" ca="1" si="7"/>
        <v>1</v>
      </c>
      <c r="E114">
        <f t="shared" ca="1" si="8"/>
        <v>15</v>
      </c>
    </row>
    <row r="115" spans="1:5" x14ac:dyDescent="0.25">
      <c r="A115">
        <f t="shared" ca="1" si="9"/>
        <v>0.39270545020651837</v>
      </c>
      <c r="B115">
        <f t="shared" si="10"/>
        <v>5</v>
      </c>
      <c r="C115">
        <f t="shared" si="11"/>
        <v>13</v>
      </c>
      <c r="D115">
        <f t="shared" ca="1" si="7"/>
        <v>1</v>
      </c>
      <c r="E115">
        <f t="shared" ca="1" si="8"/>
        <v>10</v>
      </c>
    </row>
    <row r="116" spans="1:5" x14ac:dyDescent="0.25">
      <c r="A116">
        <f t="shared" ca="1" si="9"/>
        <v>0.36429447669264059</v>
      </c>
      <c r="B116">
        <f t="shared" si="10"/>
        <v>5</v>
      </c>
      <c r="C116">
        <f t="shared" si="11"/>
        <v>14</v>
      </c>
      <c r="D116">
        <f t="shared" ca="1" si="7"/>
        <v>1</v>
      </c>
      <c r="E116">
        <f t="shared" ca="1" si="8"/>
        <v>12</v>
      </c>
    </row>
    <row r="117" spans="1:5" x14ac:dyDescent="0.25">
      <c r="A117">
        <f t="shared" ca="1" si="9"/>
        <v>0.40824019813629309</v>
      </c>
      <c r="B117">
        <f t="shared" si="10"/>
        <v>5</v>
      </c>
      <c r="C117">
        <f t="shared" si="11"/>
        <v>15</v>
      </c>
      <c r="D117">
        <f t="shared" ca="1" si="7"/>
        <v>1</v>
      </c>
      <c r="E117">
        <f t="shared" ca="1" si="8"/>
        <v>8</v>
      </c>
    </row>
    <row r="118" spans="1:5" x14ac:dyDescent="0.25">
      <c r="A118">
        <f t="shared" ca="1" si="9"/>
        <v>0.74684112328560626</v>
      </c>
      <c r="B118">
        <f t="shared" si="10"/>
        <v>5</v>
      </c>
      <c r="C118">
        <f t="shared" si="11"/>
        <v>16</v>
      </c>
      <c r="D118">
        <f t="shared" ca="1" si="7"/>
        <v>1</v>
      </c>
      <c r="E118">
        <f t="shared" ca="1" si="8"/>
        <v>9</v>
      </c>
    </row>
    <row r="119" spans="1:5" x14ac:dyDescent="0.25">
      <c r="A119">
        <f t="shared" ca="1" si="9"/>
        <v>0.59802747090721864</v>
      </c>
      <c r="B119">
        <f t="shared" si="10"/>
        <v>5</v>
      </c>
      <c r="C119">
        <f t="shared" si="11"/>
        <v>17</v>
      </c>
      <c r="D119">
        <f t="shared" ca="1" si="7"/>
        <v>2</v>
      </c>
      <c r="E119">
        <f t="shared" ca="1" si="8"/>
        <v>15</v>
      </c>
    </row>
    <row r="120" spans="1:5" x14ac:dyDescent="0.25">
      <c r="A120">
        <f t="shared" ca="1" si="9"/>
        <v>0.94390544848068669</v>
      </c>
      <c r="B120">
        <f t="shared" si="10"/>
        <v>5</v>
      </c>
      <c r="C120">
        <f t="shared" si="11"/>
        <v>18</v>
      </c>
      <c r="D120">
        <f t="shared" ca="1" si="7"/>
        <v>2</v>
      </c>
      <c r="E120">
        <f t="shared" ca="1" si="8"/>
        <v>24</v>
      </c>
    </row>
    <row r="121" spans="1:5" x14ac:dyDescent="0.25">
      <c r="A121">
        <f t="shared" ca="1" si="9"/>
        <v>0.83803110708209738</v>
      </c>
      <c r="B121">
        <f t="shared" si="10"/>
        <v>5</v>
      </c>
      <c r="C121">
        <f t="shared" si="11"/>
        <v>19</v>
      </c>
      <c r="D121">
        <f t="shared" ca="1" si="7"/>
        <v>2</v>
      </c>
      <c r="E121">
        <f t="shared" ca="1" si="8"/>
        <v>20</v>
      </c>
    </row>
    <row r="122" spans="1:5" x14ac:dyDescent="0.25">
      <c r="A122">
        <f t="shared" ca="1" si="9"/>
        <v>0.71343022814402735</v>
      </c>
      <c r="B122">
        <f t="shared" si="10"/>
        <v>5</v>
      </c>
      <c r="C122">
        <f t="shared" si="11"/>
        <v>20</v>
      </c>
      <c r="D122">
        <f t="shared" ca="1" si="7"/>
        <v>1</v>
      </c>
      <c r="E122">
        <f t="shared" ca="1" si="8"/>
        <v>10</v>
      </c>
    </row>
    <row r="123" spans="1:5" x14ac:dyDescent="0.25">
      <c r="A123">
        <f t="shared" ca="1" si="9"/>
        <v>0.6382285477059817</v>
      </c>
      <c r="B123">
        <f t="shared" si="10"/>
        <v>6</v>
      </c>
      <c r="C123">
        <f t="shared" si="11"/>
        <v>1</v>
      </c>
      <c r="D123">
        <f t="shared" ca="1" si="7"/>
        <v>1</v>
      </c>
      <c r="E123">
        <f t="shared" ca="1" si="8"/>
        <v>10</v>
      </c>
    </row>
    <row r="124" spans="1:5" x14ac:dyDescent="0.25">
      <c r="A124">
        <f t="shared" ca="1" si="9"/>
        <v>0.85014174620809579</v>
      </c>
      <c r="B124">
        <f t="shared" si="10"/>
        <v>6</v>
      </c>
      <c r="C124">
        <f t="shared" si="11"/>
        <v>2</v>
      </c>
      <c r="D124">
        <f t="shared" ca="1" si="7"/>
        <v>1</v>
      </c>
      <c r="E124">
        <f t="shared" ca="1" si="8"/>
        <v>7</v>
      </c>
    </row>
    <row r="125" spans="1:5" x14ac:dyDescent="0.25">
      <c r="A125">
        <f t="shared" ca="1" si="9"/>
        <v>0.13538549706248404</v>
      </c>
      <c r="B125">
        <f t="shared" si="10"/>
        <v>6</v>
      </c>
      <c r="C125">
        <f t="shared" si="11"/>
        <v>3</v>
      </c>
      <c r="D125">
        <f t="shared" ca="1" si="7"/>
        <v>1</v>
      </c>
      <c r="E125">
        <f t="shared" ca="1" si="8"/>
        <v>11</v>
      </c>
    </row>
    <row r="126" spans="1:5" x14ac:dyDescent="0.25">
      <c r="A126">
        <f t="shared" ca="1" si="9"/>
        <v>6.7823811135879319E-2</v>
      </c>
      <c r="B126">
        <f t="shared" si="10"/>
        <v>6</v>
      </c>
      <c r="C126">
        <f t="shared" si="11"/>
        <v>4</v>
      </c>
      <c r="D126">
        <f t="shared" ca="1" si="7"/>
        <v>1</v>
      </c>
      <c r="E126">
        <f t="shared" ca="1" si="8"/>
        <v>13</v>
      </c>
    </row>
    <row r="127" spans="1:5" x14ac:dyDescent="0.25">
      <c r="A127">
        <f t="shared" ca="1" si="9"/>
        <v>8.1405685658715865E-2</v>
      </c>
      <c r="B127">
        <f t="shared" si="10"/>
        <v>6</v>
      </c>
      <c r="C127">
        <f t="shared" si="11"/>
        <v>5</v>
      </c>
      <c r="D127">
        <f t="shared" ca="1" si="7"/>
        <v>1</v>
      </c>
      <c r="E127">
        <f t="shared" ca="1" si="8"/>
        <v>7</v>
      </c>
    </row>
    <row r="128" spans="1:5" x14ac:dyDescent="0.25">
      <c r="A128">
        <f t="shared" ca="1" si="9"/>
        <v>6.6785324289067027E-2</v>
      </c>
      <c r="B128">
        <f t="shared" si="10"/>
        <v>6</v>
      </c>
      <c r="C128">
        <f t="shared" si="11"/>
        <v>6</v>
      </c>
      <c r="D128">
        <f t="shared" ca="1" si="7"/>
        <v>1</v>
      </c>
      <c r="E128">
        <f t="shared" ca="1" si="8"/>
        <v>14</v>
      </c>
    </row>
    <row r="129" spans="1:5" x14ac:dyDescent="0.25">
      <c r="A129">
        <f t="shared" ca="1" si="9"/>
        <v>0.9972814916639392</v>
      </c>
      <c r="B129">
        <f t="shared" si="10"/>
        <v>6</v>
      </c>
      <c r="C129">
        <f t="shared" si="11"/>
        <v>7</v>
      </c>
      <c r="D129">
        <f t="shared" ca="1" si="7"/>
        <v>1</v>
      </c>
      <c r="E129">
        <f t="shared" ca="1" si="8"/>
        <v>14</v>
      </c>
    </row>
    <row r="130" spans="1:5" x14ac:dyDescent="0.25">
      <c r="A130">
        <f t="shared" ca="1" si="9"/>
        <v>0.34389755537688305</v>
      </c>
      <c r="B130">
        <f t="shared" si="10"/>
        <v>6</v>
      </c>
      <c r="C130">
        <f t="shared" si="11"/>
        <v>8</v>
      </c>
      <c r="D130">
        <f t="shared" ca="1" si="7"/>
        <v>3</v>
      </c>
      <c r="E130">
        <f t="shared" ca="1" si="8"/>
        <v>26</v>
      </c>
    </row>
    <row r="131" spans="1:5" x14ac:dyDescent="0.25">
      <c r="A131">
        <f t="shared" ca="1" si="9"/>
        <v>4.0107504641352376E-3</v>
      </c>
      <c r="B131">
        <f t="shared" si="10"/>
        <v>6</v>
      </c>
      <c r="C131">
        <f t="shared" si="11"/>
        <v>9</v>
      </c>
      <c r="D131">
        <f t="shared" ca="1" si="7"/>
        <v>1</v>
      </c>
      <c r="E131">
        <f t="shared" ca="1" si="8"/>
        <v>6</v>
      </c>
    </row>
    <row r="132" spans="1:5" x14ac:dyDescent="0.25">
      <c r="A132">
        <f t="shared" ca="1" si="9"/>
        <v>0.45308171021818788</v>
      </c>
      <c r="B132">
        <f t="shared" si="10"/>
        <v>6</v>
      </c>
      <c r="C132">
        <f t="shared" si="11"/>
        <v>10</v>
      </c>
      <c r="D132">
        <f t="shared" ca="1" si="7"/>
        <v>1</v>
      </c>
      <c r="E132">
        <f t="shared" ca="1" si="8"/>
        <v>4</v>
      </c>
    </row>
    <row r="133" spans="1:5" x14ac:dyDescent="0.25">
      <c r="A133">
        <f t="shared" ca="1" si="9"/>
        <v>6.9020493680385098E-2</v>
      </c>
      <c r="B133">
        <f t="shared" si="10"/>
        <v>6</v>
      </c>
      <c r="C133">
        <f t="shared" si="11"/>
        <v>11</v>
      </c>
      <c r="D133">
        <f t="shared" ca="1" si="7"/>
        <v>1</v>
      </c>
      <c r="E133">
        <f t="shared" ca="1" si="8"/>
        <v>9</v>
      </c>
    </row>
    <row r="134" spans="1:5" x14ac:dyDescent="0.25">
      <c r="A134">
        <f t="shared" ca="1" si="9"/>
        <v>0.90140420463329751</v>
      </c>
      <c r="B134">
        <f t="shared" si="10"/>
        <v>6</v>
      </c>
      <c r="C134">
        <f t="shared" si="11"/>
        <v>12</v>
      </c>
      <c r="D134">
        <f t="shared" ca="1" si="7"/>
        <v>1</v>
      </c>
      <c r="E134">
        <f t="shared" ca="1" si="8"/>
        <v>10</v>
      </c>
    </row>
    <row r="135" spans="1:5" x14ac:dyDescent="0.25">
      <c r="A135">
        <f t="shared" ca="1" si="9"/>
        <v>0.84053539965217539</v>
      </c>
      <c r="B135">
        <f t="shared" si="10"/>
        <v>6</v>
      </c>
      <c r="C135">
        <f t="shared" si="11"/>
        <v>13</v>
      </c>
      <c r="D135">
        <f t="shared" ca="1" si="7"/>
        <v>1</v>
      </c>
      <c r="E135">
        <f t="shared" ca="1" si="8"/>
        <v>7</v>
      </c>
    </row>
    <row r="136" spans="1:5" x14ac:dyDescent="0.25">
      <c r="A136">
        <f t="shared" ca="1" si="9"/>
        <v>0.96565455589086246</v>
      </c>
      <c r="B136">
        <f t="shared" si="10"/>
        <v>6</v>
      </c>
      <c r="C136">
        <f t="shared" si="11"/>
        <v>14</v>
      </c>
      <c r="D136">
        <f t="shared" ca="1" si="7"/>
        <v>1</v>
      </c>
      <c r="E136">
        <f t="shared" ca="1" si="8"/>
        <v>8</v>
      </c>
    </row>
    <row r="137" spans="1:5" x14ac:dyDescent="0.25">
      <c r="A137">
        <f t="shared" ca="1" si="9"/>
        <v>1.6365066334816714E-2</v>
      </c>
      <c r="B137">
        <f t="shared" si="10"/>
        <v>6</v>
      </c>
      <c r="C137">
        <f t="shared" si="11"/>
        <v>15</v>
      </c>
      <c r="D137">
        <f t="shared" ca="1" si="7"/>
        <v>1</v>
      </c>
      <c r="E137">
        <f t="shared" ca="1" si="8"/>
        <v>11</v>
      </c>
    </row>
    <row r="138" spans="1:5" x14ac:dyDescent="0.25">
      <c r="A138">
        <f t="shared" ca="1" si="9"/>
        <v>1.438782357087165E-2</v>
      </c>
      <c r="B138">
        <f t="shared" si="10"/>
        <v>6</v>
      </c>
      <c r="C138">
        <f t="shared" si="11"/>
        <v>16</v>
      </c>
      <c r="D138">
        <f t="shared" ca="1" si="7"/>
        <v>2</v>
      </c>
      <c r="E138">
        <f t="shared" ca="1" si="8"/>
        <v>26</v>
      </c>
    </row>
    <row r="139" spans="1:5" x14ac:dyDescent="0.25">
      <c r="A139">
        <f t="shared" ca="1" si="9"/>
        <v>2.8372084230214978E-2</v>
      </c>
      <c r="B139">
        <f t="shared" si="10"/>
        <v>6</v>
      </c>
      <c r="C139">
        <f t="shared" si="11"/>
        <v>17</v>
      </c>
      <c r="D139">
        <f t="shared" ca="1" si="7"/>
        <v>2</v>
      </c>
      <c r="E139">
        <f t="shared" ca="1" si="8"/>
        <v>20</v>
      </c>
    </row>
    <row r="140" spans="1:5" x14ac:dyDescent="0.25">
      <c r="A140">
        <f t="shared" ca="1" si="9"/>
        <v>0.4252353865437758</v>
      </c>
      <c r="B140">
        <f t="shared" si="10"/>
        <v>6</v>
      </c>
      <c r="C140">
        <f t="shared" si="11"/>
        <v>18</v>
      </c>
      <c r="D140">
        <f t="shared" ca="1" si="7"/>
        <v>2</v>
      </c>
      <c r="E140">
        <f t="shared" ca="1" si="8"/>
        <v>30</v>
      </c>
    </row>
    <row r="141" spans="1:5" x14ac:dyDescent="0.25">
      <c r="A141">
        <f t="shared" ca="1" si="9"/>
        <v>0.42890111617468185</v>
      </c>
      <c r="B141">
        <f t="shared" si="10"/>
        <v>6</v>
      </c>
      <c r="C141">
        <f t="shared" si="11"/>
        <v>19</v>
      </c>
      <c r="D141">
        <f t="shared" ca="1" si="7"/>
        <v>1</v>
      </c>
      <c r="E141">
        <f t="shared" ca="1" si="8"/>
        <v>9</v>
      </c>
    </row>
    <row r="142" spans="1:5" x14ac:dyDescent="0.25">
      <c r="A142">
        <f t="shared" ca="1" si="9"/>
        <v>0.1161251365750291</v>
      </c>
      <c r="B142">
        <f t="shared" si="10"/>
        <v>6</v>
      </c>
      <c r="C142">
        <f t="shared" si="11"/>
        <v>20</v>
      </c>
      <c r="D142">
        <f t="shared" ca="1" si="7"/>
        <v>1</v>
      </c>
      <c r="E142">
        <f t="shared" ca="1" si="8"/>
        <v>11</v>
      </c>
    </row>
    <row r="143" spans="1:5" x14ac:dyDescent="0.25">
      <c r="A143">
        <f t="shared" ca="1" si="9"/>
        <v>0.8689251331182215</v>
      </c>
      <c r="B143">
        <f t="shared" si="10"/>
        <v>7</v>
      </c>
      <c r="C143">
        <f t="shared" si="11"/>
        <v>1</v>
      </c>
      <c r="D143">
        <f t="shared" ca="1" si="7"/>
        <v>2</v>
      </c>
      <c r="E143">
        <f t="shared" ca="1" si="8"/>
        <v>27</v>
      </c>
    </row>
    <row r="144" spans="1:5" x14ac:dyDescent="0.25">
      <c r="A144">
        <f t="shared" ca="1" si="9"/>
        <v>8.8830341141663216E-2</v>
      </c>
      <c r="B144">
        <f t="shared" si="10"/>
        <v>7</v>
      </c>
      <c r="C144">
        <f t="shared" si="11"/>
        <v>2</v>
      </c>
      <c r="D144">
        <f t="shared" ca="1" si="7"/>
        <v>1</v>
      </c>
      <c r="E144">
        <f t="shared" ca="1" si="8"/>
        <v>11</v>
      </c>
    </row>
    <row r="145" spans="1:5" x14ac:dyDescent="0.25">
      <c r="A145">
        <f t="shared" ca="1" si="9"/>
        <v>0.58514002426200729</v>
      </c>
      <c r="B145">
        <f t="shared" si="10"/>
        <v>7</v>
      </c>
      <c r="C145">
        <f t="shared" si="11"/>
        <v>3</v>
      </c>
      <c r="D145">
        <f t="shared" ca="1" si="7"/>
        <v>1</v>
      </c>
      <c r="E145">
        <f t="shared" ca="1" si="8"/>
        <v>14</v>
      </c>
    </row>
    <row r="146" spans="1:5" x14ac:dyDescent="0.25">
      <c r="A146">
        <f t="shared" ca="1" si="9"/>
        <v>0.89208011956587252</v>
      </c>
      <c r="B146">
        <f t="shared" si="10"/>
        <v>7</v>
      </c>
      <c r="C146">
        <f t="shared" si="11"/>
        <v>4</v>
      </c>
      <c r="D146">
        <f t="shared" ca="1" si="7"/>
        <v>1</v>
      </c>
      <c r="E146">
        <f t="shared" ca="1" si="8"/>
        <v>13</v>
      </c>
    </row>
    <row r="147" spans="1:5" x14ac:dyDescent="0.25">
      <c r="A147">
        <f t="shared" ca="1" si="9"/>
        <v>0.29359816842735831</v>
      </c>
      <c r="B147">
        <f t="shared" si="10"/>
        <v>7</v>
      </c>
      <c r="C147">
        <f t="shared" si="11"/>
        <v>5</v>
      </c>
      <c r="D147">
        <f t="shared" ca="1" si="7"/>
        <v>1</v>
      </c>
      <c r="E147">
        <f t="shared" ca="1" si="8"/>
        <v>15</v>
      </c>
    </row>
    <row r="148" spans="1:5" x14ac:dyDescent="0.25">
      <c r="A148">
        <f t="shared" ca="1" si="9"/>
        <v>0.76374830831285045</v>
      </c>
      <c r="B148">
        <f t="shared" si="10"/>
        <v>7</v>
      </c>
      <c r="C148">
        <f t="shared" si="11"/>
        <v>6</v>
      </c>
      <c r="D148">
        <f t="shared" ca="1" si="7"/>
        <v>1</v>
      </c>
      <c r="E148">
        <f t="shared" ca="1" si="8"/>
        <v>11</v>
      </c>
    </row>
    <row r="149" spans="1:5" x14ac:dyDescent="0.25">
      <c r="A149">
        <f t="shared" ca="1" si="9"/>
        <v>0.92309731937454353</v>
      </c>
      <c r="B149">
        <f t="shared" si="10"/>
        <v>7</v>
      </c>
      <c r="C149">
        <f t="shared" si="11"/>
        <v>7</v>
      </c>
      <c r="D149">
        <f t="shared" ca="1" si="7"/>
        <v>1</v>
      </c>
      <c r="E149">
        <f t="shared" ca="1" si="8"/>
        <v>10</v>
      </c>
    </row>
    <row r="150" spans="1:5" x14ac:dyDescent="0.25">
      <c r="A150">
        <f t="shared" ca="1" si="9"/>
        <v>0.62795509174576947</v>
      </c>
      <c r="B150">
        <f t="shared" si="10"/>
        <v>7</v>
      </c>
      <c r="C150">
        <f t="shared" si="11"/>
        <v>8</v>
      </c>
      <c r="D150">
        <f t="shared" ca="1" si="7"/>
        <v>3</v>
      </c>
      <c r="E150">
        <f t="shared" ca="1" si="8"/>
        <v>27</v>
      </c>
    </row>
    <row r="151" spans="1:5" x14ac:dyDescent="0.25">
      <c r="A151">
        <f t="shared" ca="1" si="9"/>
        <v>0.15088629211890425</v>
      </c>
      <c r="B151">
        <f t="shared" si="10"/>
        <v>7</v>
      </c>
      <c r="C151">
        <f t="shared" si="11"/>
        <v>9</v>
      </c>
      <c r="D151">
        <f t="shared" ref="D151:D214" ca="1" si="12">INDIRECT(ADDRESS(B151,C151,1,0),0)</f>
        <v>3</v>
      </c>
      <c r="E151">
        <f t="shared" ref="E151:E214" ca="1" si="13">INDIRECT(ADDRESS(B151,C151+21,1,0),0)</f>
        <v>28</v>
      </c>
    </row>
    <row r="152" spans="1:5" x14ac:dyDescent="0.25">
      <c r="A152">
        <f t="shared" ref="A152:A215" ca="1" si="14">RAND()</f>
        <v>0.96742844038880649</v>
      </c>
      <c r="B152">
        <f t="shared" si="10"/>
        <v>7</v>
      </c>
      <c r="C152">
        <f t="shared" si="11"/>
        <v>10</v>
      </c>
      <c r="D152">
        <f t="shared" ca="1" si="12"/>
        <v>3</v>
      </c>
      <c r="E152">
        <f t="shared" ca="1" si="13"/>
        <v>32</v>
      </c>
    </row>
    <row r="153" spans="1:5" x14ac:dyDescent="0.25">
      <c r="A153">
        <f t="shared" ca="1" si="14"/>
        <v>0.17677942798379731</v>
      </c>
      <c r="B153">
        <f t="shared" si="10"/>
        <v>7</v>
      </c>
      <c r="C153">
        <f t="shared" si="11"/>
        <v>11</v>
      </c>
      <c r="D153">
        <f t="shared" ca="1" si="12"/>
        <v>1</v>
      </c>
      <c r="E153">
        <f t="shared" ca="1" si="13"/>
        <v>11</v>
      </c>
    </row>
    <row r="154" spans="1:5" x14ac:dyDescent="0.25">
      <c r="A154">
        <f t="shared" ca="1" si="14"/>
        <v>0.44196628116644199</v>
      </c>
      <c r="B154">
        <f t="shared" si="10"/>
        <v>7</v>
      </c>
      <c r="C154">
        <f t="shared" si="11"/>
        <v>12</v>
      </c>
      <c r="D154">
        <f t="shared" ca="1" si="12"/>
        <v>1</v>
      </c>
      <c r="E154">
        <f t="shared" ca="1" si="13"/>
        <v>14</v>
      </c>
    </row>
    <row r="155" spans="1:5" x14ac:dyDescent="0.25">
      <c r="A155">
        <f t="shared" ca="1" si="14"/>
        <v>0.59120818897042049</v>
      </c>
      <c r="B155">
        <f t="shared" si="10"/>
        <v>7</v>
      </c>
      <c r="C155">
        <f t="shared" si="11"/>
        <v>13</v>
      </c>
      <c r="D155">
        <f t="shared" ca="1" si="12"/>
        <v>2</v>
      </c>
      <c r="E155">
        <f t="shared" ca="1" si="13"/>
        <v>23</v>
      </c>
    </row>
    <row r="156" spans="1:5" x14ac:dyDescent="0.25">
      <c r="A156">
        <f t="shared" ca="1" si="14"/>
        <v>7.9938653416331107E-2</v>
      </c>
      <c r="B156">
        <f t="shared" si="10"/>
        <v>7</v>
      </c>
      <c r="C156">
        <f t="shared" si="11"/>
        <v>14</v>
      </c>
      <c r="D156">
        <f t="shared" ca="1" si="12"/>
        <v>2</v>
      </c>
      <c r="E156">
        <f t="shared" ca="1" si="13"/>
        <v>26</v>
      </c>
    </row>
    <row r="157" spans="1:5" x14ac:dyDescent="0.25">
      <c r="A157">
        <f t="shared" ca="1" si="14"/>
        <v>0.39074866532069452</v>
      </c>
      <c r="B157">
        <f t="shared" si="10"/>
        <v>7</v>
      </c>
      <c r="C157">
        <f t="shared" si="11"/>
        <v>15</v>
      </c>
      <c r="D157">
        <f t="shared" ca="1" si="12"/>
        <v>2</v>
      </c>
      <c r="E157">
        <f t="shared" ca="1" si="13"/>
        <v>13</v>
      </c>
    </row>
    <row r="158" spans="1:5" x14ac:dyDescent="0.25">
      <c r="A158">
        <f t="shared" ca="1" si="14"/>
        <v>0.23045000354871381</v>
      </c>
      <c r="B158">
        <f t="shared" si="10"/>
        <v>7</v>
      </c>
      <c r="C158">
        <f t="shared" si="11"/>
        <v>16</v>
      </c>
      <c r="D158">
        <f t="shared" ca="1" si="12"/>
        <v>2</v>
      </c>
      <c r="E158">
        <f t="shared" ca="1" si="13"/>
        <v>19</v>
      </c>
    </row>
    <row r="159" spans="1:5" x14ac:dyDescent="0.25">
      <c r="A159">
        <f t="shared" ca="1" si="14"/>
        <v>0.23716817960094405</v>
      </c>
      <c r="B159">
        <f t="shared" si="10"/>
        <v>7</v>
      </c>
      <c r="C159">
        <f t="shared" si="11"/>
        <v>17</v>
      </c>
      <c r="D159">
        <f t="shared" ca="1" si="12"/>
        <v>2</v>
      </c>
      <c r="E159">
        <f t="shared" ca="1" si="13"/>
        <v>20</v>
      </c>
    </row>
    <row r="160" spans="1:5" x14ac:dyDescent="0.25">
      <c r="A160">
        <f t="shared" ca="1" si="14"/>
        <v>0.87381888713597444</v>
      </c>
      <c r="B160">
        <f t="shared" si="10"/>
        <v>7</v>
      </c>
      <c r="C160">
        <f t="shared" si="11"/>
        <v>18</v>
      </c>
      <c r="D160">
        <f t="shared" ca="1" si="12"/>
        <v>1</v>
      </c>
      <c r="E160">
        <f t="shared" ca="1" si="13"/>
        <v>9</v>
      </c>
    </row>
    <row r="161" spans="1:5" x14ac:dyDescent="0.25">
      <c r="A161">
        <f t="shared" ca="1" si="14"/>
        <v>0.77031527455082949</v>
      </c>
      <c r="B161">
        <f t="shared" si="10"/>
        <v>7</v>
      </c>
      <c r="C161">
        <f t="shared" si="11"/>
        <v>19</v>
      </c>
      <c r="D161">
        <f t="shared" ca="1" si="12"/>
        <v>1</v>
      </c>
      <c r="E161">
        <f t="shared" ca="1" si="13"/>
        <v>10</v>
      </c>
    </row>
    <row r="162" spans="1:5" x14ac:dyDescent="0.25">
      <c r="A162">
        <f t="shared" ca="1" si="14"/>
        <v>0.87230305945220687</v>
      </c>
      <c r="B162">
        <f t="shared" si="10"/>
        <v>7</v>
      </c>
      <c r="C162">
        <f t="shared" si="11"/>
        <v>20</v>
      </c>
      <c r="D162">
        <f t="shared" ca="1" si="12"/>
        <v>1</v>
      </c>
      <c r="E162">
        <f t="shared" ca="1" si="13"/>
        <v>11</v>
      </c>
    </row>
    <row r="163" spans="1:5" x14ac:dyDescent="0.25">
      <c r="A163">
        <f t="shared" ca="1" si="14"/>
        <v>0.36726200473697357</v>
      </c>
      <c r="B163">
        <f t="shared" si="10"/>
        <v>8</v>
      </c>
      <c r="C163">
        <f t="shared" si="11"/>
        <v>1</v>
      </c>
      <c r="D163">
        <f t="shared" ca="1" si="12"/>
        <v>1</v>
      </c>
      <c r="E163">
        <f t="shared" ca="1" si="13"/>
        <v>9</v>
      </c>
    </row>
    <row r="164" spans="1:5" x14ac:dyDescent="0.25">
      <c r="A164">
        <f t="shared" ca="1" si="14"/>
        <v>0.56237348907760465</v>
      </c>
      <c r="B164">
        <f t="shared" si="10"/>
        <v>8</v>
      </c>
      <c r="C164">
        <f t="shared" si="11"/>
        <v>2</v>
      </c>
      <c r="D164">
        <f t="shared" ca="1" si="12"/>
        <v>2</v>
      </c>
      <c r="E164">
        <f t="shared" ca="1" si="13"/>
        <v>18</v>
      </c>
    </row>
    <row r="165" spans="1:5" x14ac:dyDescent="0.25">
      <c r="A165">
        <f t="shared" ca="1" si="14"/>
        <v>0.88335721219965624</v>
      </c>
      <c r="B165">
        <f t="shared" si="10"/>
        <v>8</v>
      </c>
      <c r="C165">
        <f t="shared" si="11"/>
        <v>3</v>
      </c>
      <c r="D165">
        <f t="shared" ca="1" si="12"/>
        <v>2</v>
      </c>
      <c r="E165">
        <f t="shared" ca="1" si="13"/>
        <v>24</v>
      </c>
    </row>
    <row r="166" spans="1:5" x14ac:dyDescent="0.25">
      <c r="A166">
        <f t="shared" ca="1" si="14"/>
        <v>0.6343228613697115</v>
      </c>
      <c r="B166">
        <f t="shared" si="10"/>
        <v>8</v>
      </c>
      <c r="C166">
        <f t="shared" si="11"/>
        <v>4</v>
      </c>
      <c r="D166">
        <f t="shared" ca="1" si="12"/>
        <v>1</v>
      </c>
      <c r="E166">
        <f t="shared" ca="1" si="13"/>
        <v>4</v>
      </c>
    </row>
    <row r="167" spans="1:5" x14ac:dyDescent="0.25">
      <c r="A167">
        <f t="shared" ca="1" si="14"/>
        <v>0.58208388342116046</v>
      </c>
      <c r="B167">
        <f t="shared" si="10"/>
        <v>8</v>
      </c>
      <c r="C167">
        <f t="shared" si="11"/>
        <v>5</v>
      </c>
      <c r="D167">
        <f t="shared" ca="1" si="12"/>
        <v>2</v>
      </c>
      <c r="E167">
        <f t="shared" ca="1" si="13"/>
        <v>28</v>
      </c>
    </row>
    <row r="168" spans="1:5" x14ac:dyDescent="0.25">
      <c r="A168">
        <f t="shared" ca="1" si="14"/>
        <v>0.25996609329747122</v>
      </c>
      <c r="B168">
        <f t="shared" si="10"/>
        <v>8</v>
      </c>
      <c r="C168">
        <f t="shared" si="11"/>
        <v>6</v>
      </c>
      <c r="D168">
        <f t="shared" ca="1" si="12"/>
        <v>1</v>
      </c>
      <c r="E168">
        <f t="shared" ca="1" si="13"/>
        <v>9</v>
      </c>
    </row>
    <row r="169" spans="1:5" x14ac:dyDescent="0.25">
      <c r="A169">
        <f t="shared" ca="1" si="14"/>
        <v>0.80293130933435397</v>
      </c>
      <c r="B169">
        <f t="shared" si="10"/>
        <v>8</v>
      </c>
      <c r="C169">
        <f t="shared" si="11"/>
        <v>7</v>
      </c>
      <c r="D169">
        <f t="shared" ca="1" si="12"/>
        <v>3</v>
      </c>
      <c r="E169">
        <f t="shared" ca="1" si="13"/>
        <v>31</v>
      </c>
    </row>
    <row r="170" spans="1:5" x14ac:dyDescent="0.25">
      <c r="A170">
        <f t="shared" ca="1" si="14"/>
        <v>8.7089587450188577E-2</v>
      </c>
      <c r="B170">
        <f t="shared" si="10"/>
        <v>8</v>
      </c>
      <c r="C170">
        <f t="shared" si="11"/>
        <v>8</v>
      </c>
      <c r="D170">
        <f t="shared" ca="1" si="12"/>
        <v>3</v>
      </c>
      <c r="E170">
        <f t="shared" ca="1" si="13"/>
        <v>33</v>
      </c>
    </row>
    <row r="171" spans="1:5" x14ac:dyDescent="0.25">
      <c r="A171">
        <f t="shared" ca="1" si="14"/>
        <v>0.5028014839252225</v>
      </c>
      <c r="B171">
        <f t="shared" si="10"/>
        <v>8</v>
      </c>
      <c r="C171">
        <f t="shared" si="11"/>
        <v>9</v>
      </c>
      <c r="D171">
        <f t="shared" ca="1" si="12"/>
        <v>3</v>
      </c>
      <c r="E171">
        <f t="shared" ca="1" si="13"/>
        <v>31</v>
      </c>
    </row>
    <row r="172" spans="1:5" x14ac:dyDescent="0.25">
      <c r="A172">
        <f t="shared" ca="1" si="14"/>
        <v>0.23251370384072556</v>
      </c>
      <c r="B172">
        <f t="shared" ref="B172:B235" si="15">B152+1</f>
        <v>8</v>
      </c>
      <c r="C172">
        <f t="shared" ref="C172:C235" si="16">C152</f>
        <v>10</v>
      </c>
      <c r="D172">
        <f t="shared" ca="1" si="12"/>
        <v>3</v>
      </c>
      <c r="E172">
        <f t="shared" ca="1" si="13"/>
        <v>29</v>
      </c>
    </row>
    <row r="173" spans="1:5" x14ac:dyDescent="0.25">
      <c r="A173">
        <f t="shared" ca="1" si="14"/>
        <v>8.0958210448473622E-2</v>
      </c>
      <c r="B173">
        <f t="shared" si="15"/>
        <v>8</v>
      </c>
      <c r="C173">
        <f t="shared" si="16"/>
        <v>11</v>
      </c>
      <c r="D173">
        <f t="shared" ca="1" si="12"/>
        <v>2</v>
      </c>
      <c r="E173">
        <f t="shared" ca="1" si="13"/>
        <v>26</v>
      </c>
    </row>
    <row r="174" spans="1:5" x14ac:dyDescent="0.25">
      <c r="A174">
        <f t="shared" ca="1" si="14"/>
        <v>0.49073526812512958</v>
      </c>
      <c r="B174">
        <f t="shared" si="15"/>
        <v>8</v>
      </c>
      <c r="C174">
        <f t="shared" si="16"/>
        <v>12</v>
      </c>
      <c r="D174">
        <f t="shared" ca="1" si="12"/>
        <v>2</v>
      </c>
      <c r="E174">
        <f t="shared" ca="1" si="13"/>
        <v>20</v>
      </c>
    </row>
    <row r="175" spans="1:5" x14ac:dyDescent="0.25">
      <c r="A175">
        <f t="shared" ca="1" si="14"/>
        <v>0.14152455651339091</v>
      </c>
      <c r="B175">
        <f t="shared" si="15"/>
        <v>8</v>
      </c>
      <c r="C175">
        <f t="shared" si="16"/>
        <v>13</v>
      </c>
      <c r="D175">
        <f t="shared" ca="1" si="12"/>
        <v>2</v>
      </c>
      <c r="E175">
        <f t="shared" ca="1" si="13"/>
        <v>22</v>
      </c>
    </row>
    <row r="176" spans="1:5" x14ac:dyDescent="0.25">
      <c r="A176">
        <f t="shared" ca="1" si="14"/>
        <v>0.39953779642046838</v>
      </c>
      <c r="B176">
        <f t="shared" si="15"/>
        <v>8</v>
      </c>
      <c r="C176">
        <f t="shared" si="16"/>
        <v>14</v>
      </c>
      <c r="D176">
        <f t="shared" ca="1" si="12"/>
        <v>2</v>
      </c>
      <c r="E176">
        <f t="shared" ca="1" si="13"/>
        <v>15</v>
      </c>
    </row>
    <row r="177" spans="1:5" x14ac:dyDescent="0.25">
      <c r="A177">
        <f t="shared" ca="1" si="14"/>
        <v>0.42019037046824115</v>
      </c>
      <c r="B177">
        <f t="shared" si="15"/>
        <v>8</v>
      </c>
      <c r="C177">
        <f t="shared" si="16"/>
        <v>15</v>
      </c>
      <c r="D177">
        <f t="shared" ca="1" si="12"/>
        <v>2</v>
      </c>
      <c r="E177">
        <f t="shared" ca="1" si="13"/>
        <v>14</v>
      </c>
    </row>
    <row r="178" spans="1:5" x14ac:dyDescent="0.25">
      <c r="A178">
        <f t="shared" ca="1" si="14"/>
        <v>0.48690544933359747</v>
      </c>
      <c r="B178">
        <f t="shared" si="15"/>
        <v>8</v>
      </c>
      <c r="C178">
        <f t="shared" si="16"/>
        <v>16</v>
      </c>
      <c r="D178">
        <f t="shared" ca="1" si="12"/>
        <v>2</v>
      </c>
      <c r="E178">
        <f t="shared" ca="1" si="13"/>
        <v>22</v>
      </c>
    </row>
    <row r="179" spans="1:5" x14ac:dyDescent="0.25">
      <c r="A179">
        <f t="shared" ca="1" si="14"/>
        <v>0.51250792766934838</v>
      </c>
      <c r="B179">
        <f t="shared" si="15"/>
        <v>8</v>
      </c>
      <c r="C179">
        <f t="shared" si="16"/>
        <v>17</v>
      </c>
      <c r="D179">
        <f t="shared" ca="1" si="12"/>
        <v>1</v>
      </c>
      <c r="E179">
        <f t="shared" ca="1" si="13"/>
        <v>8</v>
      </c>
    </row>
    <row r="180" spans="1:5" x14ac:dyDescent="0.25">
      <c r="A180">
        <f t="shared" ca="1" si="14"/>
        <v>0.8347957867664374</v>
      </c>
      <c r="B180">
        <f t="shared" si="15"/>
        <v>8</v>
      </c>
      <c r="C180">
        <f t="shared" si="16"/>
        <v>18</v>
      </c>
      <c r="D180">
        <f t="shared" ca="1" si="12"/>
        <v>1</v>
      </c>
      <c r="E180">
        <f t="shared" ca="1" si="13"/>
        <v>8</v>
      </c>
    </row>
    <row r="181" spans="1:5" x14ac:dyDescent="0.25">
      <c r="A181">
        <f t="shared" ca="1" si="14"/>
        <v>0.67337154936369359</v>
      </c>
      <c r="B181">
        <f t="shared" si="15"/>
        <v>8</v>
      </c>
      <c r="C181">
        <f t="shared" si="16"/>
        <v>19</v>
      </c>
      <c r="D181">
        <f t="shared" ca="1" si="12"/>
        <v>1</v>
      </c>
      <c r="E181">
        <f t="shared" ca="1" si="13"/>
        <v>16</v>
      </c>
    </row>
    <row r="182" spans="1:5" x14ac:dyDescent="0.25">
      <c r="A182">
        <f t="shared" ca="1" si="14"/>
        <v>0.57789800372226408</v>
      </c>
      <c r="B182">
        <f t="shared" si="15"/>
        <v>8</v>
      </c>
      <c r="C182">
        <f t="shared" si="16"/>
        <v>20</v>
      </c>
      <c r="D182">
        <f t="shared" ca="1" si="12"/>
        <v>1</v>
      </c>
      <c r="E182">
        <f t="shared" ca="1" si="13"/>
        <v>11</v>
      </c>
    </row>
    <row r="183" spans="1:5" x14ac:dyDescent="0.25">
      <c r="A183">
        <f t="shared" ca="1" si="14"/>
        <v>0.34309329715543702</v>
      </c>
      <c r="B183">
        <f t="shared" si="15"/>
        <v>9</v>
      </c>
      <c r="C183">
        <f t="shared" si="16"/>
        <v>1</v>
      </c>
      <c r="D183">
        <f t="shared" ca="1" si="12"/>
        <v>1</v>
      </c>
      <c r="E183">
        <f t="shared" ca="1" si="13"/>
        <v>10</v>
      </c>
    </row>
    <row r="184" spans="1:5" x14ac:dyDescent="0.25">
      <c r="A184">
        <f t="shared" ca="1" si="14"/>
        <v>0.39676205341472004</v>
      </c>
      <c r="B184">
        <f t="shared" si="15"/>
        <v>9</v>
      </c>
      <c r="C184">
        <f t="shared" si="16"/>
        <v>2</v>
      </c>
      <c r="D184">
        <f t="shared" ca="1" si="12"/>
        <v>1</v>
      </c>
      <c r="E184">
        <f t="shared" ca="1" si="13"/>
        <v>8</v>
      </c>
    </row>
    <row r="185" spans="1:5" x14ac:dyDescent="0.25">
      <c r="A185">
        <f t="shared" ca="1" si="14"/>
        <v>0.78828423855081498</v>
      </c>
      <c r="B185">
        <f t="shared" si="15"/>
        <v>9</v>
      </c>
      <c r="C185">
        <f t="shared" si="16"/>
        <v>3</v>
      </c>
      <c r="D185">
        <f t="shared" ca="1" si="12"/>
        <v>2</v>
      </c>
      <c r="E185">
        <f t="shared" ca="1" si="13"/>
        <v>26</v>
      </c>
    </row>
    <row r="186" spans="1:5" x14ac:dyDescent="0.25">
      <c r="A186">
        <f t="shared" ca="1" si="14"/>
        <v>0.62575226704197184</v>
      </c>
      <c r="B186">
        <f t="shared" si="15"/>
        <v>9</v>
      </c>
      <c r="C186">
        <f t="shared" si="16"/>
        <v>4</v>
      </c>
      <c r="D186">
        <f t="shared" ca="1" si="12"/>
        <v>2</v>
      </c>
      <c r="E186">
        <f t="shared" ca="1" si="13"/>
        <v>22</v>
      </c>
    </row>
    <row r="187" spans="1:5" x14ac:dyDescent="0.25">
      <c r="A187">
        <f t="shared" ca="1" si="14"/>
        <v>0.88746737634239836</v>
      </c>
      <c r="B187">
        <f t="shared" si="15"/>
        <v>9</v>
      </c>
      <c r="C187">
        <f t="shared" si="16"/>
        <v>5</v>
      </c>
      <c r="D187">
        <f t="shared" ca="1" si="12"/>
        <v>1</v>
      </c>
      <c r="E187">
        <f t="shared" ca="1" si="13"/>
        <v>8</v>
      </c>
    </row>
    <row r="188" spans="1:5" x14ac:dyDescent="0.25">
      <c r="A188">
        <f t="shared" ca="1" si="14"/>
        <v>0.71537377781831835</v>
      </c>
      <c r="B188">
        <f t="shared" si="15"/>
        <v>9</v>
      </c>
      <c r="C188">
        <f t="shared" si="16"/>
        <v>6</v>
      </c>
      <c r="D188">
        <f t="shared" ca="1" si="12"/>
        <v>1</v>
      </c>
      <c r="E188">
        <f t="shared" ca="1" si="13"/>
        <v>8</v>
      </c>
    </row>
    <row r="189" spans="1:5" x14ac:dyDescent="0.25">
      <c r="A189">
        <f t="shared" ca="1" si="14"/>
        <v>0.44653797909778192</v>
      </c>
      <c r="B189">
        <f t="shared" si="15"/>
        <v>9</v>
      </c>
      <c r="C189">
        <f t="shared" si="16"/>
        <v>7</v>
      </c>
      <c r="D189">
        <f t="shared" ca="1" si="12"/>
        <v>3</v>
      </c>
      <c r="E189">
        <f t="shared" ca="1" si="13"/>
        <v>24</v>
      </c>
    </row>
    <row r="190" spans="1:5" x14ac:dyDescent="0.25">
      <c r="A190">
        <f t="shared" ca="1" si="14"/>
        <v>3.344296675338021E-2</v>
      </c>
      <c r="B190">
        <f t="shared" si="15"/>
        <v>9</v>
      </c>
      <c r="C190">
        <f t="shared" si="16"/>
        <v>8</v>
      </c>
      <c r="D190">
        <f t="shared" ca="1" si="12"/>
        <v>3</v>
      </c>
      <c r="E190">
        <f t="shared" ca="1" si="13"/>
        <v>36</v>
      </c>
    </row>
    <row r="191" spans="1:5" x14ac:dyDescent="0.25">
      <c r="A191">
        <f t="shared" ca="1" si="14"/>
        <v>0.19431050777327719</v>
      </c>
      <c r="B191">
        <f t="shared" si="15"/>
        <v>9</v>
      </c>
      <c r="C191">
        <f t="shared" si="16"/>
        <v>9</v>
      </c>
      <c r="D191">
        <f t="shared" ca="1" si="12"/>
        <v>1</v>
      </c>
      <c r="E191">
        <f t="shared" ca="1" si="13"/>
        <v>7</v>
      </c>
    </row>
    <row r="192" spans="1:5" x14ac:dyDescent="0.25">
      <c r="A192">
        <f t="shared" ca="1" si="14"/>
        <v>0.36595674387103416</v>
      </c>
      <c r="B192">
        <f t="shared" si="15"/>
        <v>9</v>
      </c>
      <c r="C192">
        <f t="shared" si="16"/>
        <v>10</v>
      </c>
      <c r="D192">
        <f t="shared" ca="1" si="12"/>
        <v>2</v>
      </c>
      <c r="E192">
        <f t="shared" ca="1" si="13"/>
        <v>17</v>
      </c>
    </row>
    <row r="193" spans="1:5" x14ac:dyDescent="0.25">
      <c r="A193">
        <f t="shared" ca="1" si="14"/>
        <v>0.39810709085465934</v>
      </c>
      <c r="B193">
        <f t="shared" si="15"/>
        <v>9</v>
      </c>
      <c r="C193">
        <f t="shared" si="16"/>
        <v>11</v>
      </c>
      <c r="D193">
        <f t="shared" ca="1" si="12"/>
        <v>2</v>
      </c>
      <c r="E193">
        <f t="shared" ca="1" si="13"/>
        <v>18</v>
      </c>
    </row>
    <row r="194" spans="1:5" x14ac:dyDescent="0.25">
      <c r="A194">
        <f t="shared" ca="1" si="14"/>
        <v>0.8212170088437768</v>
      </c>
      <c r="B194">
        <f t="shared" si="15"/>
        <v>9</v>
      </c>
      <c r="C194">
        <f t="shared" si="16"/>
        <v>12</v>
      </c>
      <c r="D194">
        <f t="shared" ca="1" si="12"/>
        <v>2</v>
      </c>
      <c r="E194">
        <f t="shared" ca="1" si="13"/>
        <v>24</v>
      </c>
    </row>
    <row r="195" spans="1:5" x14ac:dyDescent="0.25">
      <c r="A195">
        <f t="shared" ca="1" si="14"/>
        <v>0.81981139945303838</v>
      </c>
      <c r="B195">
        <f t="shared" si="15"/>
        <v>9</v>
      </c>
      <c r="C195">
        <f t="shared" si="16"/>
        <v>13</v>
      </c>
      <c r="D195">
        <f t="shared" ca="1" si="12"/>
        <v>2</v>
      </c>
      <c r="E195">
        <f t="shared" ca="1" si="13"/>
        <v>14</v>
      </c>
    </row>
    <row r="196" spans="1:5" x14ac:dyDescent="0.25">
      <c r="A196">
        <f t="shared" ca="1" si="14"/>
        <v>0.73924315726818035</v>
      </c>
      <c r="B196">
        <f t="shared" si="15"/>
        <v>9</v>
      </c>
      <c r="C196">
        <f t="shared" si="16"/>
        <v>14</v>
      </c>
      <c r="D196">
        <f t="shared" ca="1" si="12"/>
        <v>1</v>
      </c>
      <c r="E196">
        <f t="shared" ca="1" si="13"/>
        <v>7</v>
      </c>
    </row>
    <row r="197" spans="1:5" x14ac:dyDescent="0.25">
      <c r="A197">
        <f t="shared" ca="1" si="14"/>
        <v>0.52704182517905573</v>
      </c>
      <c r="B197">
        <f t="shared" si="15"/>
        <v>9</v>
      </c>
      <c r="C197">
        <f t="shared" si="16"/>
        <v>15</v>
      </c>
      <c r="D197">
        <f t="shared" ca="1" si="12"/>
        <v>1</v>
      </c>
      <c r="E197">
        <f t="shared" ca="1" si="13"/>
        <v>9</v>
      </c>
    </row>
    <row r="198" spans="1:5" x14ac:dyDescent="0.25">
      <c r="A198">
        <f t="shared" ca="1" si="14"/>
        <v>0.51112036894845281</v>
      </c>
      <c r="B198">
        <f t="shared" si="15"/>
        <v>9</v>
      </c>
      <c r="C198">
        <f t="shared" si="16"/>
        <v>16</v>
      </c>
      <c r="D198">
        <f t="shared" ca="1" si="12"/>
        <v>1</v>
      </c>
      <c r="E198">
        <f t="shared" ca="1" si="13"/>
        <v>15</v>
      </c>
    </row>
    <row r="199" spans="1:5" x14ac:dyDescent="0.25">
      <c r="A199">
        <f t="shared" ca="1" si="14"/>
        <v>0.58705640800845504</v>
      </c>
      <c r="B199">
        <f t="shared" si="15"/>
        <v>9</v>
      </c>
      <c r="C199">
        <f t="shared" si="16"/>
        <v>17</v>
      </c>
      <c r="D199">
        <f t="shared" ca="1" si="12"/>
        <v>1</v>
      </c>
      <c r="E199">
        <f t="shared" ca="1" si="13"/>
        <v>14</v>
      </c>
    </row>
    <row r="200" spans="1:5" x14ac:dyDescent="0.25">
      <c r="A200">
        <f t="shared" ca="1" si="14"/>
        <v>0.81721490273119402</v>
      </c>
      <c r="B200">
        <f t="shared" si="15"/>
        <v>9</v>
      </c>
      <c r="C200">
        <f t="shared" si="16"/>
        <v>18</v>
      </c>
      <c r="D200">
        <f t="shared" ca="1" si="12"/>
        <v>1</v>
      </c>
      <c r="E200">
        <f t="shared" ca="1" si="13"/>
        <v>9</v>
      </c>
    </row>
    <row r="201" spans="1:5" x14ac:dyDescent="0.25">
      <c r="A201">
        <f t="shared" ca="1" si="14"/>
        <v>0.99915729156337429</v>
      </c>
      <c r="B201">
        <f t="shared" si="15"/>
        <v>9</v>
      </c>
      <c r="C201">
        <f t="shared" si="16"/>
        <v>19</v>
      </c>
      <c r="D201">
        <f t="shared" ca="1" si="12"/>
        <v>1</v>
      </c>
      <c r="E201">
        <f t="shared" ca="1" si="13"/>
        <v>13</v>
      </c>
    </row>
    <row r="202" spans="1:5" x14ac:dyDescent="0.25">
      <c r="A202">
        <f t="shared" ca="1" si="14"/>
        <v>0.4280344137000206</v>
      </c>
      <c r="B202">
        <f t="shared" si="15"/>
        <v>9</v>
      </c>
      <c r="C202">
        <f t="shared" si="16"/>
        <v>20</v>
      </c>
      <c r="D202">
        <f t="shared" ca="1" si="12"/>
        <v>1</v>
      </c>
      <c r="E202">
        <f t="shared" ca="1" si="13"/>
        <v>9</v>
      </c>
    </row>
    <row r="203" spans="1:5" x14ac:dyDescent="0.25">
      <c r="A203">
        <f t="shared" ca="1" si="14"/>
        <v>0.80497882417064426</v>
      </c>
      <c r="B203">
        <f t="shared" si="15"/>
        <v>10</v>
      </c>
      <c r="C203">
        <f t="shared" si="16"/>
        <v>1</v>
      </c>
      <c r="D203">
        <f t="shared" ca="1" si="12"/>
        <v>1</v>
      </c>
      <c r="E203">
        <f t="shared" ca="1" si="13"/>
        <v>8</v>
      </c>
    </row>
    <row r="204" spans="1:5" x14ac:dyDescent="0.25">
      <c r="A204">
        <f t="shared" ca="1" si="14"/>
        <v>0.98812679476203136</v>
      </c>
      <c r="B204">
        <f t="shared" si="15"/>
        <v>10</v>
      </c>
      <c r="C204">
        <f t="shared" si="16"/>
        <v>2</v>
      </c>
      <c r="D204">
        <f t="shared" ca="1" si="12"/>
        <v>1</v>
      </c>
      <c r="E204">
        <f t="shared" ca="1" si="13"/>
        <v>12</v>
      </c>
    </row>
    <row r="205" spans="1:5" x14ac:dyDescent="0.25">
      <c r="A205">
        <f t="shared" ca="1" si="14"/>
        <v>0.55665586173305381</v>
      </c>
      <c r="B205">
        <f t="shared" si="15"/>
        <v>10</v>
      </c>
      <c r="C205">
        <f t="shared" si="16"/>
        <v>3</v>
      </c>
      <c r="D205">
        <f t="shared" ca="1" si="12"/>
        <v>1</v>
      </c>
      <c r="E205">
        <f t="shared" ca="1" si="13"/>
        <v>10</v>
      </c>
    </row>
    <row r="206" spans="1:5" x14ac:dyDescent="0.25">
      <c r="A206">
        <f t="shared" ca="1" si="14"/>
        <v>0.74254116494200362</v>
      </c>
      <c r="B206">
        <f t="shared" si="15"/>
        <v>10</v>
      </c>
      <c r="C206">
        <f t="shared" si="16"/>
        <v>4</v>
      </c>
      <c r="D206">
        <f t="shared" ca="1" si="12"/>
        <v>2</v>
      </c>
      <c r="E206">
        <f t="shared" ca="1" si="13"/>
        <v>22</v>
      </c>
    </row>
    <row r="207" spans="1:5" x14ac:dyDescent="0.25">
      <c r="A207">
        <f t="shared" ca="1" si="14"/>
        <v>0.73097429913138845</v>
      </c>
      <c r="B207">
        <f t="shared" si="15"/>
        <v>10</v>
      </c>
      <c r="C207">
        <f t="shared" si="16"/>
        <v>5</v>
      </c>
      <c r="D207">
        <f t="shared" ca="1" si="12"/>
        <v>1</v>
      </c>
      <c r="E207">
        <f t="shared" ca="1" si="13"/>
        <v>19</v>
      </c>
    </row>
    <row r="208" spans="1:5" x14ac:dyDescent="0.25">
      <c r="A208">
        <f t="shared" ca="1" si="14"/>
        <v>0.81198545962616009</v>
      </c>
      <c r="B208">
        <f t="shared" si="15"/>
        <v>10</v>
      </c>
      <c r="C208">
        <f t="shared" si="16"/>
        <v>6</v>
      </c>
      <c r="D208">
        <f t="shared" ca="1" si="12"/>
        <v>1</v>
      </c>
      <c r="E208">
        <f t="shared" ca="1" si="13"/>
        <v>14</v>
      </c>
    </row>
    <row r="209" spans="1:5" x14ac:dyDescent="0.25">
      <c r="A209">
        <f t="shared" ca="1" si="14"/>
        <v>0.74479864165690268</v>
      </c>
      <c r="B209">
        <f t="shared" si="15"/>
        <v>10</v>
      </c>
      <c r="C209">
        <f t="shared" si="16"/>
        <v>7</v>
      </c>
      <c r="D209">
        <f t="shared" ca="1" si="12"/>
        <v>1</v>
      </c>
      <c r="E209">
        <f t="shared" ca="1" si="13"/>
        <v>6</v>
      </c>
    </row>
    <row r="210" spans="1:5" x14ac:dyDescent="0.25">
      <c r="A210">
        <f t="shared" ca="1" si="14"/>
        <v>0.18314890121897187</v>
      </c>
      <c r="B210">
        <f t="shared" si="15"/>
        <v>10</v>
      </c>
      <c r="C210">
        <f t="shared" si="16"/>
        <v>8</v>
      </c>
      <c r="D210">
        <f t="shared" ca="1" si="12"/>
        <v>1</v>
      </c>
      <c r="E210">
        <f t="shared" ca="1" si="13"/>
        <v>12</v>
      </c>
    </row>
    <row r="211" spans="1:5" x14ac:dyDescent="0.25">
      <c r="A211">
        <f t="shared" ca="1" si="14"/>
        <v>0.43215820784540171</v>
      </c>
      <c r="B211">
        <f t="shared" si="15"/>
        <v>10</v>
      </c>
      <c r="C211">
        <f t="shared" si="16"/>
        <v>9</v>
      </c>
      <c r="D211">
        <f t="shared" ca="1" si="12"/>
        <v>1</v>
      </c>
      <c r="E211">
        <f t="shared" ca="1" si="13"/>
        <v>6</v>
      </c>
    </row>
    <row r="212" spans="1:5" x14ac:dyDescent="0.25">
      <c r="A212">
        <f t="shared" ca="1" si="14"/>
        <v>0.61194883370644915</v>
      </c>
      <c r="B212">
        <f t="shared" si="15"/>
        <v>10</v>
      </c>
      <c r="C212">
        <f t="shared" si="16"/>
        <v>10</v>
      </c>
      <c r="D212">
        <f t="shared" ca="1" si="12"/>
        <v>2</v>
      </c>
      <c r="E212">
        <f t="shared" ca="1" si="13"/>
        <v>14</v>
      </c>
    </row>
    <row r="213" spans="1:5" x14ac:dyDescent="0.25">
      <c r="A213">
        <f t="shared" ca="1" si="14"/>
        <v>0.21433028223481321</v>
      </c>
      <c r="B213">
        <f t="shared" si="15"/>
        <v>10</v>
      </c>
      <c r="C213">
        <f t="shared" si="16"/>
        <v>11</v>
      </c>
      <c r="D213">
        <f t="shared" ca="1" si="12"/>
        <v>2</v>
      </c>
      <c r="E213">
        <f t="shared" ca="1" si="13"/>
        <v>26</v>
      </c>
    </row>
    <row r="214" spans="1:5" x14ac:dyDescent="0.25">
      <c r="A214">
        <f t="shared" ca="1" si="14"/>
        <v>0.90926050510534606</v>
      </c>
      <c r="B214">
        <f t="shared" si="15"/>
        <v>10</v>
      </c>
      <c r="C214">
        <f t="shared" si="16"/>
        <v>12</v>
      </c>
      <c r="D214">
        <f t="shared" ca="1" si="12"/>
        <v>2</v>
      </c>
      <c r="E214">
        <f t="shared" ca="1" si="13"/>
        <v>19</v>
      </c>
    </row>
    <row r="215" spans="1:5" x14ac:dyDescent="0.25">
      <c r="A215">
        <f t="shared" ca="1" si="14"/>
        <v>8.2381268001290309E-3</v>
      </c>
      <c r="B215">
        <f t="shared" si="15"/>
        <v>10</v>
      </c>
      <c r="C215">
        <f t="shared" si="16"/>
        <v>13</v>
      </c>
      <c r="D215">
        <f t="shared" ref="D215:D278" ca="1" si="17">INDIRECT(ADDRESS(B215,C215,1,0),0)</f>
        <v>1</v>
      </c>
      <c r="E215">
        <f t="shared" ref="E215:E278" ca="1" si="18">INDIRECT(ADDRESS(B215,C215+21,1,0),0)</f>
        <v>15</v>
      </c>
    </row>
    <row r="216" spans="1:5" x14ac:dyDescent="0.25">
      <c r="A216">
        <f t="shared" ref="A216:A279" ca="1" si="19">RAND()</f>
        <v>0.51347887144394788</v>
      </c>
      <c r="B216">
        <f t="shared" si="15"/>
        <v>10</v>
      </c>
      <c r="C216">
        <f t="shared" si="16"/>
        <v>14</v>
      </c>
      <c r="D216">
        <f t="shared" ca="1" si="17"/>
        <v>1</v>
      </c>
      <c r="E216">
        <f t="shared" ca="1" si="18"/>
        <v>13</v>
      </c>
    </row>
    <row r="217" spans="1:5" x14ac:dyDescent="0.25">
      <c r="A217">
        <f t="shared" ca="1" si="19"/>
        <v>0.9543933657019209</v>
      </c>
      <c r="B217">
        <f t="shared" si="15"/>
        <v>10</v>
      </c>
      <c r="C217">
        <f t="shared" si="16"/>
        <v>15</v>
      </c>
      <c r="D217">
        <f t="shared" ca="1" si="17"/>
        <v>1</v>
      </c>
      <c r="E217">
        <f t="shared" ca="1" si="18"/>
        <v>11</v>
      </c>
    </row>
    <row r="218" spans="1:5" x14ac:dyDescent="0.25">
      <c r="A218">
        <f t="shared" ca="1" si="19"/>
        <v>0.68744433038596497</v>
      </c>
      <c r="B218">
        <f t="shared" si="15"/>
        <v>10</v>
      </c>
      <c r="C218">
        <f t="shared" si="16"/>
        <v>16</v>
      </c>
      <c r="D218">
        <f t="shared" ca="1" si="17"/>
        <v>1</v>
      </c>
      <c r="E218">
        <f t="shared" ca="1" si="18"/>
        <v>15</v>
      </c>
    </row>
    <row r="219" spans="1:5" x14ac:dyDescent="0.25">
      <c r="A219">
        <f t="shared" ca="1" si="19"/>
        <v>0.53937025461592836</v>
      </c>
      <c r="B219">
        <f t="shared" si="15"/>
        <v>10</v>
      </c>
      <c r="C219">
        <f t="shared" si="16"/>
        <v>17</v>
      </c>
      <c r="D219">
        <f t="shared" ca="1" si="17"/>
        <v>1</v>
      </c>
      <c r="E219">
        <f t="shared" ca="1" si="18"/>
        <v>16</v>
      </c>
    </row>
    <row r="220" spans="1:5" x14ac:dyDescent="0.25">
      <c r="A220">
        <f t="shared" ca="1" si="19"/>
        <v>0.42508144568225292</v>
      </c>
      <c r="B220">
        <f t="shared" si="15"/>
        <v>10</v>
      </c>
      <c r="C220">
        <f t="shared" si="16"/>
        <v>18</v>
      </c>
      <c r="D220">
        <f t="shared" ca="1" si="17"/>
        <v>1</v>
      </c>
      <c r="E220">
        <f t="shared" ca="1" si="18"/>
        <v>9</v>
      </c>
    </row>
    <row r="221" spans="1:5" x14ac:dyDescent="0.25">
      <c r="A221">
        <f t="shared" ca="1" si="19"/>
        <v>9.0109356909339744E-2</v>
      </c>
      <c r="B221">
        <f t="shared" si="15"/>
        <v>10</v>
      </c>
      <c r="C221">
        <f t="shared" si="16"/>
        <v>19</v>
      </c>
      <c r="D221">
        <f t="shared" ca="1" si="17"/>
        <v>1</v>
      </c>
      <c r="E221">
        <f t="shared" ca="1" si="18"/>
        <v>10</v>
      </c>
    </row>
    <row r="222" spans="1:5" x14ac:dyDescent="0.25">
      <c r="A222">
        <f t="shared" ca="1" si="19"/>
        <v>0.289476730767666</v>
      </c>
      <c r="B222">
        <f t="shared" si="15"/>
        <v>10</v>
      </c>
      <c r="C222">
        <f t="shared" si="16"/>
        <v>20</v>
      </c>
      <c r="D222">
        <f t="shared" ca="1" si="17"/>
        <v>1</v>
      </c>
      <c r="E222">
        <f t="shared" ca="1" si="18"/>
        <v>13</v>
      </c>
    </row>
    <row r="223" spans="1:5" x14ac:dyDescent="0.25">
      <c r="A223">
        <f t="shared" ca="1" si="19"/>
        <v>0.29853426155994844</v>
      </c>
      <c r="B223">
        <f t="shared" si="15"/>
        <v>11</v>
      </c>
      <c r="C223">
        <f t="shared" si="16"/>
        <v>1</v>
      </c>
      <c r="D223">
        <f t="shared" ca="1" si="17"/>
        <v>1</v>
      </c>
      <c r="E223">
        <f t="shared" ca="1" si="18"/>
        <v>7</v>
      </c>
    </row>
    <row r="224" spans="1:5" x14ac:dyDescent="0.25">
      <c r="A224">
        <f t="shared" ca="1" si="19"/>
        <v>0.10997108615412554</v>
      </c>
      <c r="B224">
        <f t="shared" si="15"/>
        <v>11</v>
      </c>
      <c r="C224">
        <f t="shared" si="16"/>
        <v>2</v>
      </c>
      <c r="D224">
        <f t="shared" ca="1" si="17"/>
        <v>1</v>
      </c>
      <c r="E224">
        <f t="shared" ca="1" si="18"/>
        <v>9</v>
      </c>
    </row>
    <row r="225" spans="1:5" x14ac:dyDescent="0.25">
      <c r="A225">
        <f t="shared" ca="1" si="19"/>
        <v>6.6839327607306598E-2</v>
      </c>
      <c r="B225">
        <f t="shared" si="15"/>
        <v>11</v>
      </c>
      <c r="C225">
        <f t="shared" si="16"/>
        <v>3</v>
      </c>
      <c r="D225">
        <f t="shared" ca="1" si="17"/>
        <v>1</v>
      </c>
      <c r="E225">
        <f t="shared" ca="1" si="18"/>
        <v>16</v>
      </c>
    </row>
    <row r="226" spans="1:5" x14ac:dyDescent="0.25">
      <c r="A226">
        <f t="shared" ca="1" si="19"/>
        <v>0.42752464591931394</v>
      </c>
      <c r="B226">
        <f t="shared" si="15"/>
        <v>11</v>
      </c>
      <c r="C226">
        <f t="shared" si="16"/>
        <v>4</v>
      </c>
      <c r="D226">
        <f t="shared" ca="1" si="17"/>
        <v>2</v>
      </c>
      <c r="E226">
        <f t="shared" ca="1" si="18"/>
        <v>21</v>
      </c>
    </row>
    <row r="227" spans="1:5" x14ac:dyDescent="0.25">
      <c r="A227">
        <f t="shared" ca="1" si="19"/>
        <v>0.64358256447213436</v>
      </c>
      <c r="B227">
        <f t="shared" si="15"/>
        <v>11</v>
      </c>
      <c r="C227">
        <f t="shared" si="16"/>
        <v>5</v>
      </c>
      <c r="D227">
        <f t="shared" ca="1" si="17"/>
        <v>1</v>
      </c>
      <c r="E227">
        <f t="shared" ca="1" si="18"/>
        <v>8</v>
      </c>
    </row>
    <row r="228" spans="1:5" x14ac:dyDescent="0.25">
      <c r="A228">
        <f t="shared" ca="1" si="19"/>
        <v>0.20149896773166587</v>
      </c>
      <c r="B228">
        <f t="shared" si="15"/>
        <v>11</v>
      </c>
      <c r="C228">
        <f t="shared" si="16"/>
        <v>6</v>
      </c>
      <c r="D228">
        <f t="shared" ca="1" si="17"/>
        <v>1</v>
      </c>
      <c r="E228">
        <f t="shared" ca="1" si="18"/>
        <v>10</v>
      </c>
    </row>
    <row r="229" spans="1:5" x14ac:dyDescent="0.25">
      <c r="A229">
        <f t="shared" ca="1" si="19"/>
        <v>0.55076178243813156</v>
      </c>
      <c r="B229">
        <f t="shared" si="15"/>
        <v>11</v>
      </c>
      <c r="C229">
        <f t="shared" si="16"/>
        <v>7</v>
      </c>
      <c r="D229">
        <f t="shared" ca="1" si="17"/>
        <v>1</v>
      </c>
      <c r="E229">
        <f t="shared" ca="1" si="18"/>
        <v>4</v>
      </c>
    </row>
    <row r="230" spans="1:5" x14ac:dyDescent="0.25">
      <c r="A230">
        <f t="shared" ca="1" si="19"/>
        <v>0.89472700055198062</v>
      </c>
      <c r="B230">
        <f t="shared" si="15"/>
        <v>11</v>
      </c>
      <c r="C230">
        <f t="shared" si="16"/>
        <v>8</v>
      </c>
      <c r="D230">
        <f t="shared" ca="1" si="17"/>
        <v>1</v>
      </c>
      <c r="E230">
        <f t="shared" ca="1" si="18"/>
        <v>8</v>
      </c>
    </row>
    <row r="231" spans="1:5" x14ac:dyDescent="0.25">
      <c r="A231">
        <f t="shared" ca="1" si="19"/>
        <v>0.51480361028587973</v>
      </c>
      <c r="B231">
        <f t="shared" si="15"/>
        <v>11</v>
      </c>
      <c r="C231">
        <f t="shared" si="16"/>
        <v>9</v>
      </c>
      <c r="D231">
        <f t="shared" ca="1" si="17"/>
        <v>1</v>
      </c>
      <c r="E231">
        <f t="shared" ca="1" si="18"/>
        <v>11</v>
      </c>
    </row>
    <row r="232" spans="1:5" x14ac:dyDescent="0.25">
      <c r="A232">
        <f t="shared" ca="1" si="19"/>
        <v>0.36173149201754273</v>
      </c>
      <c r="B232">
        <f t="shared" si="15"/>
        <v>11</v>
      </c>
      <c r="C232">
        <f t="shared" si="16"/>
        <v>10</v>
      </c>
      <c r="D232">
        <f t="shared" ca="1" si="17"/>
        <v>2</v>
      </c>
      <c r="E232">
        <f t="shared" ca="1" si="18"/>
        <v>19</v>
      </c>
    </row>
    <row r="233" spans="1:5" x14ac:dyDescent="0.25">
      <c r="A233">
        <f t="shared" ca="1" si="19"/>
        <v>5.6803862496040636E-2</v>
      </c>
      <c r="B233">
        <f t="shared" si="15"/>
        <v>11</v>
      </c>
      <c r="C233">
        <f t="shared" si="16"/>
        <v>11</v>
      </c>
      <c r="D233">
        <f t="shared" ca="1" si="17"/>
        <v>2</v>
      </c>
      <c r="E233">
        <f t="shared" ca="1" si="18"/>
        <v>17</v>
      </c>
    </row>
    <row r="234" spans="1:5" x14ac:dyDescent="0.25">
      <c r="A234">
        <f t="shared" ca="1" si="19"/>
        <v>0.76603091506089982</v>
      </c>
      <c r="B234">
        <f t="shared" si="15"/>
        <v>11</v>
      </c>
      <c r="C234">
        <f t="shared" si="16"/>
        <v>12</v>
      </c>
      <c r="D234">
        <f t="shared" ca="1" si="17"/>
        <v>2</v>
      </c>
      <c r="E234">
        <f t="shared" ca="1" si="18"/>
        <v>19</v>
      </c>
    </row>
    <row r="235" spans="1:5" x14ac:dyDescent="0.25">
      <c r="A235">
        <f t="shared" ca="1" si="19"/>
        <v>0.12403008385516334</v>
      </c>
      <c r="B235">
        <f t="shared" si="15"/>
        <v>11</v>
      </c>
      <c r="C235">
        <f t="shared" si="16"/>
        <v>13</v>
      </c>
      <c r="D235">
        <f t="shared" ca="1" si="17"/>
        <v>2</v>
      </c>
      <c r="E235">
        <f t="shared" ca="1" si="18"/>
        <v>18</v>
      </c>
    </row>
    <row r="236" spans="1:5" x14ac:dyDescent="0.25">
      <c r="A236">
        <f t="shared" ca="1" si="19"/>
        <v>0.29661449954370644</v>
      </c>
      <c r="B236">
        <f t="shared" ref="B236:B299" si="20">B216+1</f>
        <v>11</v>
      </c>
      <c r="C236">
        <f t="shared" ref="C236:C299" si="21">C216</f>
        <v>14</v>
      </c>
      <c r="D236">
        <f t="shared" ca="1" si="17"/>
        <v>1</v>
      </c>
      <c r="E236">
        <f t="shared" ca="1" si="18"/>
        <v>14</v>
      </c>
    </row>
    <row r="237" spans="1:5" x14ac:dyDescent="0.25">
      <c r="A237">
        <f t="shared" ca="1" si="19"/>
        <v>0.28320243531723466</v>
      </c>
      <c r="B237">
        <f t="shared" si="20"/>
        <v>11</v>
      </c>
      <c r="C237">
        <f t="shared" si="21"/>
        <v>15</v>
      </c>
      <c r="D237">
        <f t="shared" ca="1" si="17"/>
        <v>1</v>
      </c>
      <c r="E237">
        <f t="shared" ca="1" si="18"/>
        <v>5</v>
      </c>
    </row>
    <row r="238" spans="1:5" x14ac:dyDescent="0.25">
      <c r="A238">
        <f t="shared" ca="1" si="19"/>
        <v>0.71512267317426859</v>
      </c>
      <c r="B238">
        <f t="shared" si="20"/>
        <v>11</v>
      </c>
      <c r="C238">
        <f t="shared" si="21"/>
        <v>16</v>
      </c>
      <c r="D238">
        <f t="shared" ca="1" si="17"/>
        <v>1</v>
      </c>
      <c r="E238">
        <f t="shared" ca="1" si="18"/>
        <v>10</v>
      </c>
    </row>
    <row r="239" spans="1:5" x14ac:dyDescent="0.25">
      <c r="A239">
        <f t="shared" ca="1" si="19"/>
        <v>0.34522166313131997</v>
      </c>
      <c r="B239">
        <f t="shared" si="20"/>
        <v>11</v>
      </c>
      <c r="C239">
        <f t="shared" si="21"/>
        <v>17</v>
      </c>
      <c r="D239">
        <f t="shared" ca="1" si="17"/>
        <v>1</v>
      </c>
      <c r="E239">
        <f t="shared" ca="1" si="18"/>
        <v>11</v>
      </c>
    </row>
    <row r="240" spans="1:5" x14ac:dyDescent="0.25">
      <c r="A240">
        <f t="shared" ca="1" si="19"/>
        <v>0.53121963752121781</v>
      </c>
      <c r="B240">
        <f t="shared" si="20"/>
        <v>11</v>
      </c>
      <c r="C240">
        <f t="shared" si="21"/>
        <v>18</v>
      </c>
      <c r="D240">
        <f t="shared" ca="1" si="17"/>
        <v>1</v>
      </c>
      <c r="E240">
        <f t="shared" ca="1" si="18"/>
        <v>11</v>
      </c>
    </row>
    <row r="241" spans="1:5" x14ac:dyDescent="0.25">
      <c r="A241">
        <f t="shared" ca="1" si="19"/>
        <v>0.74426737451444458</v>
      </c>
      <c r="B241">
        <f t="shared" si="20"/>
        <v>11</v>
      </c>
      <c r="C241">
        <f t="shared" si="21"/>
        <v>19</v>
      </c>
      <c r="D241">
        <f t="shared" ca="1" si="17"/>
        <v>1</v>
      </c>
      <c r="E241">
        <f t="shared" ca="1" si="18"/>
        <v>10</v>
      </c>
    </row>
    <row r="242" spans="1:5" x14ac:dyDescent="0.25">
      <c r="A242">
        <f t="shared" ca="1" si="19"/>
        <v>0.65544453688661519</v>
      </c>
      <c r="B242">
        <f t="shared" si="20"/>
        <v>11</v>
      </c>
      <c r="C242">
        <f t="shared" si="21"/>
        <v>20</v>
      </c>
      <c r="D242">
        <f t="shared" ca="1" si="17"/>
        <v>2</v>
      </c>
      <c r="E242">
        <f t="shared" ca="1" si="18"/>
        <v>18</v>
      </c>
    </row>
    <row r="243" spans="1:5" x14ac:dyDescent="0.25">
      <c r="A243">
        <f t="shared" ca="1" si="19"/>
        <v>0.5110951573887913</v>
      </c>
      <c r="B243">
        <f t="shared" si="20"/>
        <v>12</v>
      </c>
      <c r="C243">
        <f t="shared" si="21"/>
        <v>1</v>
      </c>
      <c r="D243">
        <f t="shared" ca="1" si="17"/>
        <v>1</v>
      </c>
      <c r="E243">
        <f t="shared" ca="1" si="18"/>
        <v>11</v>
      </c>
    </row>
    <row r="244" spans="1:5" x14ac:dyDescent="0.25">
      <c r="A244">
        <f t="shared" ca="1" si="19"/>
        <v>0.83629559996733682</v>
      </c>
      <c r="B244">
        <f t="shared" si="20"/>
        <v>12</v>
      </c>
      <c r="C244">
        <f t="shared" si="21"/>
        <v>2</v>
      </c>
      <c r="D244">
        <f t="shared" ca="1" si="17"/>
        <v>1</v>
      </c>
      <c r="E244">
        <f t="shared" ca="1" si="18"/>
        <v>11</v>
      </c>
    </row>
    <row r="245" spans="1:5" x14ac:dyDescent="0.25">
      <c r="A245">
        <f t="shared" ca="1" si="19"/>
        <v>0.23031846013179935</v>
      </c>
      <c r="B245">
        <f t="shared" si="20"/>
        <v>12</v>
      </c>
      <c r="C245">
        <f t="shared" si="21"/>
        <v>3</v>
      </c>
      <c r="D245">
        <f t="shared" ca="1" si="17"/>
        <v>2</v>
      </c>
      <c r="E245">
        <f t="shared" ca="1" si="18"/>
        <v>22</v>
      </c>
    </row>
    <row r="246" spans="1:5" x14ac:dyDescent="0.25">
      <c r="A246">
        <f t="shared" ca="1" si="19"/>
        <v>0.3827263007616426</v>
      </c>
      <c r="B246">
        <f t="shared" si="20"/>
        <v>12</v>
      </c>
      <c r="C246">
        <f t="shared" si="21"/>
        <v>4</v>
      </c>
      <c r="D246">
        <f t="shared" ca="1" si="17"/>
        <v>1</v>
      </c>
      <c r="E246">
        <f t="shared" ca="1" si="18"/>
        <v>11</v>
      </c>
    </row>
    <row r="247" spans="1:5" x14ac:dyDescent="0.25">
      <c r="A247">
        <f t="shared" ca="1" si="19"/>
        <v>0.50666281291912318</v>
      </c>
      <c r="B247">
        <f t="shared" si="20"/>
        <v>12</v>
      </c>
      <c r="C247">
        <f t="shared" si="21"/>
        <v>5</v>
      </c>
      <c r="D247">
        <f t="shared" ca="1" si="17"/>
        <v>1</v>
      </c>
      <c r="E247">
        <f t="shared" ca="1" si="18"/>
        <v>13</v>
      </c>
    </row>
    <row r="248" spans="1:5" x14ac:dyDescent="0.25">
      <c r="A248">
        <f t="shared" ca="1" si="19"/>
        <v>0.94924002179605071</v>
      </c>
      <c r="B248">
        <f t="shared" si="20"/>
        <v>12</v>
      </c>
      <c r="C248">
        <f t="shared" si="21"/>
        <v>6</v>
      </c>
      <c r="D248">
        <f t="shared" ca="1" si="17"/>
        <v>1</v>
      </c>
      <c r="E248">
        <f t="shared" ca="1" si="18"/>
        <v>14</v>
      </c>
    </row>
    <row r="249" spans="1:5" x14ac:dyDescent="0.25">
      <c r="A249">
        <f t="shared" ca="1" si="19"/>
        <v>0.41553760081792412</v>
      </c>
      <c r="B249">
        <f t="shared" si="20"/>
        <v>12</v>
      </c>
      <c r="C249">
        <f t="shared" si="21"/>
        <v>7</v>
      </c>
      <c r="D249">
        <f t="shared" ca="1" si="17"/>
        <v>1</v>
      </c>
      <c r="E249">
        <f t="shared" ca="1" si="18"/>
        <v>8</v>
      </c>
    </row>
    <row r="250" spans="1:5" x14ac:dyDescent="0.25">
      <c r="A250">
        <f t="shared" ca="1" si="19"/>
        <v>0.16417302403594647</v>
      </c>
      <c r="B250">
        <f t="shared" si="20"/>
        <v>12</v>
      </c>
      <c r="C250">
        <f t="shared" si="21"/>
        <v>8</v>
      </c>
      <c r="D250">
        <f t="shared" ca="1" si="17"/>
        <v>1</v>
      </c>
      <c r="E250">
        <f t="shared" ca="1" si="18"/>
        <v>10</v>
      </c>
    </row>
    <row r="251" spans="1:5" x14ac:dyDescent="0.25">
      <c r="A251">
        <f t="shared" ca="1" si="19"/>
        <v>0.99976439301662989</v>
      </c>
      <c r="B251">
        <f t="shared" si="20"/>
        <v>12</v>
      </c>
      <c r="C251">
        <f t="shared" si="21"/>
        <v>9</v>
      </c>
      <c r="D251">
        <f t="shared" ca="1" si="17"/>
        <v>1</v>
      </c>
      <c r="E251">
        <f t="shared" ca="1" si="18"/>
        <v>9</v>
      </c>
    </row>
    <row r="252" spans="1:5" x14ac:dyDescent="0.25">
      <c r="A252">
        <f t="shared" ca="1" si="19"/>
        <v>4.3259559378235335E-2</v>
      </c>
      <c r="B252">
        <f t="shared" si="20"/>
        <v>12</v>
      </c>
      <c r="C252">
        <f t="shared" si="21"/>
        <v>10</v>
      </c>
      <c r="D252">
        <f t="shared" ca="1" si="17"/>
        <v>2</v>
      </c>
      <c r="E252">
        <f t="shared" ca="1" si="18"/>
        <v>21</v>
      </c>
    </row>
    <row r="253" spans="1:5" x14ac:dyDescent="0.25">
      <c r="A253">
        <f t="shared" ca="1" si="19"/>
        <v>0.4492410480217689</v>
      </c>
      <c r="B253">
        <f t="shared" si="20"/>
        <v>12</v>
      </c>
      <c r="C253">
        <f t="shared" si="21"/>
        <v>11</v>
      </c>
      <c r="D253">
        <f t="shared" ca="1" si="17"/>
        <v>2</v>
      </c>
      <c r="E253">
        <f t="shared" ca="1" si="18"/>
        <v>16</v>
      </c>
    </row>
    <row r="254" spans="1:5" x14ac:dyDescent="0.25">
      <c r="A254">
        <f t="shared" ca="1" si="19"/>
        <v>0.75449348124877891</v>
      </c>
      <c r="B254">
        <f t="shared" si="20"/>
        <v>12</v>
      </c>
      <c r="C254">
        <f t="shared" si="21"/>
        <v>12</v>
      </c>
      <c r="D254">
        <f t="shared" ca="1" si="17"/>
        <v>1</v>
      </c>
      <c r="E254">
        <f t="shared" ca="1" si="18"/>
        <v>13</v>
      </c>
    </row>
    <row r="255" spans="1:5" x14ac:dyDescent="0.25">
      <c r="A255">
        <f t="shared" ca="1" si="19"/>
        <v>4.9208211335303842E-2</v>
      </c>
      <c r="B255">
        <f t="shared" si="20"/>
        <v>12</v>
      </c>
      <c r="C255">
        <f t="shared" si="21"/>
        <v>13</v>
      </c>
      <c r="D255">
        <f t="shared" ca="1" si="17"/>
        <v>1</v>
      </c>
      <c r="E255">
        <f t="shared" ca="1" si="18"/>
        <v>5</v>
      </c>
    </row>
    <row r="256" spans="1:5" x14ac:dyDescent="0.25">
      <c r="A256">
        <f t="shared" ca="1" si="19"/>
        <v>0.94488713458911155</v>
      </c>
      <c r="B256">
        <f t="shared" si="20"/>
        <v>12</v>
      </c>
      <c r="C256">
        <f t="shared" si="21"/>
        <v>14</v>
      </c>
      <c r="D256">
        <f t="shared" ca="1" si="17"/>
        <v>1</v>
      </c>
      <c r="E256">
        <f t="shared" ca="1" si="18"/>
        <v>6</v>
      </c>
    </row>
    <row r="257" spans="1:5" x14ac:dyDescent="0.25">
      <c r="A257">
        <f t="shared" ca="1" si="19"/>
        <v>0.73517930321625524</v>
      </c>
      <c r="B257">
        <f t="shared" si="20"/>
        <v>12</v>
      </c>
      <c r="C257">
        <f t="shared" si="21"/>
        <v>15</v>
      </c>
      <c r="D257">
        <f t="shared" ca="1" si="17"/>
        <v>1</v>
      </c>
      <c r="E257">
        <f t="shared" ca="1" si="18"/>
        <v>13</v>
      </c>
    </row>
    <row r="258" spans="1:5" x14ac:dyDescent="0.25">
      <c r="A258">
        <f t="shared" ca="1" si="19"/>
        <v>0.94365476411490623</v>
      </c>
      <c r="B258">
        <f t="shared" si="20"/>
        <v>12</v>
      </c>
      <c r="C258">
        <f t="shared" si="21"/>
        <v>16</v>
      </c>
      <c r="D258">
        <f t="shared" ca="1" si="17"/>
        <v>1</v>
      </c>
      <c r="E258">
        <f t="shared" ca="1" si="18"/>
        <v>6</v>
      </c>
    </row>
    <row r="259" spans="1:5" x14ac:dyDescent="0.25">
      <c r="A259">
        <f t="shared" ca="1" si="19"/>
        <v>0.53343150597707478</v>
      </c>
      <c r="B259">
        <f t="shared" si="20"/>
        <v>12</v>
      </c>
      <c r="C259">
        <f t="shared" si="21"/>
        <v>17</v>
      </c>
      <c r="D259">
        <f t="shared" ca="1" si="17"/>
        <v>1</v>
      </c>
      <c r="E259">
        <f t="shared" ca="1" si="18"/>
        <v>5</v>
      </c>
    </row>
    <row r="260" spans="1:5" x14ac:dyDescent="0.25">
      <c r="A260">
        <f t="shared" ca="1" si="19"/>
        <v>0.88198383567270522</v>
      </c>
      <c r="B260">
        <f t="shared" si="20"/>
        <v>12</v>
      </c>
      <c r="C260">
        <f t="shared" si="21"/>
        <v>18</v>
      </c>
      <c r="D260">
        <f t="shared" ca="1" si="17"/>
        <v>2</v>
      </c>
      <c r="E260">
        <f t="shared" ca="1" si="18"/>
        <v>24</v>
      </c>
    </row>
    <row r="261" spans="1:5" x14ac:dyDescent="0.25">
      <c r="A261">
        <f t="shared" ca="1" si="19"/>
        <v>0.44711805946394023</v>
      </c>
      <c r="B261">
        <f t="shared" si="20"/>
        <v>12</v>
      </c>
      <c r="C261">
        <f t="shared" si="21"/>
        <v>19</v>
      </c>
      <c r="D261">
        <f t="shared" ca="1" si="17"/>
        <v>2</v>
      </c>
      <c r="E261">
        <f t="shared" ca="1" si="18"/>
        <v>21</v>
      </c>
    </row>
    <row r="262" spans="1:5" x14ac:dyDescent="0.25">
      <c r="A262">
        <f t="shared" ca="1" si="19"/>
        <v>0.24282943933317847</v>
      </c>
      <c r="B262">
        <f t="shared" si="20"/>
        <v>12</v>
      </c>
      <c r="C262">
        <f t="shared" si="21"/>
        <v>20</v>
      </c>
      <c r="D262">
        <f t="shared" ca="1" si="17"/>
        <v>2</v>
      </c>
      <c r="E262">
        <f t="shared" ca="1" si="18"/>
        <v>17</v>
      </c>
    </row>
    <row r="263" spans="1:5" x14ac:dyDescent="0.25">
      <c r="A263">
        <f t="shared" ca="1" si="19"/>
        <v>0.27925818609513375</v>
      </c>
      <c r="B263">
        <f t="shared" si="20"/>
        <v>13</v>
      </c>
      <c r="C263">
        <f t="shared" si="21"/>
        <v>1</v>
      </c>
      <c r="D263">
        <f t="shared" ca="1" si="17"/>
        <v>1</v>
      </c>
      <c r="E263">
        <f t="shared" ca="1" si="18"/>
        <v>11</v>
      </c>
    </row>
    <row r="264" spans="1:5" x14ac:dyDescent="0.25">
      <c r="A264">
        <f t="shared" ca="1" si="19"/>
        <v>0.59109483223137593</v>
      </c>
      <c r="B264">
        <f t="shared" si="20"/>
        <v>13</v>
      </c>
      <c r="C264">
        <f t="shared" si="21"/>
        <v>2</v>
      </c>
      <c r="D264">
        <f t="shared" ca="1" si="17"/>
        <v>2</v>
      </c>
      <c r="E264">
        <f t="shared" ca="1" si="18"/>
        <v>17</v>
      </c>
    </row>
    <row r="265" spans="1:5" x14ac:dyDescent="0.25">
      <c r="A265">
        <f t="shared" ca="1" si="19"/>
        <v>0.43617365968357924</v>
      </c>
      <c r="B265">
        <f t="shared" si="20"/>
        <v>13</v>
      </c>
      <c r="C265">
        <f t="shared" si="21"/>
        <v>3</v>
      </c>
      <c r="D265">
        <f t="shared" ca="1" si="17"/>
        <v>2</v>
      </c>
      <c r="E265">
        <f t="shared" ca="1" si="18"/>
        <v>18</v>
      </c>
    </row>
    <row r="266" spans="1:5" x14ac:dyDescent="0.25">
      <c r="A266">
        <f t="shared" ca="1" si="19"/>
        <v>0.88861658840550239</v>
      </c>
      <c r="B266">
        <f t="shared" si="20"/>
        <v>13</v>
      </c>
      <c r="C266">
        <f t="shared" si="21"/>
        <v>4</v>
      </c>
      <c r="D266">
        <f t="shared" ca="1" si="17"/>
        <v>1</v>
      </c>
      <c r="E266">
        <f t="shared" ca="1" si="18"/>
        <v>10</v>
      </c>
    </row>
    <row r="267" spans="1:5" x14ac:dyDescent="0.25">
      <c r="A267">
        <f t="shared" ca="1" si="19"/>
        <v>0.37172198035162574</v>
      </c>
      <c r="B267">
        <f t="shared" si="20"/>
        <v>13</v>
      </c>
      <c r="C267">
        <f t="shared" si="21"/>
        <v>5</v>
      </c>
      <c r="D267">
        <f t="shared" ca="1" si="17"/>
        <v>1</v>
      </c>
      <c r="E267">
        <f t="shared" ca="1" si="18"/>
        <v>13</v>
      </c>
    </row>
    <row r="268" spans="1:5" x14ac:dyDescent="0.25">
      <c r="A268">
        <f t="shared" ca="1" si="19"/>
        <v>0.80006387129105239</v>
      </c>
      <c r="B268">
        <f t="shared" si="20"/>
        <v>13</v>
      </c>
      <c r="C268">
        <f t="shared" si="21"/>
        <v>6</v>
      </c>
      <c r="D268">
        <f t="shared" ca="1" si="17"/>
        <v>1</v>
      </c>
      <c r="E268">
        <f t="shared" ca="1" si="18"/>
        <v>8</v>
      </c>
    </row>
    <row r="269" spans="1:5" x14ac:dyDescent="0.25">
      <c r="A269">
        <f t="shared" ca="1" si="19"/>
        <v>0.47214770731705891</v>
      </c>
      <c r="B269">
        <f t="shared" si="20"/>
        <v>13</v>
      </c>
      <c r="C269">
        <f t="shared" si="21"/>
        <v>7</v>
      </c>
      <c r="D269">
        <f t="shared" ca="1" si="17"/>
        <v>1</v>
      </c>
      <c r="E269">
        <f t="shared" ca="1" si="18"/>
        <v>14</v>
      </c>
    </row>
    <row r="270" spans="1:5" x14ac:dyDescent="0.25">
      <c r="A270">
        <f t="shared" ca="1" si="19"/>
        <v>0.7753445129807206</v>
      </c>
      <c r="B270">
        <f t="shared" si="20"/>
        <v>13</v>
      </c>
      <c r="C270">
        <f t="shared" si="21"/>
        <v>8</v>
      </c>
      <c r="D270">
        <f t="shared" ca="1" si="17"/>
        <v>1</v>
      </c>
      <c r="E270">
        <f t="shared" ca="1" si="18"/>
        <v>14</v>
      </c>
    </row>
    <row r="271" spans="1:5" x14ac:dyDescent="0.25">
      <c r="A271">
        <f t="shared" ca="1" si="19"/>
        <v>0.10113353994095431</v>
      </c>
      <c r="B271">
        <f t="shared" si="20"/>
        <v>13</v>
      </c>
      <c r="C271">
        <f t="shared" si="21"/>
        <v>9</v>
      </c>
      <c r="D271">
        <f t="shared" ca="1" si="17"/>
        <v>1</v>
      </c>
      <c r="E271">
        <f t="shared" ca="1" si="18"/>
        <v>11</v>
      </c>
    </row>
    <row r="272" spans="1:5" x14ac:dyDescent="0.25">
      <c r="A272">
        <f t="shared" ca="1" si="19"/>
        <v>0.91437455288222169</v>
      </c>
      <c r="B272">
        <f t="shared" si="20"/>
        <v>13</v>
      </c>
      <c r="C272">
        <f t="shared" si="21"/>
        <v>10</v>
      </c>
      <c r="D272">
        <f t="shared" ca="1" si="17"/>
        <v>1</v>
      </c>
      <c r="E272">
        <f t="shared" ca="1" si="18"/>
        <v>11</v>
      </c>
    </row>
    <row r="273" spans="1:5" x14ac:dyDescent="0.25">
      <c r="A273">
        <f t="shared" ca="1" si="19"/>
        <v>0.87039119285023192</v>
      </c>
      <c r="B273">
        <f t="shared" si="20"/>
        <v>13</v>
      </c>
      <c r="C273">
        <f t="shared" si="21"/>
        <v>11</v>
      </c>
      <c r="D273">
        <f t="shared" ca="1" si="17"/>
        <v>1</v>
      </c>
      <c r="E273">
        <f t="shared" ca="1" si="18"/>
        <v>13</v>
      </c>
    </row>
    <row r="274" spans="1:5" x14ac:dyDescent="0.25">
      <c r="A274">
        <f t="shared" ca="1" si="19"/>
        <v>0.51917050779180107</v>
      </c>
      <c r="B274">
        <f t="shared" si="20"/>
        <v>13</v>
      </c>
      <c r="C274">
        <f t="shared" si="21"/>
        <v>12</v>
      </c>
      <c r="D274">
        <f t="shared" ca="1" si="17"/>
        <v>1</v>
      </c>
      <c r="E274">
        <f t="shared" ca="1" si="18"/>
        <v>11</v>
      </c>
    </row>
    <row r="275" spans="1:5" x14ac:dyDescent="0.25">
      <c r="A275">
        <f t="shared" ca="1" si="19"/>
        <v>0.33670906864164052</v>
      </c>
      <c r="B275">
        <f t="shared" si="20"/>
        <v>13</v>
      </c>
      <c r="C275">
        <f t="shared" si="21"/>
        <v>13</v>
      </c>
      <c r="D275">
        <f t="shared" ca="1" si="17"/>
        <v>1</v>
      </c>
      <c r="E275">
        <f t="shared" ca="1" si="18"/>
        <v>5</v>
      </c>
    </row>
    <row r="276" spans="1:5" x14ac:dyDescent="0.25">
      <c r="A276">
        <f t="shared" ca="1" si="19"/>
        <v>0.50749886518061538</v>
      </c>
      <c r="B276">
        <f t="shared" si="20"/>
        <v>13</v>
      </c>
      <c r="C276">
        <f t="shared" si="21"/>
        <v>14</v>
      </c>
      <c r="D276">
        <f t="shared" ca="1" si="17"/>
        <v>1</v>
      </c>
      <c r="E276">
        <f t="shared" ca="1" si="18"/>
        <v>8</v>
      </c>
    </row>
    <row r="277" spans="1:5" x14ac:dyDescent="0.25">
      <c r="A277">
        <f t="shared" ca="1" si="19"/>
        <v>0.94726092506722626</v>
      </c>
      <c r="B277">
        <f t="shared" si="20"/>
        <v>13</v>
      </c>
      <c r="C277">
        <f t="shared" si="21"/>
        <v>15</v>
      </c>
      <c r="D277">
        <f t="shared" ca="1" si="17"/>
        <v>1</v>
      </c>
      <c r="E277">
        <f t="shared" ca="1" si="18"/>
        <v>11</v>
      </c>
    </row>
    <row r="278" spans="1:5" x14ac:dyDescent="0.25">
      <c r="A278">
        <f t="shared" ca="1" si="19"/>
        <v>7.7291017004511797E-2</v>
      </c>
      <c r="B278">
        <f t="shared" si="20"/>
        <v>13</v>
      </c>
      <c r="C278">
        <f t="shared" si="21"/>
        <v>16</v>
      </c>
      <c r="D278">
        <f t="shared" ca="1" si="17"/>
        <v>1</v>
      </c>
      <c r="E278">
        <f t="shared" ca="1" si="18"/>
        <v>7</v>
      </c>
    </row>
    <row r="279" spans="1:5" x14ac:dyDescent="0.25">
      <c r="A279">
        <f t="shared" ca="1" si="19"/>
        <v>0.19992417622345382</v>
      </c>
      <c r="B279">
        <f t="shared" si="20"/>
        <v>13</v>
      </c>
      <c r="C279">
        <f t="shared" si="21"/>
        <v>17</v>
      </c>
      <c r="D279">
        <f t="shared" ref="D279:D342" ca="1" si="22">INDIRECT(ADDRESS(B279,C279,1,0),0)</f>
        <v>1</v>
      </c>
      <c r="E279">
        <f t="shared" ref="E279:E342" ca="1" si="23">INDIRECT(ADDRESS(B279,C279+21,1,0),0)</f>
        <v>2</v>
      </c>
    </row>
    <row r="280" spans="1:5" x14ac:dyDescent="0.25">
      <c r="A280">
        <f t="shared" ref="A280:A343" ca="1" si="24">RAND()</f>
        <v>4.8803967634105661E-2</v>
      </c>
      <c r="B280">
        <f t="shared" si="20"/>
        <v>13</v>
      </c>
      <c r="C280">
        <f t="shared" si="21"/>
        <v>18</v>
      </c>
      <c r="D280">
        <f t="shared" ca="1" si="22"/>
        <v>1</v>
      </c>
      <c r="E280">
        <f t="shared" ca="1" si="23"/>
        <v>15</v>
      </c>
    </row>
    <row r="281" spans="1:5" x14ac:dyDescent="0.25">
      <c r="A281">
        <f t="shared" ca="1" si="24"/>
        <v>0.62062730486507822</v>
      </c>
      <c r="B281">
        <f t="shared" si="20"/>
        <v>13</v>
      </c>
      <c r="C281">
        <f t="shared" si="21"/>
        <v>19</v>
      </c>
      <c r="D281">
        <f t="shared" ca="1" si="22"/>
        <v>2</v>
      </c>
      <c r="E281">
        <f t="shared" ca="1" si="23"/>
        <v>27</v>
      </c>
    </row>
    <row r="282" spans="1:5" x14ac:dyDescent="0.25">
      <c r="A282">
        <f t="shared" ca="1" si="24"/>
        <v>0.16889114811423711</v>
      </c>
      <c r="B282">
        <f t="shared" si="20"/>
        <v>13</v>
      </c>
      <c r="C282">
        <f t="shared" si="21"/>
        <v>20</v>
      </c>
      <c r="D282">
        <f t="shared" ca="1" si="22"/>
        <v>2</v>
      </c>
      <c r="E282">
        <f t="shared" ca="1" si="23"/>
        <v>30</v>
      </c>
    </row>
    <row r="283" spans="1:5" x14ac:dyDescent="0.25">
      <c r="A283">
        <f t="shared" ca="1" si="24"/>
        <v>0.28129980014081024</v>
      </c>
      <c r="B283">
        <f t="shared" si="20"/>
        <v>14</v>
      </c>
      <c r="C283">
        <f t="shared" si="21"/>
        <v>1</v>
      </c>
      <c r="D283">
        <f t="shared" ca="1" si="22"/>
        <v>1</v>
      </c>
      <c r="E283">
        <f t="shared" ca="1" si="23"/>
        <v>7</v>
      </c>
    </row>
    <row r="284" spans="1:5" x14ac:dyDescent="0.25">
      <c r="A284">
        <f t="shared" ca="1" si="24"/>
        <v>0.80182042754847938</v>
      </c>
      <c r="B284">
        <f t="shared" si="20"/>
        <v>14</v>
      </c>
      <c r="C284">
        <f t="shared" si="21"/>
        <v>2</v>
      </c>
      <c r="D284">
        <f t="shared" ca="1" si="22"/>
        <v>2</v>
      </c>
      <c r="E284">
        <f t="shared" ca="1" si="23"/>
        <v>23</v>
      </c>
    </row>
    <row r="285" spans="1:5" x14ac:dyDescent="0.25">
      <c r="A285">
        <f t="shared" ca="1" si="24"/>
        <v>0.61999336620037337</v>
      </c>
      <c r="B285">
        <f t="shared" si="20"/>
        <v>14</v>
      </c>
      <c r="C285">
        <f t="shared" si="21"/>
        <v>3</v>
      </c>
      <c r="D285">
        <f t="shared" ca="1" si="22"/>
        <v>2</v>
      </c>
      <c r="E285">
        <f t="shared" ca="1" si="23"/>
        <v>22</v>
      </c>
    </row>
    <row r="286" spans="1:5" x14ac:dyDescent="0.25">
      <c r="A286">
        <f t="shared" ca="1" si="24"/>
        <v>0.17648557128544562</v>
      </c>
      <c r="B286">
        <f t="shared" si="20"/>
        <v>14</v>
      </c>
      <c r="C286">
        <f t="shared" si="21"/>
        <v>4</v>
      </c>
      <c r="D286">
        <f t="shared" ca="1" si="22"/>
        <v>1</v>
      </c>
      <c r="E286">
        <f t="shared" ca="1" si="23"/>
        <v>13</v>
      </c>
    </row>
    <row r="287" spans="1:5" x14ac:dyDescent="0.25">
      <c r="A287">
        <f t="shared" ca="1" si="24"/>
        <v>0.36563414427563978</v>
      </c>
      <c r="B287">
        <f t="shared" si="20"/>
        <v>14</v>
      </c>
      <c r="C287">
        <f t="shared" si="21"/>
        <v>5</v>
      </c>
      <c r="D287">
        <f t="shared" ca="1" si="22"/>
        <v>1</v>
      </c>
      <c r="E287">
        <f t="shared" ca="1" si="23"/>
        <v>13</v>
      </c>
    </row>
    <row r="288" spans="1:5" x14ac:dyDescent="0.25">
      <c r="A288">
        <f t="shared" ca="1" si="24"/>
        <v>0.66328950687237476</v>
      </c>
      <c r="B288">
        <f t="shared" si="20"/>
        <v>14</v>
      </c>
      <c r="C288">
        <f t="shared" si="21"/>
        <v>6</v>
      </c>
      <c r="D288">
        <f t="shared" ca="1" si="22"/>
        <v>1</v>
      </c>
      <c r="E288">
        <f t="shared" ca="1" si="23"/>
        <v>11</v>
      </c>
    </row>
    <row r="289" spans="1:5" x14ac:dyDescent="0.25">
      <c r="A289">
        <f t="shared" ca="1" si="24"/>
        <v>0.52186108450867552</v>
      </c>
      <c r="B289">
        <f t="shared" si="20"/>
        <v>14</v>
      </c>
      <c r="C289">
        <f t="shared" si="21"/>
        <v>7</v>
      </c>
      <c r="D289">
        <f t="shared" ca="1" si="22"/>
        <v>1</v>
      </c>
      <c r="E289">
        <f t="shared" ca="1" si="23"/>
        <v>10</v>
      </c>
    </row>
    <row r="290" spans="1:5" x14ac:dyDescent="0.25">
      <c r="A290">
        <f t="shared" ca="1" si="24"/>
        <v>0.45338633183800803</v>
      </c>
      <c r="B290">
        <f t="shared" si="20"/>
        <v>14</v>
      </c>
      <c r="C290">
        <f t="shared" si="21"/>
        <v>8</v>
      </c>
      <c r="D290">
        <f t="shared" ca="1" si="22"/>
        <v>1</v>
      </c>
      <c r="E290">
        <f t="shared" ca="1" si="23"/>
        <v>6</v>
      </c>
    </row>
    <row r="291" spans="1:5" x14ac:dyDescent="0.25">
      <c r="A291">
        <f t="shared" ca="1" si="24"/>
        <v>0.17289314256842181</v>
      </c>
      <c r="B291">
        <f t="shared" si="20"/>
        <v>14</v>
      </c>
      <c r="C291">
        <f t="shared" si="21"/>
        <v>9</v>
      </c>
      <c r="D291">
        <f t="shared" ca="1" si="22"/>
        <v>1</v>
      </c>
      <c r="E291">
        <f t="shared" ca="1" si="23"/>
        <v>12</v>
      </c>
    </row>
    <row r="292" spans="1:5" x14ac:dyDescent="0.25">
      <c r="A292">
        <f t="shared" ca="1" si="24"/>
        <v>0.45701984683823471</v>
      </c>
      <c r="B292">
        <f t="shared" si="20"/>
        <v>14</v>
      </c>
      <c r="C292">
        <f t="shared" si="21"/>
        <v>10</v>
      </c>
      <c r="D292">
        <f t="shared" ca="1" si="22"/>
        <v>1</v>
      </c>
      <c r="E292">
        <f t="shared" ca="1" si="23"/>
        <v>7</v>
      </c>
    </row>
    <row r="293" spans="1:5" x14ac:dyDescent="0.25">
      <c r="A293">
        <f t="shared" ca="1" si="24"/>
        <v>0.40594286491102638</v>
      </c>
      <c r="B293">
        <f t="shared" si="20"/>
        <v>14</v>
      </c>
      <c r="C293">
        <f t="shared" si="21"/>
        <v>11</v>
      </c>
      <c r="D293">
        <f t="shared" ca="1" si="22"/>
        <v>1</v>
      </c>
      <c r="E293">
        <f t="shared" ca="1" si="23"/>
        <v>5</v>
      </c>
    </row>
    <row r="294" spans="1:5" x14ac:dyDescent="0.25">
      <c r="A294">
        <f t="shared" ca="1" si="24"/>
        <v>3.0558104913123274E-2</v>
      </c>
      <c r="B294">
        <f t="shared" si="20"/>
        <v>14</v>
      </c>
      <c r="C294">
        <f t="shared" si="21"/>
        <v>12</v>
      </c>
      <c r="D294">
        <f t="shared" ca="1" si="22"/>
        <v>1</v>
      </c>
      <c r="E294">
        <f t="shared" ca="1" si="23"/>
        <v>9</v>
      </c>
    </row>
    <row r="295" spans="1:5" x14ac:dyDescent="0.25">
      <c r="A295">
        <f t="shared" ca="1" si="24"/>
        <v>0.27416466212295254</v>
      </c>
      <c r="B295">
        <f t="shared" si="20"/>
        <v>14</v>
      </c>
      <c r="C295">
        <f t="shared" si="21"/>
        <v>13</v>
      </c>
      <c r="D295">
        <f t="shared" ca="1" si="22"/>
        <v>1</v>
      </c>
      <c r="E295">
        <f t="shared" ca="1" si="23"/>
        <v>13</v>
      </c>
    </row>
    <row r="296" spans="1:5" x14ac:dyDescent="0.25">
      <c r="A296">
        <f t="shared" ca="1" si="24"/>
        <v>0.28808342598762848</v>
      </c>
      <c r="B296">
        <f t="shared" si="20"/>
        <v>14</v>
      </c>
      <c r="C296">
        <f t="shared" si="21"/>
        <v>14</v>
      </c>
      <c r="D296">
        <f t="shared" ca="1" si="22"/>
        <v>1</v>
      </c>
      <c r="E296">
        <f t="shared" ca="1" si="23"/>
        <v>9</v>
      </c>
    </row>
    <row r="297" spans="1:5" x14ac:dyDescent="0.25">
      <c r="A297">
        <f t="shared" ca="1" si="24"/>
        <v>0.31993638478551178</v>
      </c>
      <c r="B297">
        <f t="shared" si="20"/>
        <v>14</v>
      </c>
      <c r="C297">
        <f t="shared" si="21"/>
        <v>15</v>
      </c>
      <c r="D297">
        <f t="shared" ca="1" si="22"/>
        <v>1</v>
      </c>
      <c r="E297">
        <f t="shared" ca="1" si="23"/>
        <v>14</v>
      </c>
    </row>
    <row r="298" spans="1:5" x14ac:dyDescent="0.25">
      <c r="A298">
        <f t="shared" ca="1" si="24"/>
        <v>0.84761043092514632</v>
      </c>
      <c r="B298">
        <f t="shared" si="20"/>
        <v>14</v>
      </c>
      <c r="C298">
        <f t="shared" si="21"/>
        <v>16</v>
      </c>
      <c r="D298">
        <f t="shared" ca="1" si="22"/>
        <v>1</v>
      </c>
      <c r="E298">
        <f t="shared" ca="1" si="23"/>
        <v>16</v>
      </c>
    </row>
    <row r="299" spans="1:5" x14ac:dyDescent="0.25">
      <c r="A299">
        <f t="shared" ca="1" si="24"/>
        <v>0.17019568926574313</v>
      </c>
      <c r="B299">
        <f t="shared" si="20"/>
        <v>14</v>
      </c>
      <c r="C299">
        <f t="shared" si="21"/>
        <v>17</v>
      </c>
      <c r="D299">
        <f t="shared" ca="1" si="22"/>
        <v>1</v>
      </c>
      <c r="E299">
        <f t="shared" ca="1" si="23"/>
        <v>8</v>
      </c>
    </row>
    <row r="300" spans="1:5" x14ac:dyDescent="0.25">
      <c r="A300">
        <f t="shared" ca="1" si="24"/>
        <v>0.19367549888233981</v>
      </c>
      <c r="B300">
        <f t="shared" ref="B300:B363" si="25">B280+1</f>
        <v>14</v>
      </c>
      <c r="C300">
        <f t="shared" ref="C300:C363" si="26">C280</f>
        <v>18</v>
      </c>
      <c r="D300">
        <f t="shared" ca="1" si="22"/>
        <v>1</v>
      </c>
      <c r="E300">
        <f t="shared" ca="1" si="23"/>
        <v>11</v>
      </c>
    </row>
    <row r="301" spans="1:5" x14ac:dyDescent="0.25">
      <c r="A301">
        <f t="shared" ca="1" si="24"/>
        <v>0.38050407497966732</v>
      </c>
      <c r="B301">
        <f t="shared" si="25"/>
        <v>14</v>
      </c>
      <c r="C301">
        <f t="shared" si="26"/>
        <v>19</v>
      </c>
      <c r="D301">
        <f t="shared" ca="1" si="22"/>
        <v>1</v>
      </c>
      <c r="E301">
        <f t="shared" ca="1" si="23"/>
        <v>9</v>
      </c>
    </row>
    <row r="302" spans="1:5" x14ac:dyDescent="0.25">
      <c r="A302">
        <f t="shared" ca="1" si="24"/>
        <v>0.71906676052182594</v>
      </c>
      <c r="B302">
        <f t="shared" si="25"/>
        <v>14</v>
      </c>
      <c r="C302">
        <f t="shared" si="26"/>
        <v>20</v>
      </c>
      <c r="D302">
        <f t="shared" ca="1" si="22"/>
        <v>1</v>
      </c>
      <c r="E302">
        <f t="shared" ca="1" si="23"/>
        <v>16</v>
      </c>
    </row>
    <row r="303" spans="1:5" x14ac:dyDescent="0.25">
      <c r="A303">
        <f t="shared" ca="1" si="24"/>
        <v>0.62587584342628455</v>
      </c>
      <c r="B303">
        <f t="shared" si="25"/>
        <v>15</v>
      </c>
      <c r="C303">
        <f t="shared" si="26"/>
        <v>1</v>
      </c>
      <c r="D303">
        <f t="shared" ca="1" si="22"/>
        <v>2</v>
      </c>
      <c r="E303">
        <f t="shared" ca="1" si="23"/>
        <v>20</v>
      </c>
    </row>
    <row r="304" spans="1:5" x14ac:dyDescent="0.25">
      <c r="A304">
        <f t="shared" ca="1" si="24"/>
        <v>0.93959088373689637</v>
      </c>
      <c r="B304">
        <f t="shared" si="25"/>
        <v>15</v>
      </c>
      <c r="C304">
        <f t="shared" si="26"/>
        <v>2</v>
      </c>
      <c r="D304">
        <f t="shared" ca="1" si="22"/>
        <v>2</v>
      </c>
      <c r="E304">
        <f t="shared" ca="1" si="23"/>
        <v>28</v>
      </c>
    </row>
    <row r="305" spans="1:5" x14ac:dyDescent="0.25">
      <c r="A305">
        <f t="shared" ca="1" si="24"/>
        <v>0.72246114746096379</v>
      </c>
      <c r="B305">
        <f t="shared" si="25"/>
        <v>15</v>
      </c>
      <c r="C305">
        <f t="shared" si="26"/>
        <v>3</v>
      </c>
      <c r="D305">
        <f t="shared" ca="1" si="22"/>
        <v>1</v>
      </c>
      <c r="E305">
        <f t="shared" ca="1" si="23"/>
        <v>12</v>
      </c>
    </row>
    <row r="306" spans="1:5" x14ac:dyDescent="0.25">
      <c r="A306">
        <f t="shared" ca="1" si="24"/>
        <v>0.73311336632015789</v>
      </c>
      <c r="B306">
        <f t="shared" si="25"/>
        <v>15</v>
      </c>
      <c r="C306">
        <f t="shared" si="26"/>
        <v>4</v>
      </c>
      <c r="D306">
        <f t="shared" ca="1" si="22"/>
        <v>1</v>
      </c>
      <c r="E306">
        <f t="shared" ca="1" si="23"/>
        <v>12</v>
      </c>
    </row>
    <row r="307" spans="1:5" x14ac:dyDescent="0.25">
      <c r="A307">
        <f t="shared" ca="1" si="24"/>
        <v>0.86299184345891788</v>
      </c>
      <c r="B307">
        <f t="shared" si="25"/>
        <v>15</v>
      </c>
      <c r="C307">
        <f t="shared" si="26"/>
        <v>5</v>
      </c>
      <c r="D307">
        <f t="shared" ca="1" si="22"/>
        <v>1</v>
      </c>
      <c r="E307">
        <f t="shared" ca="1" si="23"/>
        <v>6</v>
      </c>
    </row>
    <row r="308" spans="1:5" x14ac:dyDescent="0.25">
      <c r="A308">
        <f t="shared" ca="1" si="24"/>
        <v>0.45949000934892992</v>
      </c>
      <c r="B308">
        <f t="shared" si="25"/>
        <v>15</v>
      </c>
      <c r="C308">
        <f t="shared" si="26"/>
        <v>6</v>
      </c>
      <c r="D308">
        <f t="shared" ca="1" si="22"/>
        <v>1</v>
      </c>
      <c r="E308">
        <f t="shared" ca="1" si="23"/>
        <v>9</v>
      </c>
    </row>
    <row r="309" spans="1:5" x14ac:dyDescent="0.25">
      <c r="A309">
        <f t="shared" ca="1" si="24"/>
        <v>0.21593886078072888</v>
      </c>
      <c r="B309">
        <f t="shared" si="25"/>
        <v>15</v>
      </c>
      <c r="C309">
        <f t="shared" si="26"/>
        <v>7</v>
      </c>
      <c r="D309">
        <f t="shared" ca="1" si="22"/>
        <v>1</v>
      </c>
      <c r="E309">
        <f t="shared" ca="1" si="23"/>
        <v>6</v>
      </c>
    </row>
    <row r="310" spans="1:5" x14ac:dyDescent="0.25">
      <c r="A310">
        <f t="shared" ca="1" si="24"/>
        <v>0.96470816834732676</v>
      </c>
      <c r="B310">
        <f t="shared" si="25"/>
        <v>15</v>
      </c>
      <c r="C310">
        <f t="shared" si="26"/>
        <v>8</v>
      </c>
      <c r="D310">
        <f t="shared" ca="1" si="22"/>
        <v>1</v>
      </c>
      <c r="E310">
        <f t="shared" ca="1" si="23"/>
        <v>12</v>
      </c>
    </row>
    <row r="311" spans="1:5" x14ac:dyDescent="0.25">
      <c r="A311">
        <f t="shared" ca="1" si="24"/>
        <v>0.88495596043741365</v>
      </c>
      <c r="B311">
        <f t="shared" si="25"/>
        <v>15</v>
      </c>
      <c r="C311">
        <f t="shared" si="26"/>
        <v>9</v>
      </c>
      <c r="D311">
        <f t="shared" ca="1" si="22"/>
        <v>1</v>
      </c>
      <c r="E311">
        <f t="shared" ca="1" si="23"/>
        <v>15</v>
      </c>
    </row>
    <row r="312" spans="1:5" x14ac:dyDescent="0.25">
      <c r="A312">
        <f t="shared" ca="1" si="24"/>
        <v>0.38683489092239132</v>
      </c>
      <c r="B312">
        <f t="shared" si="25"/>
        <v>15</v>
      </c>
      <c r="C312">
        <f t="shared" si="26"/>
        <v>10</v>
      </c>
      <c r="D312">
        <f t="shared" ca="1" si="22"/>
        <v>1</v>
      </c>
      <c r="E312">
        <f t="shared" ca="1" si="23"/>
        <v>10</v>
      </c>
    </row>
    <row r="313" spans="1:5" x14ac:dyDescent="0.25">
      <c r="A313">
        <f t="shared" ca="1" si="24"/>
        <v>0.99558553105019609</v>
      </c>
      <c r="B313">
        <f t="shared" si="25"/>
        <v>15</v>
      </c>
      <c r="C313">
        <f t="shared" si="26"/>
        <v>11</v>
      </c>
      <c r="D313">
        <f t="shared" ca="1" si="22"/>
        <v>1</v>
      </c>
      <c r="E313">
        <f t="shared" ca="1" si="23"/>
        <v>14</v>
      </c>
    </row>
    <row r="314" spans="1:5" x14ac:dyDescent="0.25">
      <c r="A314">
        <f t="shared" ca="1" si="24"/>
        <v>0.72492009622314901</v>
      </c>
      <c r="B314">
        <f t="shared" si="25"/>
        <v>15</v>
      </c>
      <c r="C314">
        <f t="shared" si="26"/>
        <v>12</v>
      </c>
      <c r="D314">
        <f t="shared" ca="1" si="22"/>
        <v>3</v>
      </c>
      <c r="E314">
        <f t="shared" ca="1" si="23"/>
        <v>39</v>
      </c>
    </row>
    <row r="315" spans="1:5" x14ac:dyDescent="0.25">
      <c r="A315">
        <f t="shared" ca="1" si="24"/>
        <v>0.70483225223264778</v>
      </c>
      <c r="B315">
        <f t="shared" si="25"/>
        <v>15</v>
      </c>
      <c r="C315">
        <f t="shared" si="26"/>
        <v>13</v>
      </c>
      <c r="D315">
        <f t="shared" ca="1" si="22"/>
        <v>1</v>
      </c>
      <c r="E315">
        <f t="shared" ca="1" si="23"/>
        <v>12</v>
      </c>
    </row>
    <row r="316" spans="1:5" x14ac:dyDescent="0.25">
      <c r="A316">
        <f t="shared" ca="1" si="24"/>
        <v>0.86181032343332398</v>
      </c>
      <c r="B316">
        <f t="shared" si="25"/>
        <v>15</v>
      </c>
      <c r="C316">
        <f t="shared" si="26"/>
        <v>14</v>
      </c>
      <c r="D316">
        <f t="shared" ca="1" si="22"/>
        <v>1</v>
      </c>
      <c r="E316">
        <f t="shared" ca="1" si="23"/>
        <v>8</v>
      </c>
    </row>
    <row r="317" spans="1:5" x14ac:dyDescent="0.25">
      <c r="A317">
        <f t="shared" ca="1" si="24"/>
        <v>0.91725955556560101</v>
      </c>
      <c r="B317">
        <f t="shared" si="25"/>
        <v>15</v>
      </c>
      <c r="C317">
        <f t="shared" si="26"/>
        <v>15</v>
      </c>
      <c r="D317">
        <f t="shared" ca="1" si="22"/>
        <v>1</v>
      </c>
      <c r="E317">
        <f t="shared" ca="1" si="23"/>
        <v>11</v>
      </c>
    </row>
    <row r="318" spans="1:5" x14ac:dyDescent="0.25">
      <c r="A318">
        <f t="shared" ca="1" si="24"/>
        <v>4.711443708104579E-2</v>
      </c>
      <c r="B318">
        <f t="shared" si="25"/>
        <v>15</v>
      </c>
      <c r="C318">
        <f t="shared" si="26"/>
        <v>16</v>
      </c>
      <c r="D318">
        <f t="shared" ca="1" si="22"/>
        <v>1</v>
      </c>
      <c r="E318">
        <f t="shared" ca="1" si="23"/>
        <v>11</v>
      </c>
    </row>
    <row r="319" spans="1:5" x14ac:dyDescent="0.25">
      <c r="A319">
        <f t="shared" ca="1" si="24"/>
        <v>0.55087220688848282</v>
      </c>
      <c r="B319">
        <f t="shared" si="25"/>
        <v>15</v>
      </c>
      <c r="C319">
        <f t="shared" si="26"/>
        <v>17</v>
      </c>
      <c r="D319">
        <f t="shared" ca="1" si="22"/>
        <v>1</v>
      </c>
      <c r="E319">
        <f t="shared" ca="1" si="23"/>
        <v>9</v>
      </c>
    </row>
    <row r="320" spans="1:5" x14ac:dyDescent="0.25">
      <c r="A320">
        <f t="shared" ca="1" si="24"/>
        <v>0.24369634177524835</v>
      </c>
      <c r="B320">
        <f t="shared" si="25"/>
        <v>15</v>
      </c>
      <c r="C320">
        <f t="shared" si="26"/>
        <v>18</v>
      </c>
      <c r="D320">
        <f t="shared" ca="1" si="22"/>
        <v>1</v>
      </c>
      <c r="E320">
        <f t="shared" ca="1" si="23"/>
        <v>7</v>
      </c>
    </row>
    <row r="321" spans="1:5" x14ac:dyDescent="0.25">
      <c r="A321">
        <f t="shared" ca="1" si="24"/>
        <v>0.50626355860621153</v>
      </c>
      <c r="B321">
        <f t="shared" si="25"/>
        <v>15</v>
      </c>
      <c r="C321">
        <f t="shared" si="26"/>
        <v>19</v>
      </c>
      <c r="D321">
        <f t="shared" ca="1" si="22"/>
        <v>1</v>
      </c>
      <c r="E321">
        <f t="shared" ca="1" si="23"/>
        <v>7</v>
      </c>
    </row>
    <row r="322" spans="1:5" x14ac:dyDescent="0.25">
      <c r="A322">
        <f t="shared" ca="1" si="24"/>
        <v>1.5141544265767526E-2</v>
      </c>
      <c r="B322">
        <f t="shared" si="25"/>
        <v>15</v>
      </c>
      <c r="C322">
        <f t="shared" si="26"/>
        <v>20</v>
      </c>
      <c r="D322">
        <f t="shared" ca="1" si="22"/>
        <v>1</v>
      </c>
      <c r="E322">
        <f t="shared" ca="1" si="23"/>
        <v>7</v>
      </c>
    </row>
    <row r="323" spans="1:5" x14ac:dyDescent="0.25">
      <c r="A323">
        <f t="shared" ca="1" si="24"/>
        <v>0.66864565504457407</v>
      </c>
      <c r="B323">
        <f t="shared" si="25"/>
        <v>16</v>
      </c>
      <c r="C323">
        <f t="shared" si="26"/>
        <v>1</v>
      </c>
      <c r="D323">
        <f t="shared" ca="1" si="22"/>
        <v>2</v>
      </c>
      <c r="E323">
        <f t="shared" ca="1" si="23"/>
        <v>19</v>
      </c>
    </row>
    <row r="324" spans="1:5" x14ac:dyDescent="0.25">
      <c r="A324">
        <f t="shared" ca="1" si="24"/>
        <v>0.96145088795930889</v>
      </c>
      <c r="B324">
        <f t="shared" si="25"/>
        <v>16</v>
      </c>
      <c r="C324">
        <f t="shared" si="26"/>
        <v>2</v>
      </c>
      <c r="D324">
        <f t="shared" ca="1" si="22"/>
        <v>2</v>
      </c>
      <c r="E324">
        <f t="shared" ca="1" si="23"/>
        <v>17</v>
      </c>
    </row>
    <row r="325" spans="1:5" x14ac:dyDescent="0.25">
      <c r="A325">
        <f t="shared" ca="1" si="24"/>
        <v>0.80218169050425669</v>
      </c>
      <c r="B325">
        <f t="shared" si="25"/>
        <v>16</v>
      </c>
      <c r="C325">
        <f t="shared" si="26"/>
        <v>3</v>
      </c>
      <c r="D325">
        <f t="shared" ca="1" si="22"/>
        <v>1</v>
      </c>
      <c r="E325">
        <f t="shared" ca="1" si="23"/>
        <v>5</v>
      </c>
    </row>
    <row r="326" spans="1:5" x14ac:dyDescent="0.25">
      <c r="A326">
        <f t="shared" ca="1" si="24"/>
        <v>0.153567716632387</v>
      </c>
      <c r="B326">
        <f t="shared" si="25"/>
        <v>16</v>
      </c>
      <c r="C326">
        <f t="shared" si="26"/>
        <v>4</v>
      </c>
      <c r="D326">
        <f t="shared" ca="1" si="22"/>
        <v>1</v>
      </c>
      <c r="E326">
        <f t="shared" ca="1" si="23"/>
        <v>10</v>
      </c>
    </row>
    <row r="327" spans="1:5" x14ac:dyDescent="0.25">
      <c r="A327">
        <f t="shared" ca="1" si="24"/>
        <v>0.35784941326795994</v>
      </c>
      <c r="B327">
        <f t="shared" si="25"/>
        <v>16</v>
      </c>
      <c r="C327">
        <f t="shared" si="26"/>
        <v>5</v>
      </c>
      <c r="D327">
        <f t="shared" ca="1" si="22"/>
        <v>1</v>
      </c>
      <c r="E327">
        <f t="shared" ca="1" si="23"/>
        <v>11</v>
      </c>
    </row>
    <row r="328" spans="1:5" x14ac:dyDescent="0.25">
      <c r="A328">
        <f t="shared" ca="1" si="24"/>
        <v>0.99688403064595577</v>
      </c>
      <c r="B328">
        <f t="shared" si="25"/>
        <v>16</v>
      </c>
      <c r="C328">
        <f t="shared" si="26"/>
        <v>6</v>
      </c>
      <c r="D328">
        <f t="shared" ca="1" si="22"/>
        <v>1</v>
      </c>
      <c r="E328">
        <f t="shared" ca="1" si="23"/>
        <v>5</v>
      </c>
    </row>
    <row r="329" spans="1:5" x14ac:dyDescent="0.25">
      <c r="A329">
        <f t="shared" ca="1" si="24"/>
        <v>0.14713935417376611</v>
      </c>
      <c r="B329">
        <f t="shared" si="25"/>
        <v>16</v>
      </c>
      <c r="C329">
        <f t="shared" si="26"/>
        <v>7</v>
      </c>
      <c r="D329">
        <f t="shared" ca="1" si="22"/>
        <v>1</v>
      </c>
      <c r="E329">
        <f t="shared" ca="1" si="23"/>
        <v>13</v>
      </c>
    </row>
    <row r="330" spans="1:5" x14ac:dyDescent="0.25">
      <c r="A330">
        <f t="shared" ca="1" si="24"/>
        <v>9.4045840030666183E-2</v>
      </c>
      <c r="B330">
        <f t="shared" si="25"/>
        <v>16</v>
      </c>
      <c r="C330">
        <f t="shared" si="26"/>
        <v>8</v>
      </c>
      <c r="D330">
        <f t="shared" ca="1" si="22"/>
        <v>1</v>
      </c>
      <c r="E330">
        <f t="shared" ca="1" si="23"/>
        <v>10</v>
      </c>
    </row>
    <row r="331" spans="1:5" x14ac:dyDescent="0.25">
      <c r="A331">
        <f t="shared" ca="1" si="24"/>
        <v>0.97226573341833378</v>
      </c>
      <c r="B331">
        <f t="shared" si="25"/>
        <v>16</v>
      </c>
      <c r="C331">
        <f t="shared" si="26"/>
        <v>9</v>
      </c>
      <c r="D331">
        <f t="shared" ca="1" si="22"/>
        <v>1</v>
      </c>
      <c r="E331">
        <f t="shared" ca="1" si="23"/>
        <v>11</v>
      </c>
    </row>
    <row r="332" spans="1:5" x14ac:dyDescent="0.25">
      <c r="A332">
        <f t="shared" ca="1" si="24"/>
        <v>0.97154175849322821</v>
      </c>
      <c r="B332">
        <f t="shared" si="25"/>
        <v>16</v>
      </c>
      <c r="C332">
        <f t="shared" si="26"/>
        <v>10</v>
      </c>
      <c r="D332">
        <f t="shared" ca="1" si="22"/>
        <v>1</v>
      </c>
      <c r="E332">
        <f t="shared" ca="1" si="23"/>
        <v>12</v>
      </c>
    </row>
    <row r="333" spans="1:5" x14ac:dyDescent="0.25">
      <c r="A333">
        <f t="shared" ca="1" si="24"/>
        <v>0.86879759599461448</v>
      </c>
      <c r="B333">
        <f t="shared" si="25"/>
        <v>16</v>
      </c>
      <c r="C333">
        <f t="shared" si="26"/>
        <v>11</v>
      </c>
      <c r="D333">
        <f t="shared" ca="1" si="22"/>
        <v>3</v>
      </c>
      <c r="E333">
        <f t="shared" ca="1" si="23"/>
        <v>44</v>
      </c>
    </row>
    <row r="334" spans="1:5" x14ac:dyDescent="0.25">
      <c r="A334">
        <f t="shared" ca="1" si="24"/>
        <v>0.75364703544592437</v>
      </c>
      <c r="B334">
        <f t="shared" si="25"/>
        <v>16</v>
      </c>
      <c r="C334">
        <f t="shared" si="26"/>
        <v>12</v>
      </c>
      <c r="D334">
        <f t="shared" ca="1" si="22"/>
        <v>3</v>
      </c>
      <c r="E334">
        <f t="shared" ca="1" si="23"/>
        <v>33</v>
      </c>
    </row>
    <row r="335" spans="1:5" x14ac:dyDescent="0.25">
      <c r="A335">
        <f t="shared" ca="1" si="24"/>
        <v>0.79991326554066167</v>
      </c>
      <c r="B335">
        <f t="shared" si="25"/>
        <v>16</v>
      </c>
      <c r="C335">
        <f t="shared" si="26"/>
        <v>13</v>
      </c>
      <c r="D335">
        <f t="shared" ca="1" si="22"/>
        <v>3</v>
      </c>
      <c r="E335">
        <f t="shared" ca="1" si="23"/>
        <v>35</v>
      </c>
    </row>
    <row r="336" spans="1:5" x14ac:dyDescent="0.25">
      <c r="A336">
        <f t="shared" ca="1" si="24"/>
        <v>0.20268371189523826</v>
      </c>
      <c r="B336">
        <f t="shared" si="25"/>
        <v>16</v>
      </c>
      <c r="C336">
        <f t="shared" si="26"/>
        <v>14</v>
      </c>
      <c r="D336">
        <f t="shared" ca="1" si="22"/>
        <v>1</v>
      </c>
      <c r="E336">
        <f t="shared" ca="1" si="23"/>
        <v>8</v>
      </c>
    </row>
    <row r="337" spans="1:5" x14ac:dyDescent="0.25">
      <c r="A337">
        <f t="shared" ca="1" si="24"/>
        <v>0.33195930864590362</v>
      </c>
      <c r="B337">
        <f t="shared" si="25"/>
        <v>16</v>
      </c>
      <c r="C337">
        <f t="shared" si="26"/>
        <v>15</v>
      </c>
      <c r="D337">
        <f t="shared" ca="1" si="22"/>
        <v>1</v>
      </c>
      <c r="E337">
        <f t="shared" ca="1" si="23"/>
        <v>5</v>
      </c>
    </row>
    <row r="338" spans="1:5" x14ac:dyDescent="0.25">
      <c r="A338">
        <f t="shared" ca="1" si="24"/>
        <v>0.5561716833222935</v>
      </c>
      <c r="B338">
        <f t="shared" si="25"/>
        <v>16</v>
      </c>
      <c r="C338">
        <f t="shared" si="26"/>
        <v>16</v>
      </c>
      <c r="D338">
        <f t="shared" ca="1" si="22"/>
        <v>1</v>
      </c>
      <c r="E338">
        <f t="shared" ca="1" si="23"/>
        <v>9</v>
      </c>
    </row>
    <row r="339" spans="1:5" x14ac:dyDescent="0.25">
      <c r="A339">
        <f t="shared" ca="1" si="24"/>
        <v>0.62199321003722097</v>
      </c>
      <c r="B339">
        <f t="shared" si="25"/>
        <v>16</v>
      </c>
      <c r="C339">
        <f t="shared" si="26"/>
        <v>17</v>
      </c>
      <c r="D339">
        <f t="shared" ca="1" si="22"/>
        <v>1</v>
      </c>
      <c r="E339">
        <f t="shared" ca="1" si="23"/>
        <v>6</v>
      </c>
    </row>
    <row r="340" spans="1:5" x14ac:dyDescent="0.25">
      <c r="A340">
        <f t="shared" ca="1" si="24"/>
        <v>2.4449350312553131E-3</v>
      </c>
      <c r="B340">
        <f t="shared" si="25"/>
        <v>16</v>
      </c>
      <c r="C340">
        <f t="shared" si="26"/>
        <v>18</v>
      </c>
      <c r="D340">
        <f t="shared" ca="1" si="22"/>
        <v>1</v>
      </c>
      <c r="E340">
        <f t="shared" ca="1" si="23"/>
        <v>9</v>
      </c>
    </row>
    <row r="341" spans="1:5" x14ac:dyDescent="0.25">
      <c r="A341">
        <f t="shared" ca="1" si="24"/>
        <v>0.63025919466631541</v>
      </c>
      <c r="B341">
        <f t="shared" si="25"/>
        <v>16</v>
      </c>
      <c r="C341">
        <f t="shared" si="26"/>
        <v>19</v>
      </c>
      <c r="D341">
        <f t="shared" ca="1" si="22"/>
        <v>1</v>
      </c>
      <c r="E341">
        <f t="shared" ca="1" si="23"/>
        <v>7</v>
      </c>
    </row>
    <row r="342" spans="1:5" x14ac:dyDescent="0.25">
      <c r="A342">
        <f t="shared" ca="1" si="24"/>
        <v>0.65739687001813374</v>
      </c>
      <c r="B342">
        <f t="shared" si="25"/>
        <v>16</v>
      </c>
      <c r="C342">
        <f t="shared" si="26"/>
        <v>20</v>
      </c>
      <c r="D342">
        <f t="shared" ca="1" si="22"/>
        <v>1</v>
      </c>
      <c r="E342">
        <f t="shared" ca="1" si="23"/>
        <v>15</v>
      </c>
    </row>
    <row r="343" spans="1:5" x14ac:dyDescent="0.25">
      <c r="A343">
        <f t="shared" ca="1" si="24"/>
        <v>0.24305176282979857</v>
      </c>
      <c r="B343">
        <f t="shared" si="25"/>
        <v>17</v>
      </c>
      <c r="C343">
        <f t="shared" si="26"/>
        <v>1</v>
      </c>
      <c r="D343">
        <f t="shared" ref="D343:D406" ca="1" si="27">INDIRECT(ADDRESS(B343,C343,1,0),0)</f>
        <v>2</v>
      </c>
      <c r="E343">
        <f t="shared" ref="E343:E406" ca="1" si="28">INDIRECT(ADDRESS(B343,C343+21,1,0),0)</f>
        <v>23</v>
      </c>
    </row>
    <row r="344" spans="1:5" x14ac:dyDescent="0.25">
      <c r="A344">
        <f t="shared" ref="A344:A407" ca="1" si="29">RAND()</f>
        <v>0.94293984996929647</v>
      </c>
      <c r="B344">
        <f t="shared" si="25"/>
        <v>17</v>
      </c>
      <c r="C344">
        <f t="shared" si="26"/>
        <v>2</v>
      </c>
      <c r="D344">
        <f t="shared" ca="1" si="27"/>
        <v>2</v>
      </c>
      <c r="E344">
        <f t="shared" ca="1" si="28"/>
        <v>11</v>
      </c>
    </row>
    <row r="345" spans="1:5" x14ac:dyDescent="0.25">
      <c r="A345">
        <f t="shared" ca="1" si="29"/>
        <v>0.76259002476558679</v>
      </c>
      <c r="B345">
        <f t="shared" si="25"/>
        <v>17</v>
      </c>
      <c r="C345">
        <f t="shared" si="26"/>
        <v>3</v>
      </c>
      <c r="D345">
        <f t="shared" ca="1" si="27"/>
        <v>1</v>
      </c>
      <c r="E345">
        <f t="shared" ca="1" si="28"/>
        <v>14</v>
      </c>
    </row>
    <row r="346" spans="1:5" x14ac:dyDescent="0.25">
      <c r="A346">
        <f t="shared" ca="1" si="29"/>
        <v>8.5934123348682334E-2</v>
      </c>
      <c r="B346">
        <f t="shared" si="25"/>
        <v>17</v>
      </c>
      <c r="C346">
        <f t="shared" si="26"/>
        <v>4</v>
      </c>
      <c r="D346">
        <f t="shared" ca="1" si="27"/>
        <v>1</v>
      </c>
      <c r="E346">
        <f t="shared" ca="1" si="28"/>
        <v>13</v>
      </c>
    </row>
    <row r="347" spans="1:5" x14ac:dyDescent="0.25">
      <c r="A347">
        <f t="shared" ca="1" si="29"/>
        <v>0.10883369834380374</v>
      </c>
      <c r="B347">
        <f t="shared" si="25"/>
        <v>17</v>
      </c>
      <c r="C347">
        <f t="shared" si="26"/>
        <v>5</v>
      </c>
      <c r="D347">
        <f t="shared" ca="1" si="27"/>
        <v>1</v>
      </c>
      <c r="E347">
        <f t="shared" ca="1" si="28"/>
        <v>9</v>
      </c>
    </row>
    <row r="348" spans="1:5" x14ac:dyDescent="0.25">
      <c r="A348">
        <f t="shared" ca="1" si="29"/>
        <v>0.51938581891085045</v>
      </c>
      <c r="B348">
        <f t="shared" si="25"/>
        <v>17</v>
      </c>
      <c r="C348">
        <f t="shared" si="26"/>
        <v>6</v>
      </c>
      <c r="D348">
        <f t="shared" ca="1" si="27"/>
        <v>1</v>
      </c>
      <c r="E348">
        <f t="shared" ca="1" si="28"/>
        <v>8</v>
      </c>
    </row>
    <row r="349" spans="1:5" x14ac:dyDescent="0.25">
      <c r="A349">
        <f t="shared" ca="1" si="29"/>
        <v>0.57141376731653881</v>
      </c>
      <c r="B349">
        <f t="shared" si="25"/>
        <v>17</v>
      </c>
      <c r="C349">
        <f t="shared" si="26"/>
        <v>7</v>
      </c>
      <c r="D349">
        <f t="shared" ca="1" si="27"/>
        <v>1</v>
      </c>
      <c r="E349">
        <f t="shared" ca="1" si="28"/>
        <v>7</v>
      </c>
    </row>
    <row r="350" spans="1:5" x14ac:dyDescent="0.25">
      <c r="A350">
        <f t="shared" ca="1" si="29"/>
        <v>0.85811405778122052</v>
      </c>
      <c r="B350">
        <f t="shared" si="25"/>
        <v>17</v>
      </c>
      <c r="C350">
        <f t="shared" si="26"/>
        <v>8</v>
      </c>
      <c r="D350">
        <f t="shared" ca="1" si="27"/>
        <v>1</v>
      </c>
      <c r="E350">
        <f t="shared" ca="1" si="28"/>
        <v>8</v>
      </c>
    </row>
    <row r="351" spans="1:5" x14ac:dyDescent="0.25">
      <c r="A351">
        <f t="shared" ca="1" si="29"/>
        <v>0.1678236788407228</v>
      </c>
      <c r="B351">
        <f t="shared" si="25"/>
        <v>17</v>
      </c>
      <c r="C351">
        <f t="shared" si="26"/>
        <v>9</v>
      </c>
      <c r="D351">
        <f t="shared" ca="1" si="27"/>
        <v>1</v>
      </c>
      <c r="E351">
        <f t="shared" ca="1" si="28"/>
        <v>11</v>
      </c>
    </row>
    <row r="352" spans="1:5" x14ac:dyDescent="0.25">
      <c r="A352">
        <f t="shared" ca="1" si="29"/>
        <v>0.35578873477218087</v>
      </c>
      <c r="B352">
        <f t="shared" si="25"/>
        <v>17</v>
      </c>
      <c r="C352">
        <f t="shared" si="26"/>
        <v>10</v>
      </c>
      <c r="D352">
        <f t="shared" ca="1" si="27"/>
        <v>1</v>
      </c>
      <c r="E352">
        <f t="shared" ca="1" si="28"/>
        <v>12</v>
      </c>
    </row>
    <row r="353" spans="1:5" x14ac:dyDescent="0.25">
      <c r="A353">
        <f t="shared" ca="1" si="29"/>
        <v>0.56135480385853476</v>
      </c>
      <c r="B353">
        <f t="shared" si="25"/>
        <v>17</v>
      </c>
      <c r="C353">
        <f t="shared" si="26"/>
        <v>11</v>
      </c>
      <c r="D353">
        <f t="shared" ca="1" si="27"/>
        <v>3</v>
      </c>
      <c r="E353">
        <f t="shared" ca="1" si="28"/>
        <v>35</v>
      </c>
    </row>
    <row r="354" spans="1:5" x14ac:dyDescent="0.25">
      <c r="A354">
        <f t="shared" ca="1" si="29"/>
        <v>0.26006054760521735</v>
      </c>
      <c r="B354">
        <f t="shared" si="25"/>
        <v>17</v>
      </c>
      <c r="C354">
        <f t="shared" si="26"/>
        <v>12</v>
      </c>
      <c r="D354">
        <f t="shared" ca="1" si="27"/>
        <v>3</v>
      </c>
      <c r="E354">
        <f t="shared" ca="1" si="28"/>
        <v>35</v>
      </c>
    </row>
    <row r="355" spans="1:5" x14ac:dyDescent="0.25">
      <c r="A355">
        <f t="shared" ca="1" si="29"/>
        <v>0.51492721165240707</v>
      </c>
      <c r="B355">
        <f t="shared" si="25"/>
        <v>17</v>
      </c>
      <c r="C355">
        <f t="shared" si="26"/>
        <v>13</v>
      </c>
      <c r="D355">
        <f t="shared" ca="1" si="27"/>
        <v>3</v>
      </c>
      <c r="E355">
        <f t="shared" ca="1" si="28"/>
        <v>23</v>
      </c>
    </row>
    <row r="356" spans="1:5" x14ac:dyDescent="0.25">
      <c r="A356">
        <f t="shared" ca="1" si="29"/>
        <v>0.13892600465480753</v>
      </c>
      <c r="B356">
        <f t="shared" si="25"/>
        <v>17</v>
      </c>
      <c r="C356">
        <f t="shared" si="26"/>
        <v>14</v>
      </c>
      <c r="D356">
        <f t="shared" ca="1" si="27"/>
        <v>1</v>
      </c>
      <c r="E356">
        <f t="shared" ca="1" si="28"/>
        <v>8</v>
      </c>
    </row>
    <row r="357" spans="1:5" x14ac:dyDescent="0.25">
      <c r="A357">
        <f t="shared" ca="1" si="29"/>
        <v>0.94306614060799332</v>
      </c>
      <c r="B357">
        <f t="shared" si="25"/>
        <v>17</v>
      </c>
      <c r="C357">
        <f t="shared" si="26"/>
        <v>15</v>
      </c>
      <c r="D357">
        <f t="shared" ca="1" si="27"/>
        <v>1</v>
      </c>
      <c r="E357">
        <f t="shared" ca="1" si="28"/>
        <v>14</v>
      </c>
    </row>
    <row r="358" spans="1:5" x14ac:dyDescent="0.25">
      <c r="A358">
        <f t="shared" ca="1" si="29"/>
        <v>0.30682451756367635</v>
      </c>
      <c r="B358">
        <f t="shared" si="25"/>
        <v>17</v>
      </c>
      <c r="C358">
        <f t="shared" si="26"/>
        <v>16</v>
      </c>
      <c r="D358">
        <f t="shared" ca="1" si="27"/>
        <v>1</v>
      </c>
      <c r="E358">
        <f t="shared" ca="1" si="28"/>
        <v>12</v>
      </c>
    </row>
    <row r="359" spans="1:5" x14ac:dyDescent="0.25">
      <c r="A359">
        <f t="shared" ca="1" si="29"/>
        <v>0.65663887702453194</v>
      </c>
      <c r="B359">
        <f t="shared" si="25"/>
        <v>17</v>
      </c>
      <c r="C359">
        <f t="shared" si="26"/>
        <v>17</v>
      </c>
      <c r="D359">
        <f t="shared" ca="1" si="27"/>
        <v>1</v>
      </c>
      <c r="E359">
        <f t="shared" ca="1" si="28"/>
        <v>7</v>
      </c>
    </row>
    <row r="360" spans="1:5" x14ac:dyDescent="0.25">
      <c r="A360">
        <f t="shared" ca="1" si="29"/>
        <v>0.98429656655727193</v>
      </c>
      <c r="B360">
        <f t="shared" si="25"/>
        <v>17</v>
      </c>
      <c r="C360">
        <f t="shared" si="26"/>
        <v>18</v>
      </c>
      <c r="D360">
        <f t="shared" ca="1" si="27"/>
        <v>1</v>
      </c>
      <c r="E360">
        <f t="shared" ca="1" si="28"/>
        <v>7</v>
      </c>
    </row>
    <row r="361" spans="1:5" x14ac:dyDescent="0.25">
      <c r="A361">
        <f t="shared" ca="1" si="29"/>
        <v>0.90546010886992412</v>
      </c>
      <c r="B361">
        <f t="shared" si="25"/>
        <v>17</v>
      </c>
      <c r="C361">
        <f t="shared" si="26"/>
        <v>19</v>
      </c>
      <c r="D361">
        <f t="shared" ca="1" si="27"/>
        <v>1</v>
      </c>
      <c r="E361">
        <f t="shared" ca="1" si="28"/>
        <v>6</v>
      </c>
    </row>
    <row r="362" spans="1:5" x14ac:dyDescent="0.25">
      <c r="A362">
        <f t="shared" ca="1" si="29"/>
        <v>0.38591763207101382</v>
      </c>
      <c r="B362">
        <f t="shared" si="25"/>
        <v>17</v>
      </c>
      <c r="C362">
        <f t="shared" si="26"/>
        <v>20</v>
      </c>
      <c r="D362">
        <f t="shared" ca="1" si="27"/>
        <v>1</v>
      </c>
      <c r="E362">
        <f t="shared" ca="1" si="28"/>
        <v>9</v>
      </c>
    </row>
    <row r="363" spans="1:5" x14ac:dyDescent="0.25">
      <c r="A363">
        <f t="shared" ca="1" si="29"/>
        <v>0.31432863531533217</v>
      </c>
      <c r="B363">
        <f t="shared" si="25"/>
        <v>18</v>
      </c>
      <c r="C363">
        <f t="shared" si="26"/>
        <v>1</v>
      </c>
      <c r="D363">
        <f t="shared" ca="1" si="27"/>
        <v>2</v>
      </c>
      <c r="E363">
        <f t="shared" ca="1" si="28"/>
        <v>16</v>
      </c>
    </row>
    <row r="364" spans="1:5" x14ac:dyDescent="0.25">
      <c r="A364">
        <f t="shared" ca="1" si="29"/>
        <v>0.76704140344278782</v>
      </c>
      <c r="B364">
        <f t="shared" ref="B364:B422" si="30">B344+1</f>
        <v>18</v>
      </c>
      <c r="C364">
        <f t="shared" ref="C364:C422" si="31">C344</f>
        <v>2</v>
      </c>
      <c r="D364">
        <f t="shared" ca="1" si="27"/>
        <v>2</v>
      </c>
      <c r="E364">
        <f t="shared" ca="1" si="28"/>
        <v>23</v>
      </c>
    </row>
    <row r="365" spans="1:5" x14ac:dyDescent="0.25">
      <c r="A365">
        <f t="shared" ca="1" si="29"/>
        <v>0.10849166603058313</v>
      </c>
      <c r="B365">
        <f t="shared" si="30"/>
        <v>18</v>
      </c>
      <c r="C365">
        <f t="shared" si="31"/>
        <v>3</v>
      </c>
      <c r="D365">
        <f t="shared" ca="1" si="27"/>
        <v>1</v>
      </c>
      <c r="E365">
        <f t="shared" ca="1" si="28"/>
        <v>8</v>
      </c>
    </row>
    <row r="366" spans="1:5" x14ac:dyDescent="0.25">
      <c r="A366">
        <f t="shared" ca="1" si="29"/>
        <v>0.76735262559017903</v>
      </c>
      <c r="B366">
        <f t="shared" si="30"/>
        <v>18</v>
      </c>
      <c r="C366">
        <f t="shared" si="31"/>
        <v>4</v>
      </c>
      <c r="D366">
        <f t="shared" ca="1" si="27"/>
        <v>1</v>
      </c>
      <c r="E366">
        <f t="shared" ca="1" si="28"/>
        <v>12</v>
      </c>
    </row>
    <row r="367" spans="1:5" x14ac:dyDescent="0.25">
      <c r="A367">
        <f t="shared" ca="1" si="29"/>
        <v>0.87037964455360717</v>
      </c>
      <c r="B367">
        <f t="shared" si="30"/>
        <v>18</v>
      </c>
      <c r="C367">
        <f t="shared" si="31"/>
        <v>5</v>
      </c>
      <c r="D367">
        <f t="shared" ca="1" si="27"/>
        <v>1</v>
      </c>
      <c r="E367">
        <f t="shared" ca="1" si="28"/>
        <v>8</v>
      </c>
    </row>
    <row r="368" spans="1:5" x14ac:dyDescent="0.25">
      <c r="A368">
        <f t="shared" ca="1" si="29"/>
        <v>0.24619855147680159</v>
      </c>
      <c r="B368">
        <f t="shared" si="30"/>
        <v>18</v>
      </c>
      <c r="C368">
        <f t="shared" si="31"/>
        <v>6</v>
      </c>
      <c r="D368">
        <f t="shared" ca="1" si="27"/>
        <v>1</v>
      </c>
      <c r="E368">
        <f t="shared" ca="1" si="28"/>
        <v>9</v>
      </c>
    </row>
    <row r="369" spans="1:5" x14ac:dyDescent="0.25">
      <c r="A369">
        <f t="shared" ca="1" si="29"/>
        <v>0.46585030075713685</v>
      </c>
      <c r="B369">
        <f t="shared" si="30"/>
        <v>18</v>
      </c>
      <c r="C369">
        <f t="shared" si="31"/>
        <v>7</v>
      </c>
      <c r="D369">
        <f t="shared" ca="1" si="27"/>
        <v>1</v>
      </c>
      <c r="E369">
        <f t="shared" ca="1" si="28"/>
        <v>13</v>
      </c>
    </row>
    <row r="370" spans="1:5" x14ac:dyDescent="0.25">
      <c r="A370">
        <f t="shared" ca="1" si="29"/>
        <v>0.80084907523849214</v>
      </c>
      <c r="B370">
        <f t="shared" si="30"/>
        <v>18</v>
      </c>
      <c r="C370">
        <f t="shared" si="31"/>
        <v>8</v>
      </c>
      <c r="D370">
        <f t="shared" ca="1" si="27"/>
        <v>1</v>
      </c>
      <c r="E370">
        <f t="shared" ca="1" si="28"/>
        <v>13</v>
      </c>
    </row>
    <row r="371" spans="1:5" x14ac:dyDescent="0.25">
      <c r="A371">
        <f t="shared" ca="1" si="29"/>
        <v>0.2509400645155031</v>
      </c>
      <c r="B371">
        <f t="shared" si="30"/>
        <v>18</v>
      </c>
      <c r="C371">
        <f t="shared" si="31"/>
        <v>9</v>
      </c>
      <c r="D371">
        <f t="shared" ca="1" si="27"/>
        <v>1</v>
      </c>
      <c r="E371">
        <f t="shared" ca="1" si="28"/>
        <v>15</v>
      </c>
    </row>
    <row r="372" spans="1:5" x14ac:dyDescent="0.25">
      <c r="A372">
        <f t="shared" ca="1" si="29"/>
        <v>0.41274617747074738</v>
      </c>
      <c r="B372">
        <f t="shared" si="30"/>
        <v>18</v>
      </c>
      <c r="C372">
        <f t="shared" si="31"/>
        <v>10</v>
      </c>
      <c r="D372">
        <f t="shared" ca="1" si="27"/>
        <v>1</v>
      </c>
      <c r="E372">
        <f t="shared" ca="1" si="28"/>
        <v>11</v>
      </c>
    </row>
    <row r="373" spans="1:5" x14ac:dyDescent="0.25">
      <c r="A373">
        <f t="shared" ca="1" si="29"/>
        <v>0.82566468561274309</v>
      </c>
      <c r="B373">
        <f t="shared" si="30"/>
        <v>18</v>
      </c>
      <c r="C373">
        <f t="shared" si="31"/>
        <v>11</v>
      </c>
      <c r="D373">
        <f t="shared" ca="1" si="27"/>
        <v>1</v>
      </c>
      <c r="E373">
        <f t="shared" ca="1" si="28"/>
        <v>10</v>
      </c>
    </row>
    <row r="374" spans="1:5" x14ac:dyDescent="0.25">
      <c r="A374">
        <f t="shared" ca="1" si="29"/>
        <v>0.10957829682149012</v>
      </c>
      <c r="B374">
        <f t="shared" si="30"/>
        <v>18</v>
      </c>
      <c r="C374">
        <f t="shared" si="31"/>
        <v>12</v>
      </c>
      <c r="D374">
        <f t="shared" ca="1" si="27"/>
        <v>1</v>
      </c>
      <c r="E374">
        <f t="shared" ca="1" si="28"/>
        <v>9</v>
      </c>
    </row>
    <row r="375" spans="1:5" x14ac:dyDescent="0.25">
      <c r="A375">
        <f t="shared" ca="1" si="29"/>
        <v>0.26278370113464367</v>
      </c>
      <c r="B375">
        <f t="shared" si="30"/>
        <v>18</v>
      </c>
      <c r="C375">
        <f t="shared" si="31"/>
        <v>13</v>
      </c>
      <c r="D375">
        <f t="shared" ca="1" si="27"/>
        <v>1</v>
      </c>
      <c r="E375">
        <f t="shared" ca="1" si="28"/>
        <v>14</v>
      </c>
    </row>
    <row r="376" spans="1:5" x14ac:dyDescent="0.25">
      <c r="A376">
        <f t="shared" ca="1" si="29"/>
        <v>0.68075038601852089</v>
      </c>
      <c r="B376">
        <f t="shared" si="30"/>
        <v>18</v>
      </c>
      <c r="C376">
        <f t="shared" si="31"/>
        <v>14</v>
      </c>
      <c r="D376">
        <f t="shared" ca="1" si="27"/>
        <v>1</v>
      </c>
      <c r="E376">
        <f t="shared" ca="1" si="28"/>
        <v>10</v>
      </c>
    </row>
    <row r="377" spans="1:5" x14ac:dyDescent="0.25">
      <c r="A377">
        <f t="shared" ca="1" si="29"/>
        <v>0.48020959634150262</v>
      </c>
      <c r="B377">
        <f t="shared" si="30"/>
        <v>18</v>
      </c>
      <c r="C377">
        <f t="shared" si="31"/>
        <v>15</v>
      </c>
      <c r="D377">
        <f t="shared" ca="1" si="27"/>
        <v>1</v>
      </c>
      <c r="E377">
        <f t="shared" ca="1" si="28"/>
        <v>7</v>
      </c>
    </row>
    <row r="378" spans="1:5" x14ac:dyDescent="0.25">
      <c r="A378">
        <f t="shared" ca="1" si="29"/>
        <v>0.67743762164980859</v>
      </c>
      <c r="B378">
        <f t="shared" si="30"/>
        <v>18</v>
      </c>
      <c r="C378">
        <f t="shared" si="31"/>
        <v>16</v>
      </c>
      <c r="D378">
        <f t="shared" ca="1" si="27"/>
        <v>1</v>
      </c>
      <c r="E378">
        <f t="shared" ca="1" si="28"/>
        <v>9</v>
      </c>
    </row>
    <row r="379" spans="1:5" x14ac:dyDescent="0.25">
      <c r="A379">
        <f t="shared" ca="1" si="29"/>
        <v>0.72371078340134976</v>
      </c>
      <c r="B379">
        <f t="shared" si="30"/>
        <v>18</v>
      </c>
      <c r="C379">
        <f t="shared" si="31"/>
        <v>17</v>
      </c>
      <c r="D379">
        <f t="shared" ca="1" si="27"/>
        <v>1</v>
      </c>
      <c r="E379">
        <f t="shared" ca="1" si="28"/>
        <v>12</v>
      </c>
    </row>
    <row r="380" spans="1:5" x14ac:dyDescent="0.25">
      <c r="A380">
        <f t="shared" ca="1" si="29"/>
        <v>0.78222052058319635</v>
      </c>
      <c r="B380">
        <f t="shared" si="30"/>
        <v>18</v>
      </c>
      <c r="C380">
        <f t="shared" si="31"/>
        <v>18</v>
      </c>
      <c r="D380">
        <f t="shared" ca="1" si="27"/>
        <v>3</v>
      </c>
      <c r="E380">
        <f t="shared" ca="1" si="28"/>
        <v>37</v>
      </c>
    </row>
    <row r="381" spans="1:5" x14ac:dyDescent="0.25">
      <c r="A381">
        <f t="shared" ca="1" si="29"/>
        <v>4.329939580710207E-2</v>
      </c>
      <c r="B381">
        <f t="shared" si="30"/>
        <v>18</v>
      </c>
      <c r="C381">
        <f t="shared" si="31"/>
        <v>19</v>
      </c>
      <c r="D381">
        <f t="shared" ca="1" si="27"/>
        <v>3</v>
      </c>
      <c r="E381">
        <f t="shared" ca="1" si="28"/>
        <v>20</v>
      </c>
    </row>
    <row r="382" spans="1:5" x14ac:dyDescent="0.25">
      <c r="A382">
        <f t="shared" ca="1" si="29"/>
        <v>0.61139268120474133</v>
      </c>
      <c r="B382">
        <f t="shared" si="30"/>
        <v>18</v>
      </c>
      <c r="C382">
        <f t="shared" si="31"/>
        <v>20</v>
      </c>
      <c r="D382">
        <f t="shared" ca="1" si="27"/>
        <v>1</v>
      </c>
      <c r="E382">
        <f t="shared" ca="1" si="28"/>
        <v>11</v>
      </c>
    </row>
    <row r="383" spans="1:5" x14ac:dyDescent="0.25">
      <c r="A383">
        <f t="shared" ca="1" si="29"/>
        <v>0.9966665489762232</v>
      </c>
      <c r="B383">
        <f t="shared" si="30"/>
        <v>19</v>
      </c>
      <c r="C383">
        <f t="shared" si="31"/>
        <v>1</v>
      </c>
      <c r="D383">
        <f t="shared" ca="1" si="27"/>
        <v>2</v>
      </c>
      <c r="E383">
        <f t="shared" ca="1" si="28"/>
        <v>22</v>
      </c>
    </row>
    <row r="384" spans="1:5" x14ac:dyDescent="0.25">
      <c r="A384">
        <f t="shared" ca="1" si="29"/>
        <v>0.47228147544301147</v>
      </c>
      <c r="B384">
        <f t="shared" si="30"/>
        <v>19</v>
      </c>
      <c r="C384">
        <f t="shared" si="31"/>
        <v>2</v>
      </c>
      <c r="D384">
        <f t="shared" ca="1" si="27"/>
        <v>2</v>
      </c>
      <c r="E384">
        <f t="shared" ca="1" si="28"/>
        <v>29</v>
      </c>
    </row>
    <row r="385" spans="1:5" x14ac:dyDescent="0.25">
      <c r="A385">
        <f t="shared" ca="1" si="29"/>
        <v>0.39234574809373801</v>
      </c>
      <c r="B385">
        <f t="shared" si="30"/>
        <v>19</v>
      </c>
      <c r="C385">
        <f t="shared" si="31"/>
        <v>3</v>
      </c>
      <c r="D385">
        <f t="shared" ca="1" si="27"/>
        <v>2</v>
      </c>
      <c r="E385">
        <f t="shared" ca="1" si="28"/>
        <v>14</v>
      </c>
    </row>
    <row r="386" spans="1:5" x14ac:dyDescent="0.25">
      <c r="A386">
        <f t="shared" ca="1" si="29"/>
        <v>0.95984080489469503</v>
      </c>
      <c r="B386">
        <f t="shared" si="30"/>
        <v>19</v>
      </c>
      <c r="C386">
        <f t="shared" si="31"/>
        <v>4</v>
      </c>
      <c r="D386">
        <f t="shared" ca="1" si="27"/>
        <v>3</v>
      </c>
      <c r="E386">
        <f t="shared" ca="1" si="28"/>
        <v>28</v>
      </c>
    </row>
    <row r="387" spans="1:5" x14ac:dyDescent="0.25">
      <c r="A387">
        <f t="shared" ca="1" si="29"/>
        <v>0.434739865566108</v>
      </c>
      <c r="B387">
        <f t="shared" si="30"/>
        <v>19</v>
      </c>
      <c r="C387">
        <f t="shared" si="31"/>
        <v>5</v>
      </c>
      <c r="D387">
        <f t="shared" ca="1" si="27"/>
        <v>3</v>
      </c>
      <c r="E387">
        <f t="shared" ca="1" si="28"/>
        <v>29</v>
      </c>
    </row>
    <row r="388" spans="1:5" x14ac:dyDescent="0.25">
      <c r="A388">
        <f t="shared" ca="1" si="29"/>
        <v>0.17593738332901598</v>
      </c>
      <c r="B388">
        <f t="shared" si="30"/>
        <v>19</v>
      </c>
      <c r="C388">
        <f t="shared" si="31"/>
        <v>6</v>
      </c>
      <c r="D388">
        <f t="shared" ca="1" si="27"/>
        <v>1</v>
      </c>
      <c r="E388">
        <f t="shared" ca="1" si="28"/>
        <v>12</v>
      </c>
    </row>
    <row r="389" spans="1:5" x14ac:dyDescent="0.25">
      <c r="A389">
        <f t="shared" ca="1" si="29"/>
        <v>0.89943641008842512</v>
      </c>
      <c r="B389">
        <f t="shared" si="30"/>
        <v>19</v>
      </c>
      <c r="C389">
        <f t="shared" si="31"/>
        <v>7</v>
      </c>
      <c r="D389">
        <f t="shared" ca="1" si="27"/>
        <v>1</v>
      </c>
      <c r="E389">
        <f t="shared" ca="1" si="28"/>
        <v>4</v>
      </c>
    </row>
    <row r="390" spans="1:5" x14ac:dyDescent="0.25">
      <c r="A390">
        <f t="shared" ca="1" si="29"/>
        <v>7.1655917376807099E-2</v>
      </c>
      <c r="B390">
        <f t="shared" si="30"/>
        <v>19</v>
      </c>
      <c r="C390">
        <f t="shared" si="31"/>
        <v>8</v>
      </c>
      <c r="D390">
        <f t="shared" ca="1" si="27"/>
        <v>1</v>
      </c>
      <c r="E390">
        <f t="shared" ca="1" si="28"/>
        <v>8</v>
      </c>
    </row>
    <row r="391" spans="1:5" x14ac:dyDescent="0.25">
      <c r="A391">
        <f t="shared" ca="1" si="29"/>
        <v>0.15849531894658941</v>
      </c>
      <c r="B391">
        <f t="shared" si="30"/>
        <v>19</v>
      </c>
      <c r="C391">
        <f t="shared" si="31"/>
        <v>9</v>
      </c>
      <c r="D391">
        <f t="shared" ca="1" si="27"/>
        <v>1</v>
      </c>
      <c r="E391">
        <f t="shared" ca="1" si="28"/>
        <v>13</v>
      </c>
    </row>
    <row r="392" spans="1:5" x14ac:dyDescent="0.25">
      <c r="A392">
        <f t="shared" ca="1" si="29"/>
        <v>0.41116211714842876</v>
      </c>
      <c r="B392">
        <f t="shared" si="30"/>
        <v>19</v>
      </c>
      <c r="C392">
        <f t="shared" si="31"/>
        <v>10</v>
      </c>
      <c r="D392">
        <f t="shared" ca="1" si="27"/>
        <v>1</v>
      </c>
      <c r="E392">
        <f t="shared" ca="1" si="28"/>
        <v>7</v>
      </c>
    </row>
    <row r="393" spans="1:5" x14ac:dyDescent="0.25">
      <c r="A393">
        <f t="shared" ca="1" si="29"/>
        <v>0.70581658991402241</v>
      </c>
      <c r="B393">
        <f t="shared" si="30"/>
        <v>19</v>
      </c>
      <c r="C393">
        <f t="shared" si="31"/>
        <v>11</v>
      </c>
      <c r="D393">
        <f t="shared" ca="1" si="27"/>
        <v>1</v>
      </c>
      <c r="E393">
        <f t="shared" ca="1" si="28"/>
        <v>10</v>
      </c>
    </row>
    <row r="394" spans="1:5" x14ac:dyDescent="0.25">
      <c r="A394">
        <f t="shared" ca="1" si="29"/>
        <v>6.8090290212815763E-2</v>
      </c>
      <c r="B394">
        <f t="shared" si="30"/>
        <v>19</v>
      </c>
      <c r="C394">
        <f t="shared" si="31"/>
        <v>12</v>
      </c>
      <c r="D394">
        <f t="shared" ca="1" si="27"/>
        <v>1</v>
      </c>
      <c r="E394">
        <f t="shared" ca="1" si="28"/>
        <v>14</v>
      </c>
    </row>
    <row r="395" spans="1:5" x14ac:dyDescent="0.25">
      <c r="A395">
        <f t="shared" ca="1" si="29"/>
        <v>0.8846164745429006</v>
      </c>
      <c r="B395">
        <f t="shared" si="30"/>
        <v>19</v>
      </c>
      <c r="C395">
        <f t="shared" si="31"/>
        <v>13</v>
      </c>
      <c r="D395">
        <f t="shared" ca="1" si="27"/>
        <v>1</v>
      </c>
      <c r="E395">
        <f t="shared" ca="1" si="28"/>
        <v>5</v>
      </c>
    </row>
    <row r="396" spans="1:5" x14ac:dyDescent="0.25">
      <c r="A396">
        <f t="shared" ca="1" si="29"/>
        <v>0.86732011568894207</v>
      </c>
      <c r="B396">
        <f t="shared" si="30"/>
        <v>19</v>
      </c>
      <c r="C396">
        <f t="shared" si="31"/>
        <v>14</v>
      </c>
      <c r="D396">
        <f t="shared" ca="1" si="27"/>
        <v>1</v>
      </c>
      <c r="E396">
        <f t="shared" ca="1" si="28"/>
        <v>11</v>
      </c>
    </row>
    <row r="397" spans="1:5" x14ac:dyDescent="0.25">
      <c r="A397">
        <f t="shared" ca="1" si="29"/>
        <v>0.70068878288172554</v>
      </c>
      <c r="B397">
        <f t="shared" si="30"/>
        <v>19</v>
      </c>
      <c r="C397">
        <f t="shared" si="31"/>
        <v>15</v>
      </c>
      <c r="D397">
        <f t="shared" ca="1" si="27"/>
        <v>1</v>
      </c>
      <c r="E397">
        <f t="shared" ca="1" si="28"/>
        <v>8</v>
      </c>
    </row>
    <row r="398" spans="1:5" x14ac:dyDescent="0.25">
      <c r="A398">
        <f t="shared" ca="1" si="29"/>
        <v>0.60387898349461822</v>
      </c>
      <c r="B398">
        <f t="shared" si="30"/>
        <v>19</v>
      </c>
      <c r="C398">
        <f t="shared" si="31"/>
        <v>16</v>
      </c>
      <c r="D398">
        <f t="shared" ca="1" si="27"/>
        <v>1</v>
      </c>
      <c r="E398">
        <f t="shared" ca="1" si="28"/>
        <v>7</v>
      </c>
    </row>
    <row r="399" spans="1:5" x14ac:dyDescent="0.25">
      <c r="A399">
        <f t="shared" ca="1" si="29"/>
        <v>0.28979634408279042</v>
      </c>
      <c r="B399">
        <f t="shared" si="30"/>
        <v>19</v>
      </c>
      <c r="C399">
        <f t="shared" si="31"/>
        <v>17</v>
      </c>
      <c r="D399">
        <f t="shared" ca="1" si="27"/>
        <v>3</v>
      </c>
      <c r="E399">
        <f t="shared" ca="1" si="28"/>
        <v>34</v>
      </c>
    </row>
    <row r="400" spans="1:5" x14ac:dyDescent="0.25">
      <c r="A400">
        <f t="shared" ca="1" si="29"/>
        <v>0.59935627286264137</v>
      </c>
      <c r="B400">
        <f t="shared" si="30"/>
        <v>19</v>
      </c>
      <c r="C400">
        <f t="shared" si="31"/>
        <v>18</v>
      </c>
      <c r="D400">
        <f t="shared" ca="1" si="27"/>
        <v>3</v>
      </c>
      <c r="E400">
        <f t="shared" ca="1" si="28"/>
        <v>37</v>
      </c>
    </row>
    <row r="401" spans="1:5" x14ac:dyDescent="0.25">
      <c r="A401">
        <f t="shared" ca="1" si="29"/>
        <v>0.91725846819966561</v>
      </c>
      <c r="B401">
        <f t="shared" si="30"/>
        <v>19</v>
      </c>
      <c r="C401">
        <f t="shared" si="31"/>
        <v>19</v>
      </c>
      <c r="D401">
        <f t="shared" ca="1" si="27"/>
        <v>3</v>
      </c>
      <c r="E401">
        <f t="shared" ca="1" si="28"/>
        <v>32</v>
      </c>
    </row>
    <row r="402" spans="1:5" x14ac:dyDescent="0.25">
      <c r="A402">
        <f t="shared" ca="1" si="29"/>
        <v>0.6348926873980224</v>
      </c>
      <c r="B402">
        <f t="shared" si="30"/>
        <v>19</v>
      </c>
      <c r="C402">
        <f t="shared" si="31"/>
        <v>20</v>
      </c>
      <c r="D402">
        <f t="shared" ca="1" si="27"/>
        <v>1</v>
      </c>
      <c r="E402">
        <f t="shared" ca="1" si="28"/>
        <v>9</v>
      </c>
    </row>
    <row r="403" spans="1:5" x14ac:dyDescent="0.25">
      <c r="A403">
        <f t="shared" ca="1" si="29"/>
        <v>0.98247235672682665</v>
      </c>
      <c r="B403">
        <f t="shared" si="30"/>
        <v>20</v>
      </c>
      <c r="C403">
        <f t="shared" si="31"/>
        <v>1</v>
      </c>
      <c r="D403">
        <f t="shared" ca="1" si="27"/>
        <v>2</v>
      </c>
      <c r="E403">
        <f t="shared" ca="1" si="28"/>
        <v>19</v>
      </c>
    </row>
    <row r="404" spans="1:5" x14ac:dyDescent="0.25">
      <c r="A404">
        <f t="shared" ca="1" si="29"/>
        <v>7.8838512235822389E-2</v>
      </c>
      <c r="B404">
        <f t="shared" si="30"/>
        <v>20</v>
      </c>
      <c r="C404">
        <f t="shared" si="31"/>
        <v>2</v>
      </c>
      <c r="D404">
        <f t="shared" ca="1" si="27"/>
        <v>2</v>
      </c>
      <c r="E404">
        <f t="shared" ca="1" si="28"/>
        <v>22</v>
      </c>
    </row>
    <row r="405" spans="1:5" x14ac:dyDescent="0.25">
      <c r="A405">
        <f t="shared" ca="1" si="29"/>
        <v>0.88572509676388111</v>
      </c>
      <c r="B405">
        <f t="shared" si="30"/>
        <v>20</v>
      </c>
      <c r="C405">
        <f t="shared" si="31"/>
        <v>3</v>
      </c>
      <c r="D405">
        <f t="shared" ca="1" si="27"/>
        <v>2</v>
      </c>
      <c r="E405">
        <f t="shared" ca="1" si="28"/>
        <v>29</v>
      </c>
    </row>
    <row r="406" spans="1:5" x14ac:dyDescent="0.25">
      <c r="A406">
        <f t="shared" ca="1" si="29"/>
        <v>0.52279274821263677</v>
      </c>
      <c r="B406">
        <f t="shared" si="30"/>
        <v>20</v>
      </c>
      <c r="C406">
        <f t="shared" si="31"/>
        <v>4</v>
      </c>
      <c r="D406">
        <f t="shared" ca="1" si="27"/>
        <v>3</v>
      </c>
      <c r="E406">
        <f t="shared" ca="1" si="28"/>
        <v>33</v>
      </c>
    </row>
    <row r="407" spans="1:5" x14ac:dyDescent="0.25">
      <c r="A407">
        <f t="shared" ca="1" si="29"/>
        <v>0.80522193070996273</v>
      </c>
      <c r="B407">
        <f t="shared" si="30"/>
        <v>20</v>
      </c>
      <c r="C407">
        <f t="shared" si="31"/>
        <v>5</v>
      </c>
      <c r="D407">
        <f t="shared" ref="D407:D422" ca="1" si="32">INDIRECT(ADDRESS(B407,C407,1,0),0)</f>
        <v>3</v>
      </c>
      <c r="E407">
        <f t="shared" ref="E407:E422" ca="1" si="33">INDIRECT(ADDRESS(B407,C407+21,1,0),0)</f>
        <v>25</v>
      </c>
    </row>
    <row r="408" spans="1:5" x14ac:dyDescent="0.25">
      <c r="A408">
        <f t="shared" ref="A408:A422" ca="1" si="34">RAND()</f>
        <v>0.35551311253163398</v>
      </c>
      <c r="B408">
        <f t="shared" si="30"/>
        <v>20</v>
      </c>
      <c r="C408">
        <f t="shared" si="31"/>
        <v>6</v>
      </c>
      <c r="D408">
        <f t="shared" ca="1" si="32"/>
        <v>3</v>
      </c>
      <c r="E408">
        <f t="shared" ca="1" si="33"/>
        <v>27</v>
      </c>
    </row>
    <row r="409" spans="1:5" x14ac:dyDescent="0.25">
      <c r="A409">
        <f t="shared" ca="1" si="34"/>
        <v>7.2901778148769303E-2</v>
      </c>
      <c r="B409">
        <f t="shared" si="30"/>
        <v>20</v>
      </c>
      <c r="C409">
        <f t="shared" si="31"/>
        <v>7</v>
      </c>
      <c r="D409">
        <f t="shared" ca="1" si="32"/>
        <v>1</v>
      </c>
      <c r="E409">
        <f t="shared" ca="1" si="33"/>
        <v>13</v>
      </c>
    </row>
    <row r="410" spans="1:5" x14ac:dyDescent="0.25">
      <c r="A410">
        <f t="shared" ca="1" si="34"/>
        <v>0.13770736826064911</v>
      </c>
      <c r="B410">
        <f t="shared" si="30"/>
        <v>20</v>
      </c>
      <c r="C410">
        <f t="shared" si="31"/>
        <v>8</v>
      </c>
      <c r="D410">
        <f t="shared" ca="1" si="32"/>
        <v>1</v>
      </c>
      <c r="E410">
        <f t="shared" ca="1" si="33"/>
        <v>9</v>
      </c>
    </row>
    <row r="411" spans="1:5" x14ac:dyDescent="0.25">
      <c r="A411">
        <f t="shared" ca="1" si="34"/>
        <v>0.60670456366769465</v>
      </c>
      <c r="B411">
        <f t="shared" si="30"/>
        <v>20</v>
      </c>
      <c r="C411">
        <f t="shared" si="31"/>
        <v>9</v>
      </c>
      <c r="D411">
        <f t="shared" ca="1" si="32"/>
        <v>1</v>
      </c>
      <c r="E411">
        <f t="shared" ca="1" si="33"/>
        <v>9</v>
      </c>
    </row>
    <row r="412" spans="1:5" x14ac:dyDescent="0.25">
      <c r="A412">
        <f t="shared" ca="1" si="34"/>
        <v>0.46398445620372086</v>
      </c>
      <c r="B412">
        <f t="shared" si="30"/>
        <v>20</v>
      </c>
      <c r="C412">
        <f t="shared" si="31"/>
        <v>10</v>
      </c>
      <c r="D412">
        <f t="shared" ca="1" si="32"/>
        <v>1</v>
      </c>
      <c r="E412">
        <f t="shared" ca="1" si="33"/>
        <v>7</v>
      </c>
    </row>
    <row r="413" spans="1:5" x14ac:dyDescent="0.25">
      <c r="A413">
        <f t="shared" ca="1" si="34"/>
        <v>0.2502345114664194</v>
      </c>
      <c r="B413">
        <f t="shared" si="30"/>
        <v>20</v>
      </c>
      <c r="C413">
        <f t="shared" si="31"/>
        <v>11</v>
      </c>
      <c r="D413">
        <f t="shared" ca="1" si="32"/>
        <v>1</v>
      </c>
      <c r="E413">
        <f t="shared" ca="1" si="33"/>
        <v>8</v>
      </c>
    </row>
    <row r="414" spans="1:5" x14ac:dyDescent="0.25">
      <c r="A414">
        <f t="shared" ca="1" si="34"/>
        <v>0.34293230612562486</v>
      </c>
      <c r="B414">
        <f t="shared" si="30"/>
        <v>20</v>
      </c>
      <c r="C414">
        <f t="shared" si="31"/>
        <v>12</v>
      </c>
      <c r="D414">
        <f t="shared" ca="1" si="32"/>
        <v>1</v>
      </c>
      <c r="E414">
        <f t="shared" ca="1" si="33"/>
        <v>4</v>
      </c>
    </row>
    <row r="415" spans="1:5" x14ac:dyDescent="0.25">
      <c r="A415">
        <f t="shared" ca="1" si="34"/>
        <v>0.33253680278529607</v>
      </c>
      <c r="B415">
        <f t="shared" si="30"/>
        <v>20</v>
      </c>
      <c r="C415">
        <f t="shared" si="31"/>
        <v>13</v>
      </c>
      <c r="D415">
        <f t="shared" ca="1" si="32"/>
        <v>1</v>
      </c>
      <c r="E415">
        <f t="shared" ca="1" si="33"/>
        <v>15</v>
      </c>
    </row>
    <row r="416" spans="1:5" x14ac:dyDescent="0.25">
      <c r="A416">
        <f t="shared" ca="1" si="34"/>
        <v>0.74237162317394789</v>
      </c>
      <c r="B416">
        <f t="shared" si="30"/>
        <v>20</v>
      </c>
      <c r="C416">
        <f t="shared" si="31"/>
        <v>14</v>
      </c>
      <c r="D416">
        <f t="shared" ca="1" si="32"/>
        <v>1</v>
      </c>
      <c r="E416">
        <f t="shared" ca="1" si="33"/>
        <v>8</v>
      </c>
    </row>
    <row r="417" spans="1:5" x14ac:dyDescent="0.25">
      <c r="A417">
        <f t="shared" ca="1" si="34"/>
        <v>0.80765984749642628</v>
      </c>
      <c r="B417">
        <f t="shared" si="30"/>
        <v>20</v>
      </c>
      <c r="C417">
        <f t="shared" si="31"/>
        <v>15</v>
      </c>
      <c r="D417">
        <f t="shared" ca="1" si="32"/>
        <v>1</v>
      </c>
      <c r="E417">
        <f t="shared" ca="1" si="33"/>
        <v>10</v>
      </c>
    </row>
    <row r="418" spans="1:5" x14ac:dyDescent="0.25">
      <c r="A418">
        <f t="shared" ca="1" si="34"/>
        <v>0.50593772337177623</v>
      </c>
      <c r="B418">
        <f t="shared" si="30"/>
        <v>20</v>
      </c>
      <c r="C418">
        <f t="shared" si="31"/>
        <v>16</v>
      </c>
      <c r="D418">
        <f t="shared" ca="1" si="32"/>
        <v>1</v>
      </c>
      <c r="E418">
        <f t="shared" ca="1" si="33"/>
        <v>13</v>
      </c>
    </row>
    <row r="419" spans="1:5" x14ac:dyDescent="0.25">
      <c r="A419">
        <f t="shared" ca="1" si="34"/>
        <v>0.15185871485247471</v>
      </c>
      <c r="B419">
        <f t="shared" si="30"/>
        <v>20</v>
      </c>
      <c r="C419">
        <f t="shared" si="31"/>
        <v>17</v>
      </c>
      <c r="D419">
        <f t="shared" ca="1" si="32"/>
        <v>3</v>
      </c>
      <c r="E419">
        <f t="shared" ca="1" si="33"/>
        <v>41</v>
      </c>
    </row>
    <row r="420" spans="1:5" x14ac:dyDescent="0.25">
      <c r="A420">
        <f t="shared" ca="1" si="34"/>
        <v>0.91390550674261228</v>
      </c>
      <c r="B420">
        <f t="shared" si="30"/>
        <v>20</v>
      </c>
      <c r="C420">
        <f t="shared" si="31"/>
        <v>18</v>
      </c>
      <c r="D420">
        <f t="shared" ca="1" si="32"/>
        <v>3</v>
      </c>
      <c r="E420">
        <f t="shared" ca="1" si="33"/>
        <v>23</v>
      </c>
    </row>
    <row r="421" spans="1:5" x14ac:dyDescent="0.25">
      <c r="A421">
        <f t="shared" ca="1" si="34"/>
        <v>0.49209561187117223</v>
      </c>
      <c r="B421">
        <f t="shared" si="30"/>
        <v>20</v>
      </c>
      <c r="C421">
        <f t="shared" si="31"/>
        <v>19</v>
      </c>
      <c r="D421">
        <f t="shared" ca="1" si="32"/>
        <v>3</v>
      </c>
      <c r="E421">
        <f t="shared" ca="1" si="33"/>
        <v>22</v>
      </c>
    </row>
    <row r="422" spans="1:5" x14ac:dyDescent="0.25">
      <c r="A422">
        <f t="shared" ca="1" si="34"/>
        <v>0.42162128492344708</v>
      </c>
      <c r="B422">
        <f t="shared" si="30"/>
        <v>20</v>
      </c>
      <c r="C422">
        <f t="shared" si="31"/>
        <v>20</v>
      </c>
      <c r="D422">
        <f t="shared" ca="1" si="32"/>
        <v>3</v>
      </c>
      <c r="E422">
        <f t="shared" ca="1" si="33"/>
        <v>30</v>
      </c>
    </row>
  </sheetData>
  <conditionalFormatting sqref="A1:T20">
    <cfRule type="cellIs" dxfId="32" priority="17" operator="equal">
      <formula>3</formula>
    </cfRule>
    <cfRule type="cellIs" dxfId="31" priority="18" operator="equal">
      <formula>2</formula>
    </cfRule>
    <cfRule type="cellIs" dxfId="30" priority="19" operator="equal">
      <formula>1</formula>
    </cfRule>
  </conditionalFormatting>
  <conditionalFormatting sqref="D23:D422">
    <cfRule type="cellIs" dxfId="29" priority="4" operator="equal">
      <formula>3</formula>
    </cfRule>
    <cfRule type="cellIs" dxfId="28" priority="5" operator="equal">
      <formula>2</formula>
    </cfRule>
    <cfRule type="cellIs" dxfId="27" priority="6" operator="equal">
      <formula>1</formula>
    </cfRule>
  </conditionalFormatting>
  <conditionalFormatting sqref="J23:J422">
    <cfRule type="cellIs" dxfId="26" priority="1" operator="equal">
      <formula>3</formula>
    </cfRule>
    <cfRule type="cellIs" dxfId="25" priority="2" operator="equal">
      <formula>2</formula>
    </cfRule>
    <cfRule type="cellIs" dxfId="24" priority="3" operator="equal">
      <formula>1</formula>
    </cfRule>
  </conditionalFormatting>
  <conditionalFormatting sqref="V1:AO20">
    <cfRule type="colorScale" priority="10">
      <colorScale>
        <cfvo type="min"/>
        <cfvo type="max"/>
        <color theme="0" tint="-0.499984740745262"/>
        <color theme="0"/>
      </colorScale>
    </cfRule>
  </conditionalFormatting>
  <conditionalFormatting sqref="AQ2:AQ4">
    <cfRule type="cellIs" dxfId="23" priority="23" operator="equal">
      <formula>3</formula>
    </cfRule>
    <cfRule type="cellIs" dxfId="22" priority="24" operator="equal">
      <formula>2</formula>
    </cfRule>
    <cfRule type="cellIs" dxfId="21" priority="25" operator="equal">
      <formula>1</formula>
    </cfRule>
  </conditionalFormatting>
  <conditionalFormatting sqref="AQ11">
    <cfRule type="cellIs" dxfId="20" priority="20" operator="equal">
      <formula>3</formula>
    </cfRule>
    <cfRule type="cellIs" dxfId="19" priority="21" operator="equal">
      <formula>2</formula>
    </cfRule>
    <cfRule type="cellIs" dxfId="18" priority="22" operator="equal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3"/>
  <sheetViews>
    <sheetView workbookViewId="0">
      <selection activeCell="C2" sqref="C2"/>
    </sheetView>
  </sheetViews>
  <sheetFormatPr defaultRowHeight="15" x14ac:dyDescent="0.25"/>
  <cols>
    <col min="2" max="2" width="2.5703125" customWidth="1"/>
  </cols>
  <sheetData>
    <row r="1" spans="1:33" x14ac:dyDescent="0.25">
      <c r="C1" t="s">
        <v>4</v>
      </c>
      <c r="F1" s="3" t="s">
        <v>6</v>
      </c>
      <c r="G1" s="4"/>
      <c r="H1" s="5" t="s">
        <v>7</v>
      </c>
      <c r="I1" s="6">
        <f>dados!AR5</f>
        <v>14.0275</v>
      </c>
      <c r="Q1" t="s">
        <v>14</v>
      </c>
      <c r="Z1" t="s">
        <v>13</v>
      </c>
    </row>
    <row r="2" spans="1:33" x14ac:dyDescent="0.25">
      <c r="A2">
        <v>1</v>
      </c>
      <c r="B2">
        <f ca="1">SMALL(dados!A$23:A$422,A2)</f>
        <v>5.1027568262385081E-4</v>
      </c>
      <c r="C2">
        <f ca="1">VLOOKUP(B2,dados!A$23:E$422,5,0)</f>
        <v>9</v>
      </c>
      <c r="F2" s="7" t="s">
        <v>23</v>
      </c>
      <c r="G2" s="8" t="s">
        <v>15</v>
      </c>
      <c r="H2" s="8" t="s">
        <v>16</v>
      </c>
      <c r="I2" s="9" t="s">
        <v>27</v>
      </c>
      <c r="L2" t="str">
        <f>F2</f>
        <v>#11</v>
      </c>
      <c r="M2" t="str">
        <f>G2</f>
        <v>#20</v>
      </c>
      <c r="N2" t="str">
        <f>H2</f>
        <v>#50</v>
      </c>
      <c r="O2" t="str">
        <f>I2</f>
        <v>#100</v>
      </c>
      <c r="Q2" t="str">
        <f>F2</f>
        <v>#11</v>
      </c>
      <c r="S2" t="str">
        <f>G2</f>
        <v>#20</v>
      </c>
      <c r="U2" t="str">
        <f>H2</f>
        <v>#50</v>
      </c>
      <c r="W2" t="str">
        <f>I2</f>
        <v>#100</v>
      </c>
      <c r="Z2" t="str">
        <f>L2</f>
        <v>#11</v>
      </c>
      <c r="AB2" t="str">
        <f>M2</f>
        <v>#20</v>
      </c>
      <c r="AD2" t="str">
        <f>N2</f>
        <v>#50</v>
      </c>
      <c r="AF2" t="str">
        <f>O2</f>
        <v>#100</v>
      </c>
    </row>
    <row r="3" spans="1:33" x14ac:dyDescent="0.25">
      <c r="A3">
        <v>2</v>
      </c>
      <c r="B3">
        <f ca="1">SMALL(dados!A$23:A$422,A3)</f>
        <v>2.4449350312553131E-3</v>
      </c>
      <c r="C3">
        <f ca="1">VLOOKUP(B3,dados!A$23:E$422,5,0)</f>
        <v>9</v>
      </c>
      <c r="F3">
        <f ca="1">AVERAGE(C2:C12)</f>
        <v>13.272727272727273</v>
      </c>
      <c r="G3">
        <f ca="1">AVERAGE(C2:C21)</f>
        <v>14.5</v>
      </c>
      <c r="H3">
        <f ca="1">AVERAGE(C2:C51)</f>
        <v>14.52</v>
      </c>
      <c r="I3">
        <f ca="1">AVERAGE(C2:C101)</f>
        <v>14.47</v>
      </c>
      <c r="K3" t="s">
        <v>8</v>
      </c>
      <c r="L3">
        <f t="array" ref="L3">MIN(IF(F4:F1003&gt;(L4-1.5*(L6-L4)),F4:F1003,L4))</f>
        <v>8.454545454545455</v>
      </c>
      <c r="M3">
        <f t="array" ref="M3">MIN(IF(G4:G1003&gt;(M4-1.5*(M6-M4)),G4:G1003,M4))</f>
        <v>9.75</v>
      </c>
      <c r="N3">
        <f t="array" ref="N3">MIN(IF(H4:H1003&gt;(N4-1.5*(N6-N4)),H4:H1003,N4))</f>
        <v>11.26</v>
      </c>
      <c r="O3">
        <f t="array" ref="O3">MIN(IF(I4:I1003&gt;(O4-1.5*(O6-O4)),I4:I1003,O4))</f>
        <v>12.36</v>
      </c>
      <c r="Q3">
        <v>0.75</v>
      </c>
      <c r="R3">
        <f>L7</f>
        <v>20</v>
      </c>
      <c r="S3">
        <f>Q3+1</f>
        <v>1.75</v>
      </c>
      <c r="T3">
        <f>M7</f>
        <v>18.45</v>
      </c>
      <c r="U3">
        <f>S3+1</f>
        <v>2.75</v>
      </c>
      <c r="V3">
        <f>N7</f>
        <v>16.86</v>
      </c>
      <c r="W3">
        <f>U3+1</f>
        <v>3.75</v>
      </c>
      <c r="X3">
        <f>O7</f>
        <v>15.75</v>
      </c>
    </row>
    <row r="4" spans="1:33" x14ac:dyDescent="0.25">
      <c r="A4">
        <v>3</v>
      </c>
      <c r="B4">
        <f ca="1">SMALL(dados!A$23:A$422,A4)</f>
        <v>4.0107504641352376E-3</v>
      </c>
      <c r="C4">
        <f ca="1">VLOOKUP(B4,dados!A$23:E$422,5,0)</f>
        <v>6</v>
      </c>
      <c r="E4">
        <v>1</v>
      </c>
      <c r="F4">
        <v>11.909090909090908</v>
      </c>
      <c r="G4">
        <v>12.65</v>
      </c>
      <c r="H4">
        <v>12.1</v>
      </c>
      <c r="I4">
        <v>14.55</v>
      </c>
      <c r="K4" t="s">
        <v>9</v>
      </c>
      <c r="L4">
        <f>_xlfn.QUARTILE.INC(F4:F1003,1)</f>
        <v>12.363636363636363</v>
      </c>
      <c r="M4">
        <f>_xlfn.QUARTILE.INC(G4:G1003,1)</f>
        <v>12.8</v>
      </c>
      <c r="N4">
        <f>_xlfn.QUARTILE.INC(H4:H1003,1)</f>
        <v>13.32</v>
      </c>
      <c r="O4">
        <f>_xlfn.QUARTILE.INC(I4:I1003,1)</f>
        <v>13.58</v>
      </c>
      <c r="Q4">
        <v>1</v>
      </c>
      <c r="R4">
        <f>R3</f>
        <v>20</v>
      </c>
      <c r="S4">
        <f t="shared" ref="S4:W22" si="0">Q4+1</f>
        <v>2</v>
      </c>
      <c r="T4">
        <f>T3</f>
        <v>18.45</v>
      </c>
      <c r="U4">
        <f t="shared" si="0"/>
        <v>3</v>
      </c>
      <c r="V4">
        <f>V3</f>
        <v>16.86</v>
      </c>
      <c r="W4">
        <f t="shared" si="0"/>
        <v>4</v>
      </c>
      <c r="X4">
        <f>X3</f>
        <v>15.75</v>
      </c>
      <c r="Z4">
        <v>1</v>
      </c>
      <c r="AA4" t="e">
        <f t="array" ref="AA4">IF(OR(F4&lt;L$3,F4&gt;L$7),F4,#N/A)</f>
        <v>#N/A</v>
      </c>
      <c r="AB4">
        <f>Z4+1</f>
        <v>2</v>
      </c>
      <c r="AC4" t="e">
        <f t="array" ref="AC4">IF(OR(G4&lt;M$3,G4&gt;M$7),G4,#N/A)</f>
        <v>#N/A</v>
      </c>
      <c r="AD4">
        <f>AB4+1</f>
        <v>3</v>
      </c>
      <c r="AE4" t="e">
        <f t="array" ref="AE4">IF(OR(H4&lt;N$3,H4&gt;N$7),H4,#N/A)</f>
        <v>#N/A</v>
      </c>
      <c r="AF4">
        <f>AD4+1</f>
        <v>4</v>
      </c>
      <c r="AG4" t="e">
        <f t="array" ref="AG4">IF(OR(I4&lt;O$3,I4&gt;O$7),I4,#N/A)</f>
        <v>#N/A</v>
      </c>
    </row>
    <row r="5" spans="1:33" x14ac:dyDescent="0.25">
      <c r="A5">
        <v>4</v>
      </c>
      <c r="B5">
        <f ca="1">SMALL(dados!A$23:A$422,A5)</f>
        <v>8.2381268001290309E-3</v>
      </c>
      <c r="C5">
        <f ca="1">VLOOKUP(B5,dados!A$23:E$422,5,0)</f>
        <v>15</v>
      </c>
      <c r="E5">
        <v>2</v>
      </c>
      <c r="F5">
        <v>13.090909090909092</v>
      </c>
      <c r="G5">
        <v>15.75</v>
      </c>
      <c r="H5">
        <v>13.36</v>
      </c>
      <c r="I5">
        <v>13.78</v>
      </c>
      <c r="K5" t="s">
        <v>10</v>
      </c>
      <c r="L5">
        <f>MEDIAN(F4:F1003)</f>
        <v>13.818181818181818</v>
      </c>
      <c r="M5">
        <f>MEDIAN(G4:G1003)</f>
        <v>13.925000000000001</v>
      </c>
      <c r="N5">
        <f>MEDIAN(H4:H1003)</f>
        <v>14</v>
      </c>
      <c r="O5">
        <f>MEDIAN(I4:I1003)</f>
        <v>14.04</v>
      </c>
      <c r="Q5">
        <v>1</v>
      </c>
      <c r="R5">
        <f>L6</f>
        <v>15.454545454545455</v>
      </c>
      <c r="S5">
        <f t="shared" si="0"/>
        <v>2</v>
      </c>
      <c r="T5">
        <f>M6</f>
        <v>15.15</v>
      </c>
      <c r="U5">
        <f t="shared" si="0"/>
        <v>3</v>
      </c>
      <c r="V5">
        <f>N6</f>
        <v>14.74</v>
      </c>
      <c r="W5">
        <f t="shared" si="0"/>
        <v>4</v>
      </c>
      <c r="X5">
        <f>O6</f>
        <v>14.49</v>
      </c>
      <c r="Z5">
        <v>1</v>
      </c>
      <c r="AA5" t="e">
        <f t="array" ref="AA5">IF(OR(F5&lt;L$3,F5&gt;L$7),F5,#N/A)</f>
        <v>#N/A</v>
      </c>
      <c r="AB5">
        <f t="shared" ref="AB5:AF68" si="1">Z5+1</f>
        <v>2</v>
      </c>
      <c r="AC5" t="e">
        <f t="array" ref="AC5">IF(OR(G5&lt;M$3,G5&gt;M$7),G5,#N/A)</f>
        <v>#N/A</v>
      </c>
      <c r="AD5">
        <f t="shared" si="1"/>
        <v>3</v>
      </c>
      <c r="AE5" t="e">
        <f t="array" ref="AE5">IF(OR(H5&lt;N$3,H5&gt;N$7),H5,#N/A)</f>
        <v>#N/A</v>
      </c>
      <c r="AF5">
        <f t="shared" si="1"/>
        <v>4</v>
      </c>
      <c r="AG5" t="e">
        <f t="array" ref="AG5">IF(OR(I5&lt;O$3,I5&gt;O$7),I5,#N/A)</f>
        <v>#N/A</v>
      </c>
    </row>
    <row r="6" spans="1:33" x14ac:dyDescent="0.25">
      <c r="A6">
        <v>5</v>
      </c>
      <c r="B6">
        <f ca="1">SMALL(dados!A$23:A$422,A6)</f>
        <v>9.2508416430395757E-3</v>
      </c>
      <c r="C6">
        <f ca="1">VLOOKUP(B6,dados!A$23:E$422,5,0)</f>
        <v>28</v>
      </c>
      <c r="E6">
        <v>3</v>
      </c>
      <c r="F6">
        <v>11.363636363636363</v>
      </c>
      <c r="G6">
        <v>13.05</v>
      </c>
      <c r="H6">
        <v>13.66</v>
      </c>
      <c r="I6">
        <v>14.09</v>
      </c>
      <c r="K6" t="s">
        <v>11</v>
      </c>
      <c r="L6">
        <f>_xlfn.QUARTILE.INC(F4:F1003,3)</f>
        <v>15.454545454545455</v>
      </c>
      <c r="M6">
        <f>_xlfn.QUARTILE.INC(G4:G1003,3)</f>
        <v>15.15</v>
      </c>
      <c r="N6">
        <f>_xlfn.QUARTILE.INC(H4:H1003,3)</f>
        <v>14.74</v>
      </c>
      <c r="O6">
        <f>_xlfn.QUARTILE.INC(I4:I1003,3)</f>
        <v>14.49</v>
      </c>
      <c r="Q6">
        <v>0.75</v>
      </c>
      <c r="R6">
        <f>R5</f>
        <v>15.454545454545455</v>
      </c>
      <c r="S6">
        <f t="shared" si="0"/>
        <v>1.75</v>
      </c>
      <c r="T6">
        <f>T5</f>
        <v>15.15</v>
      </c>
      <c r="U6">
        <f t="shared" si="0"/>
        <v>2.75</v>
      </c>
      <c r="V6">
        <f>V5</f>
        <v>14.74</v>
      </c>
      <c r="W6">
        <f t="shared" si="0"/>
        <v>3.75</v>
      </c>
      <c r="X6">
        <f>X5</f>
        <v>14.49</v>
      </c>
      <c r="Z6">
        <v>1</v>
      </c>
      <c r="AA6" t="e">
        <f t="array" ref="AA6">IF(OR(F6&lt;L$3,F6&gt;L$7),F6,#N/A)</f>
        <v>#N/A</v>
      </c>
      <c r="AB6">
        <f t="shared" si="1"/>
        <v>2</v>
      </c>
      <c r="AC6" t="e">
        <f t="array" ref="AC6">IF(OR(G6&lt;M$3,G6&gt;M$7),G6,#N/A)</f>
        <v>#N/A</v>
      </c>
      <c r="AD6">
        <f t="shared" si="1"/>
        <v>3</v>
      </c>
      <c r="AE6" t="e">
        <f t="array" ref="AE6">IF(OR(H6&lt;N$3,H6&gt;N$7),H6,#N/A)</f>
        <v>#N/A</v>
      </c>
      <c r="AF6">
        <f t="shared" si="1"/>
        <v>4</v>
      </c>
      <c r="AG6" t="e">
        <f t="array" ref="AG6">IF(OR(I6&lt;O$3,I6&gt;O$7),I6,#N/A)</f>
        <v>#N/A</v>
      </c>
    </row>
    <row r="7" spans="1:33" x14ac:dyDescent="0.25">
      <c r="A7">
        <v>6</v>
      </c>
      <c r="B7">
        <f ca="1">SMALL(dados!A$23:A$422,A7)</f>
        <v>1.438782357087165E-2</v>
      </c>
      <c r="C7">
        <f ca="1">VLOOKUP(B7,dados!A$23:E$422,5,0)</f>
        <v>26</v>
      </c>
      <c r="E7">
        <v>4</v>
      </c>
      <c r="F7">
        <v>11.909090909090908</v>
      </c>
      <c r="G7">
        <v>13</v>
      </c>
      <c r="H7">
        <v>12.74</v>
      </c>
      <c r="I7">
        <v>13.47</v>
      </c>
      <c r="K7" t="s">
        <v>12</v>
      </c>
      <c r="L7">
        <f t="array" ref="L7">MAX(IF(F4:F1003&lt;(L6+1.5*(L6-L4)),F4:F1003,L6))</f>
        <v>20</v>
      </c>
      <c r="M7">
        <f t="array" ref="M7">MAX(IF(G4:G1003&lt;(M6+1.5*(M6-M4)),G4:G1003,M6))</f>
        <v>18.45</v>
      </c>
      <c r="N7">
        <f t="array" ref="N7">MAX(IF(H4:H1003&lt;(N6+1.5*(N6-N4)),H4:H1003,N6))</f>
        <v>16.86</v>
      </c>
      <c r="O7">
        <f t="array" ref="O7">MAX(IF(I4:I1003&lt;(O6+1.5*(O6-O4)),I4:I1003,O6))</f>
        <v>15.75</v>
      </c>
      <c r="Q7">
        <v>0.75</v>
      </c>
      <c r="R7">
        <f>L5</f>
        <v>13.818181818181818</v>
      </c>
      <c r="S7">
        <f t="shared" si="0"/>
        <v>1.75</v>
      </c>
      <c r="T7">
        <f>M5</f>
        <v>13.925000000000001</v>
      </c>
      <c r="U7">
        <f t="shared" si="0"/>
        <v>2.75</v>
      </c>
      <c r="V7">
        <f>N5</f>
        <v>14</v>
      </c>
      <c r="W7">
        <f t="shared" si="0"/>
        <v>3.75</v>
      </c>
      <c r="X7">
        <f>O5</f>
        <v>14.04</v>
      </c>
      <c r="Z7">
        <v>1</v>
      </c>
      <c r="AA7" t="e">
        <f t="array" ref="AA7">IF(OR(F7&lt;L$3,F7&gt;L$7),F7,#N/A)</f>
        <v>#N/A</v>
      </c>
      <c r="AB7">
        <f t="shared" si="1"/>
        <v>2</v>
      </c>
      <c r="AC7" t="e">
        <f t="array" ref="AC7">IF(OR(G7&lt;M$3,G7&gt;M$7),G7,#N/A)</f>
        <v>#N/A</v>
      </c>
      <c r="AD7">
        <f t="shared" si="1"/>
        <v>3</v>
      </c>
      <c r="AE7" t="e">
        <f t="array" ref="AE7">IF(OR(H7&lt;N$3,H7&gt;N$7),H7,#N/A)</f>
        <v>#N/A</v>
      </c>
      <c r="AF7">
        <f t="shared" si="1"/>
        <v>4</v>
      </c>
      <c r="AG7" t="e">
        <f t="array" ref="AG7">IF(OR(I7&lt;O$3,I7&gt;O$7),I7,#N/A)</f>
        <v>#N/A</v>
      </c>
    </row>
    <row r="8" spans="1:33" x14ac:dyDescent="0.25">
      <c r="A8">
        <v>7</v>
      </c>
      <c r="B8">
        <f ca="1">SMALL(dados!A$23:A$422,A8)</f>
        <v>1.5141544265767526E-2</v>
      </c>
      <c r="C8">
        <f ca="1">VLOOKUP(B8,dados!A$23:E$422,5,0)</f>
        <v>7</v>
      </c>
      <c r="E8">
        <v>5</v>
      </c>
      <c r="F8">
        <v>13.545454545454545</v>
      </c>
      <c r="G8">
        <v>12.8</v>
      </c>
      <c r="H8">
        <v>13.2</v>
      </c>
      <c r="I8">
        <v>12.86</v>
      </c>
      <c r="Q8">
        <v>1.25</v>
      </c>
      <c r="R8">
        <f>R7</f>
        <v>13.818181818181818</v>
      </c>
      <c r="S8">
        <f t="shared" si="0"/>
        <v>2.25</v>
      </c>
      <c r="T8">
        <f>T7</f>
        <v>13.925000000000001</v>
      </c>
      <c r="U8">
        <f t="shared" si="0"/>
        <v>3.25</v>
      </c>
      <c r="V8">
        <f>V7</f>
        <v>14</v>
      </c>
      <c r="W8">
        <f t="shared" si="0"/>
        <v>4.25</v>
      </c>
      <c r="X8">
        <f>X7</f>
        <v>14.04</v>
      </c>
      <c r="Z8">
        <v>1</v>
      </c>
      <c r="AA8" t="e">
        <f t="array" ref="AA8">IF(OR(F8&lt;L$3,F8&gt;L$7),F8,#N/A)</f>
        <v>#N/A</v>
      </c>
      <c r="AB8">
        <f t="shared" si="1"/>
        <v>2</v>
      </c>
      <c r="AC8" t="e">
        <f t="array" ref="AC8">IF(OR(G8&lt;M$3,G8&gt;M$7),G8,#N/A)</f>
        <v>#N/A</v>
      </c>
      <c r="AD8">
        <f t="shared" si="1"/>
        <v>3</v>
      </c>
      <c r="AE8" t="e">
        <f t="array" ref="AE8">IF(OR(H8&lt;N$3,H8&gt;N$7),H8,#N/A)</f>
        <v>#N/A</v>
      </c>
      <c r="AF8">
        <f t="shared" si="1"/>
        <v>4</v>
      </c>
      <c r="AG8" t="e">
        <f t="array" ref="AG8">IF(OR(I8&lt;O$3,I8&gt;O$7),I8,#N/A)</f>
        <v>#N/A</v>
      </c>
    </row>
    <row r="9" spans="1:33" x14ac:dyDescent="0.25">
      <c r="A9">
        <v>8</v>
      </c>
      <c r="B9">
        <f ca="1">SMALL(dados!A$23:A$422,A9)</f>
        <v>1.6365066334816714E-2</v>
      </c>
      <c r="C9">
        <f ca="1">VLOOKUP(B9,dados!A$23:E$422,5,0)</f>
        <v>11</v>
      </c>
      <c r="E9">
        <v>6</v>
      </c>
      <c r="F9">
        <v>15.636363636363637</v>
      </c>
      <c r="G9">
        <v>15.1</v>
      </c>
      <c r="H9">
        <v>14.16</v>
      </c>
      <c r="I9">
        <v>13.2</v>
      </c>
      <c r="Q9">
        <v>1.25</v>
      </c>
      <c r="R9">
        <f>L4</f>
        <v>12.363636363636363</v>
      </c>
      <c r="S9">
        <f t="shared" si="0"/>
        <v>2.25</v>
      </c>
      <c r="T9">
        <f>M4</f>
        <v>12.8</v>
      </c>
      <c r="U9">
        <f t="shared" si="0"/>
        <v>3.25</v>
      </c>
      <c r="V9">
        <f>N4</f>
        <v>13.32</v>
      </c>
      <c r="W9">
        <f t="shared" si="0"/>
        <v>4.25</v>
      </c>
      <c r="X9">
        <f>O4</f>
        <v>13.58</v>
      </c>
      <c r="Z9">
        <v>1</v>
      </c>
      <c r="AA9" t="e">
        <f t="array" ref="AA9">IF(OR(F9&lt;L$3,F9&gt;L$7),F9,#N/A)</f>
        <v>#N/A</v>
      </c>
      <c r="AB9">
        <f t="shared" si="1"/>
        <v>2</v>
      </c>
      <c r="AC9" t="e">
        <f t="array" ref="AC9">IF(OR(G9&lt;M$3,G9&gt;M$7),G9,#N/A)</f>
        <v>#N/A</v>
      </c>
      <c r="AD9">
        <f t="shared" si="1"/>
        <v>3</v>
      </c>
      <c r="AE9" t="e">
        <f t="array" ref="AE9">IF(OR(H9&lt;N$3,H9&gt;N$7),H9,#N/A)</f>
        <v>#N/A</v>
      </c>
      <c r="AF9">
        <f t="shared" si="1"/>
        <v>4</v>
      </c>
      <c r="AG9" t="e">
        <f t="array" ref="AG9">IF(OR(I9&lt;O$3,I9&gt;O$7),I9,#N/A)</f>
        <v>#N/A</v>
      </c>
    </row>
    <row r="10" spans="1:33" x14ac:dyDescent="0.25">
      <c r="A10">
        <v>9</v>
      </c>
      <c r="B10">
        <f ca="1">SMALL(dados!A$23:A$422,A10)</f>
        <v>2.4876855188646352E-2</v>
      </c>
      <c r="C10">
        <f ca="1">VLOOKUP(B10,dados!A$23:E$422,5,0)</f>
        <v>5</v>
      </c>
      <c r="E10">
        <v>7</v>
      </c>
      <c r="F10">
        <v>10.090909090909092</v>
      </c>
      <c r="G10">
        <v>12.2</v>
      </c>
      <c r="H10">
        <v>13.88</v>
      </c>
      <c r="I10">
        <v>14.89</v>
      </c>
      <c r="Q10">
        <v>1</v>
      </c>
      <c r="R10">
        <f>R9</f>
        <v>12.363636363636363</v>
      </c>
      <c r="S10">
        <f t="shared" si="0"/>
        <v>2</v>
      </c>
      <c r="T10">
        <f>T9</f>
        <v>12.8</v>
      </c>
      <c r="U10">
        <f t="shared" si="0"/>
        <v>3</v>
      </c>
      <c r="V10">
        <f>V9</f>
        <v>13.32</v>
      </c>
      <c r="W10">
        <f t="shared" si="0"/>
        <v>4</v>
      </c>
      <c r="X10">
        <f>X9</f>
        <v>13.58</v>
      </c>
      <c r="Z10">
        <v>1</v>
      </c>
      <c r="AA10" t="e">
        <f t="array" ref="AA10">IF(OR(F10&lt;L$3,F10&gt;L$7),F10,#N/A)</f>
        <v>#N/A</v>
      </c>
      <c r="AB10">
        <f t="shared" si="1"/>
        <v>2</v>
      </c>
      <c r="AC10" t="e">
        <f t="array" ref="AC10">IF(OR(G10&lt;M$3,G10&gt;M$7),G10,#N/A)</f>
        <v>#N/A</v>
      </c>
      <c r="AD10">
        <f t="shared" si="1"/>
        <v>3</v>
      </c>
      <c r="AE10" t="e">
        <f t="array" ref="AE10">IF(OR(H10&lt;N$3,H10&gt;N$7),H10,#N/A)</f>
        <v>#N/A</v>
      </c>
      <c r="AF10">
        <f t="shared" si="1"/>
        <v>4</v>
      </c>
      <c r="AG10" t="e">
        <f t="array" ref="AG10">IF(OR(I10&lt;O$3,I10&gt;O$7),I10,#N/A)</f>
        <v>#N/A</v>
      </c>
    </row>
    <row r="11" spans="1:33" x14ac:dyDescent="0.25">
      <c r="A11">
        <v>10</v>
      </c>
      <c r="B11">
        <f ca="1">SMALL(dados!A$23:A$422,A11)</f>
        <v>2.8372084230214978E-2</v>
      </c>
      <c r="C11">
        <f ca="1">VLOOKUP(B11,dados!A$23:E$422,5,0)</f>
        <v>20</v>
      </c>
      <c r="E11">
        <v>8</v>
      </c>
      <c r="F11">
        <v>12.636363636363637</v>
      </c>
      <c r="G11">
        <v>11.9</v>
      </c>
      <c r="H11">
        <v>12.78</v>
      </c>
      <c r="I11">
        <v>12.71</v>
      </c>
      <c r="Q11">
        <v>1</v>
      </c>
      <c r="R11">
        <f>L3</f>
        <v>8.454545454545455</v>
      </c>
      <c r="S11">
        <f t="shared" si="0"/>
        <v>2</v>
      </c>
      <c r="T11">
        <f>M3</f>
        <v>9.75</v>
      </c>
      <c r="U11">
        <f t="shared" si="0"/>
        <v>3</v>
      </c>
      <c r="V11">
        <f>N3</f>
        <v>11.26</v>
      </c>
      <c r="W11">
        <f t="shared" si="0"/>
        <v>4</v>
      </c>
      <c r="X11">
        <f>O3</f>
        <v>12.36</v>
      </c>
      <c r="Z11">
        <v>1</v>
      </c>
      <c r="AA11" t="e">
        <f t="array" ref="AA11">IF(OR(F11&lt;L$3,F11&gt;L$7),F11,#N/A)</f>
        <v>#N/A</v>
      </c>
      <c r="AB11">
        <f t="shared" si="1"/>
        <v>2</v>
      </c>
      <c r="AC11" t="e">
        <f t="array" ref="AC11">IF(OR(G11&lt;M$3,G11&gt;M$7),G11,#N/A)</f>
        <v>#N/A</v>
      </c>
      <c r="AD11">
        <f t="shared" si="1"/>
        <v>3</v>
      </c>
      <c r="AE11" t="e">
        <f t="array" ref="AE11">IF(OR(H11&lt;N$3,H11&gt;N$7),H11,#N/A)</f>
        <v>#N/A</v>
      </c>
      <c r="AF11">
        <f t="shared" si="1"/>
        <v>4</v>
      </c>
      <c r="AG11" t="e">
        <f t="array" ref="AG11">IF(OR(I11&lt;O$3,I11&gt;O$7),I11,#N/A)</f>
        <v>#N/A</v>
      </c>
    </row>
    <row r="12" spans="1:33" x14ac:dyDescent="0.25">
      <c r="A12">
        <v>11</v>
      </c>
      <c r="B12">
        <f ca="1">SMALL(dados!A$23:A$422,A12)</f>
        <v>3.0016192295491129E-2</v>
      </c>
      <c r="C12">
        <f ca="1">VLOOKUP(B12,dados!A$23:E$422,5,0)</f>
        <v>10</v>
      </c>
      <c r="E12">
        <v>9</v>
      </c>
      <c r="F12">
        <v>12.272727272727273</v>
      </c>
      <c r="G12">
        <v>13.2</v>
      </c>
      <c r="H12">
        <v>13.3</v>
      </c>
      <c r="I12">
        <v>13.58</v>
      </c>
      <c r="Q12">
        <v>1.25</v>
      </c>
      <c r="R12">
        <f>R11</f>
        <v>8.454545454545455</v>
      </c>
      <c r="S12">
        <f t="shared" si="0"/>
        <v>2.25</v>
      </c>
      <c r="T12">
        <f>T11</f>
        <v>9.75</v>
      </c>
      <c r="U12">
        <f t="shared" si="0"/>
        <v>3.25</v>
      </c>
      <c r="V12">
        <f>V11</f>
        <v>11.26</v>
      </c>
      <c r="W12">
        <f t="shared" si="0"/>
        <v>4.25</v>
      </c>
      <c r="X12">
        <f>X11</f>
        <v>12.36</v>
      </c>
      <c r="Z12">
        <v>1</v>
      </c>
      <c r="AA12" t="e">
        <f t="array" ref="AA12">IF(OR(F12&lt;L$3,F12&gt;L$7),F12,#N/A)</f>
        <v>#N/A</v>
      </c>
      <c r="AB12">
        <f t="shared" si="1"/>
        <v>2</v>
      </c>
      <c r="AC12" t="e">
        <f t="array" ref="AC12">IF(OR(G12&lt;M$3,G12&gt;M$7),G12,#N/A)</f>
        <v>#N/A</v>
      </c>
      <c r="AD12">
        <f t="shared" si="1"/>
        <v>3</v>
      </c>
      <c r="AE12" t="e">
        <f t="array" ref="AE12">IF(OR(H12&lt;N$3,H12&gt;N$7),H12,#N/A)</f>
        <v>#N/A</v>
      </c>
      <c r="AF12">
        <f t="shared" si="1"/>
        <v>4</v>
      </c>
      <c r="AG12" t="e">
        <f t="array" ref="AG12">IF(OR(I12&lt;O$3,I12&gt;O$7),I12,#N/A)</f>
        <v>#N/A</v>
      </c>
    </row>
    <row r="13" spans="1:33" x14ac:dyDescent="0.25">
      <c r="A13">
        <v>12</v>
      </c>
      <c r="B13">
        <f ca="1">SMALL(dados!A$23:A$422,A13)</f>
        <v>3.0558104913123274E-2</v>
      </c>
      <c r="C13">
        <f ca="1">VLOOKUP(B13,dados!A$23:E$422,5,0)</f>
        <v>9</v>
      </c>
      <c r="E13">
        <v>10</v>
      </c>
      <c r="F13">
        <v>13.454545454545455</v>
      </c>
      <c r="G13">
        <v>13.75</v>
      </c>
      <c r="H13">
        <v>13.3</v>
      </c>
      <c r="I13">
        <v>14.42</v>
      </c>
      <c r="Q13">
        <v>0.75</v>
      </c>
      <c r="R13">
        <f>R11</f>
        <v>8.454545454545455</v>
      </c>
      <c r="S13">
        <f t="shared" si="0"/>
        <v>1.75</v>
      </c>
      <c r="T13">
        <f>T11</f>
        <v>9.75</v>
      </c>
      <c r="U13">
        <f t="shared" si="0"/>
        <v>2.75</v>
      </c>
      <c r="V13">
        <f>V11</f>
        <v>11.26</v>
      </c>
      <c r="W13">
        <f t="shared" si="0"/>
        <v>3.75</v>
      </c>
      <c r="X13">
        <f>X11</f>
        <v>12.36</v>
      </c>
      <c r="Z13">
        <v>1</v>
      </c>
      <c r="AA13" t="e">
        <f t="array" ref="AA13">IF(OR(F13&lt;L$3,F13&gt;L$7),F13,#N/A)</f>
        <v>#N/A</v>
      </c>
      <c r="AB13">
        <f t="shared" si="1"/>
        <v>2</v>
      </c>
      <c r="AC13" t="e">
        <f t="array" ref="AC13">IF(OR(G13&lt;M$3,G13&gt;M$7),G13,#N/A)</f>
        <v>#N/A</v>
      </c>
      <c r="AD13">
        <f t="shared" si="1"/>
        <v>3</v>
      </c>
      <c r="AE13" t="e">
        <f t="array" ref="AE13">IF(OR(H13&lt;N$3,H13&gt;N$7),H13,#N/A)</f>
        <v>#N/A</v>
      </c>
      <c r="AF13">
        <f t="shared" si="1"/>
        <v>4</v>
      </c>
      <c r="AG13" t="e">
        <f t="array" ref="AG13">IF(OR(I13&lt;O$3,I13&gt;O$7),I13,#N/A)</f>
        <v>#N/A</v>
      </c>
    </row>
    <row r="14" spans="1:33" x14ac:dyDescent="0.25">
      <c r="A14">
        <v>13</v>
      </c>
      <c r="B14">
        <f ca="1">SMALL(dados!A$23:A$422,A14)</f>
        <v>3.2498108814583371E-2</v>
      </c>
      <c r="C14">
        <f ca="1">VLOOKUP(B14,dados!A$23:E$422,5,0)</f>
        <v>13</v>
      </c>
      <c r="E14">
        <v>11</v>
      </c>
      <c r="F14">
        <v>12.545454545454545</v>
      </c>
      <c r="G14">
        <v>11.65</v>
      </c>
      <c r="H14">
        <v>13.72</v>
      </c>
      <c r="I14">
        <v>13.25</v>
      </c>
      <c r="Q14">
        <v>1</v>
      </c>
      <c r="R14">
        <f>R13</f>
        <v>8.454545454545455</v>
      </c>
      <c r="S14">
        <f t="shared" si="0"/>
        <v>2</v>
      </c>
      <c r="T14">
        <f>T13</f>
        <v>9.75</v>
      </c>
      <c r="U14">
        <f t="shared" si="0"/>
        <v>3</v>
      </c>
      <c r="V14">
        <f>V13</f>
        <v>11.26</v>
      </c>
      <c r="W14">
        <f t="shared" si="0"/>
        <v>4</v>
      </c>
      <c r="X14">
        <f>X13</f>
        <v>12.36</v>
      </c>
      <c r="Z14">
        <v>1</v>
      </c>
      <c r="AA14" t="e">
        <f t="array" ref="AA14">IF(OR(F14&lt;L$3,F14&gt;L$7),F14,#N/A)</f>
        <v>#N/A</v>
      </c>
      <c r="AB14">
        <f t="shared" si="1"/>
        <v>2</v>
      </c>
      <c r="AC14" t="e">
        <f t="array" ref="AC14">IF(OR(G14&lt;M$3,G14&gt;M$7),G14,#N/A)</f>
        <v>#N/A</v>
      </c>
      <c r="AD14">
        <f t="shared" si="1"/>
        <v>3</v>
      </c>
      <c r="AE14" t="e">
        <f t="array" ref="AE14">IF(OR(H14&lt;N$3,H14&gt;N$7),H14,#N/A)</f>
        <v>#N/A</v>
      </c>
      <c r="AF14">
        <f t="shared" si="1"/>
        <v>4</v>
      </c>
      <c r="AG14" t="e">
        <f t="array" ref="AG14">IF(OR(I14&lt;O$3,I14&gt;O$7),I14,#N/A)</f>
        <v>#N/A</v>
      </c>
    </row>
    <row r="15" spans="1:33" x14ac:dyDescent="0.25">
      <c r="A15">
        <v>14</v>
      </c>
      <c r="B15">
        <f ca="1">SMALL(dados!A$23:A$422,A15)</f>
        <v>3.344296675338021E-2</v>
      </c>
      <c r="C15">
        <f ca="1">VLOOKUP(B15,dados!A$23:E$422,5,0)</f>
        <v>36</v>
      </c>
      <c r="E15">
        <v>12</v>
      </c>
      <c r="F15">
        <v>14.727272727272727</v>
      </c>
      <c r="G15">
        <v>13.95</v>
      </c>
      <c r="H15">
        <v>13.02</v>
      </c>
      <c r="I15">
        <v>13.82</v>
      </c>
      <c r="Q15">
        <v>1</v>
      </c>
      <c r="R15">
        <f>R9</f>
        <v>12.363636363636363</v>
      </c>
      <c r="S15">
        <f t="shared" si="0"/>
        <v>2</v>
      </c>
      <c r="T15">
        <f>T9</f>
        <v>12.8</v>
      </c>
      <c r="U15">
        <f t="shared" si="0"/>
        <v>3</v>
      </c>
      <c r="V15">
        <f>V9</f>
        <v>13.32</v>
      </c>
      <c r="W15">
        <f t="shared" si="0"/>
        <v>4</v>
      </c>
      <c r="X15">
        <f>X9</f>
        <v>13.58</v>
      </c>
      <c r="Z15">
        <v>1</v>
      </c>
      <c r="AA15" t="e">
        <f t="array" ref="AA15">IF(OR(F15&lt;L$3,F15&gt;L$7),F15,#N/A)</f>
        <v>#N/A</v>
      </c>
      <c r="AB15">
        <f t="shared" si="1"/>
        <v>2</v>
      </c>
      <c r="AC15" t="e">
        <f t="array" ref="AC15">IF(OR(G15&lt;M$3,G15&gt;M$7),G15,#N/A)</f>
        <v>#N/A</v>
      </c>
      <c r="AD15">
        <f t="shared" si="1"/>
        <v>3</v>
      </c>
      <c r="AE15" t="e">
        <f t="array" ref="AE15">IF(OR(H15&lt;N$3,H15&gt;N$7),H15,#N/A)</f>
        <v>#N/A</v>
      </c>
      <c r="AF15">
        <f t="shared" si="1"/>
        <v>4</v>
      </c>
      <c r="AG15" t="e">
        <f t="array" ref="AG15">IF(OR(I15&lt;O$3,I15&gt;O$7),I15,#N/A)</f>
        <v>#N/A</v>
      </c>
    </row>
    <row r="16" spans="1:33" x14ac:dyDescent="0.25">
      <c r="A16">
        <v>15</v>
      </c>
      <c r="B16">
        <f ca="1">SMALL(dados!A$23:A$422,A16)</f>
        <v>4.0481215974306539E-2</v>
      </c>
      <c r="C16">
        <f ca="1">VLOOKUP(B16,dados!A$23:E$422,5,0)</f>
        <v>14</v>
      </c>
      <c r="E16">
        <v>13</v>
      </c>
      <c r="F16">
        <v>17.181818181818183</v>
      </c>
      <c r="G16">
        <v>14.45</v>
      </c>
      <c r="H16">
        <v>14.68</v>
      </c>
      <c r="I16">
        <v>14.37</v>
      </c>
      <c r="Q16">
        <v>0.75</v>
      </c>
      <c r="R16">
        <f>R15</f>
        <v>12.363636363636363</v>
      </c>
      <c r="S16">
        <f t="shared" si="0"/>
        <v>1.75</v>
      </c>
      <c r="T16">
        <f>T15</f>
        <v>12.8</v>
      </c>
      <c r="U16">
        <f t="shared" si="0"/>
        <v>2.75</v>
      </c>
      <c r="V16">
        <f>V15</f>
        <v>13.32</v>
      </c>
      <c r="W16">
        <f t="shared" si="0"/>
        <v>3.75</v>
      </c>
      <c r="X16">
        <f>X15</f>
        <v>13.58</v>
      </c>
      <c r="Z16">
        <v>1</v>
      </c>
      <c r="AA16" t="e">
        <f t="array" ref="AA16">IF(OR(F16&lt;L$3,F16&gt;L$7),F16,#N/A)</f>
        <v>#N/A</v>
      </c>
      <c r="AB16">
        <f t="shared" si="1"/>
        <v>2</v>
      </c>
      <c r="AC16" t="e">
        <f t="array" ref="AC16">IF(OR(G16&lt;M$3,G16&gt;M$7),G16,#N/A)</f>
        <v>#N/A</v>
      </c>
      <c r="AD16">
        <f t="shared" si="1"/>
        <v>3</v>
      </c>
      <c r="AE16" t="e">
        <f t="array" ref="AE16">IF(OR(H16&lt;N$3,H16&gt;N$7),H16,#N/A)</f>
        <v>#N/A</v>
      </c>
      <c r="AF16">
        <f t="shared" si="1"/>
        <v>4</v>
      </c>
      <c r="AG16" t="e">
        <f t="array" ref="AG16">IF(OR(I16&lt;O$3,I16&gt;O$7),I16,#N/A)</f>
        <v>#N/A</v>
      </c>
    </row>
    <row r="17" spans="1:33" x14ac:dyDescent="0.25">
      <c r="A17">
        <v>16</v>
      </c>
      <c r="B17">
        <f ca="1">SMALL(dados!A$23:A$422,A17)</f>
        <v>4.3259559378235335E-2</v>
      </c>
      <c r="C17">
        <f ca="1">VLOOKUP(B17,dados!A$23:E$422,5,0)</f>
        <v>21</v>
      </c>
      <c r="E17">
        <v>14</v>
      </c>
      <c r="F17">
        <v>12.090909090909092</v>
      </c>
      <c r="G17">
        <v>12.65</v>
      </c>
      <c r="H17">
        <v>14.5</v>
      </c>
      <c r="I17">
        <v>15.22</v>
      </c>
      <c r="Q17">
        <v>0.75</v>
      </c>
      <c r="R17">
        <f>R7</f>
        <v>13.818181818181818</v>
      </c>
      <c r="S17">
        <f t="shared" si="0"/>
        <v>1.75</v>
      </c>
      <c r="T17">
        <f>T7</f>
        <v>13.925000000000001</v>
      </c>
      <c r="U17">
        <f t="shared" si="0"/>
        <v>2.75</v>
      </c>
      <c r="V17">
        <f>V7</f>
        <v>14</v>
      </c>
      <c r="W17">
        <f t="shared" si="0"/>
        <v>3.75</v>
      </c>
      <c r="X17">
        <f>X7</f>
        <v>14.04</v>
      </c>
      <c r="Z17">
        <v>1</v>
      </c>
      <c r="AA17" t="e">
        <f t="array" ref="AA17">IF(OR(F17&lt;L$3,F17&gt;L$7),F17,#N/A)</f>
        <v>#N/A</v>
      </c>
      <c r="AB17">
        <f t="shared" si="1"/>
        <v>2</v>
      </c>
      <c r="AC17" t="e">
        <f t="array" ref="AC17">IF(OR(G17&lt;M$3,G17&gt;M$7),G17,#N/A)</f>
        <v>#N/A</v>
      </c>
      <c r="AD17">
        <f t="shared" si="1"/>
        <v>3</v>
      </c>
      <c r="AE17" t="e">
        <f t="array" ref="AE17">IF(OR(H17&lt;N$3,H17&gt;N$7),H17,#N/A)</f>
        <v>#N/A</v>
      </c>
      <c r="AF17">
        <f t="shared" si="1"/>
        <v>4</v>
      </c>
      <c r="AG17" t="e">
        <f t="array" ref="AG17">IF(OR(I17&lt;O$3,I17&gt;O$7),I17,#N/A)</f>
        <v>#N/A</v>
      </c>
    </row>
    <row r="18" spans="1:33" x14ac:dyDescent="0.25">
      <c r="A18">
        <v>17</v>
      </c>
      <c r="B18">
        <f ca="1">SMALL(dados!A$23:A$422,A18)</f>
        <v>4.329939580710207E-2</v>
      </c>
      <c r="C18">
        <f ca="1">VLOOKUP(B18,dados!A$23:E$422,5,0)</f>
        <v>20</v>
      </c>
      <c r="E18">
        <v>15</v>
      </c>
      <c r="F18">
        <v>13.636363636363637</v>
      </c>
      <c r="G18">
        <v>15.55</v>
      </c>
      <c r="H18">
        <v>14.84</v>
      </c>
      <c r="I18">
        <v>14.39</v>
      </c>
      <c r="Q18">
        <v>1.25</v>
      </c>
      <c r="R18">
        <f>R17</f>
        <v>13.818181818181818</v>
      </c>
      <c r="S18">
        <f t="shared" si="0"/>
        <v>2.25</v>
      </c>
      <c r="T18">
        <f>T17</f>
        <v>13.925000000000001</v>
      </c>
      <c r="U18">
        <f t="shared" si="0"/>
        <v>3.25</v>
      </c>
      <c r="V18">
        <f>V17</f>
        <v>14</v>
      </c>
      <c r="W18">
        <f t="shared" si="0"/>
        <v>4.25</v>
      </c>
      <c r="X18">
        <f>X17</f>
        <v>14.04</v>
      </c>
      <c r="Z18">
        <v>1</v>
      </c>
      <c r="AA18" t="e">
        <f t="array" ref="AA18">IF(OR(F18&lt;L$3,F18&gt;L$7),F18,#N/A)</f>
        <v>#N/A</v>
      </c>
      <c r="AB18">
        <f t="shared" si="1"/>
        <v>2</v>
      </c>
      <c r="AC18" t="e">
        <f t="array" ref="AC18">IF(OR(G18&lt;M$3,G18&gt;M$7),G18,#N/A)</f>
        <v>#N/A</v>
      </c>
      <c r="AD18">
        <f t="shared" si="1"/>
        <v>3</v>
      </c>
      <c r="AE18" t="e">
        <f t="array" ref="AE18">IF(OR(H18&lt;N$3,H18&gt;N$7),H18,#N/A)</f>
        <v>#N/A</v>
      </c>
      <c r="AF18">
        <f t="shared" si="1"/>
        <v>4</v>
      </c>
      <c r="AG18" t="e">
        <f t="array" ref="AG18">IF(OR(I18&lt;O$3,I18&gt;O$7),I18,#N/A)</f>
        <v>#N/A</v>
      </c>
    </row>
    <row r="19" spans="1:33" x14ac:dyDescent="0.25">
      <c r="A19">
        <v>18</v>
      </c>
      <c r="B19">
        <f ca="1">SMALL(dados!A$23:A$422,A19)</f>
        <v>4.711443708104579E-2</v>
      </c>
      <c r="C19">
        <f ca="1">VLOOKUP(B19,dados!A$23:E$422,5,0)</f>
        <v>11</v>
      </c>
      <c r="E19">
        <v>16</v>
      </c>
      <c r="F19">
        <v>14.909090909090908</v>
      </c>
      <c r="G19">
        <v>12.7</v>
      </c>
      <c r="H19">
        <v>12.6</v>
      </c>
      <c r="I19">
        <v>13.39</v>
      </c>
      <c r="Q19">
        <v>1.25</v>
      </c>
      <c r="R19">
        <f>R5</f>
        <v>15.454545454545455</v>
      </c>
      <c r="S19">
        <f t="shared" si="0"/>
        <v>2.25</v>
      </c>
      <c r="T19">
        <f>T5</f>
        <v>15.15</v>
      </c>
      <c r="U19">
        <f t="shared" si="0"/>
        <v>3.25</v>
      </c>
      <c r="V19">
        <f>V5</f>
        <v>14.74</v>
      </c>
      <c r="W19">
        <f t="shared" si="0"/>
        <v>4.25</v>
      </c>
      <c r="X19">
        <f>X5</f>
        <v>14.49</v>
      </c>
      <c r="Z19">
        <v>1</v>
      </c>
      <c r="AA19" t="e">
        <f t="array" ref="AA19">IF(OR(F19&lt;L$3,F19&gt;L$7),F19,#N/A)</f>
        <v>#N/A</v>
      </c>
      <c r="AB19">
        <f t="shared" si="1"/>
        <v>2</v>
      </c>
      <c r="AC19" t="e">
        <f t="array" ref="AC19">IF(OR(G19&lt;M$3,G19&gt;M$7),G19,#N/A)</f>
        <v>#N/A</v>
      </c>
      <c r="AD19">
        <f t="shared" si="1"/>
        <v>3</v>
      </c>
      <c r="AE19" t="e">
        <f t="array" ref="AE19">IF(OR(H19&lt;N$3,H19&gt;N$7),H19,#N/A)</f>
        <v>#N/A</v>
      </c>
      <c r="AF19">
        <f t="shared" si="1"/>
        <v>4</v>
      </c>
      <c r="AG19" t="e">
        <f t="array" ref="AG19">IF(OR(I19&lt;O$3,I19&gt;O$7),I19,#N/A)</f>
        <v>#N/A</v>
      </c>
    </row>
    <row r="20" spans="1:33" x14ac:dyDescent="0.25">
      <c r="A20">
        <v>19</v>
      </c>
      <c r="B20">
        <f ca="1">SMALL(dados!A$23:A$422,A20)</f>
        <v>4.8803967634105661E-2</v>
      </c>
      <c r="C20">
        <f ca="1">VLOOKUP(B20,dados!A$23:E$422,5,0)</f>
        <v>15</v>
      </c>
      <c r="E20">
        <v>17</v>
      </c>
      <c r="F20">
        <v>11.545454545454545</v>
      </c>
      <c r="G20">
        <v>12.4</v>
      </c>
      <c r="H20">
        <v>13.76</v>
      </c>
      <c r="I20">
        <v>14.35</v>
      </c>
      <c r="Q20">
        <v>1</v>
      </c>
      <c r="R20">
        <f>R19</f>
        <v>15.454545454545455</v>
      </c>
      <c r="S20">
        <f t="shared" si="0"/>
        <v>2</v>
      </c>
      <c r="T20">
        <f>T19</f>
        <v>15.15</v>
      </c>
      <c r="U20">
        <f t="shared" si="0"/>
        <v>3</v>
      </c>
      <c r="V20">
        <f>V19</f>
        <v>14.74</v>
      </c>
      <c r="W20">
        <f t="shared" si="0"/>
        <v>4</v>
      </c>
      <c r="X20">
        <f>X19</f>
        <v>14.49</v>
      </c>
      <c r="Z20">
        <v>1</v>
      </c>
      <c r="AA20" t="e">
        <f t="array" ref="AA20">IF(OR(F20&lt;L$3,F20&gt;L$7),F20,#N/A)</f>
        <v>#N/A</v>
      </c>
      <c r="AB20">
        <f t="shared" si="1"/>
        <v>2</v>
      </c>
      <c r="AC20" t="e">
        <f t="array" ref="AC20">IF(OR(G20&lt;M$3,G20&gt;M$7),G20,#N/A)</f>
        <v>#N/A</v>
      </c>
      <c r="AD20">
        <f t="shared" si="1"/>
        <v>3</v>
      </c>
      <c r="AE20" t="e">
        <f t="array" ref="AE20">IF(OR(H20&lt;N$3,H20&gt;N$7),H20,#N/A)</f>
        <v>#N/A</v>
      </c>
      <c r="AF20">
        <f t="shared" si="1"/>
        <v>4</v>
      </c>
      <c r="AG20" t="e">
        <f t="array" ref="AG20">IF(OR(I20&lt;O$3,I20&gt;O$7),I20,#N/A)</f>
        <v>#N/A</v>
      </c>
    </row>
    <row r="21" spans="1:33" x14ac:dyDescent="0.25">
      <c r="A21">
        <v>20</v>
      </c>
      <c r="B21">
        <f ca="1">SMALL(dados!A$23:A$422,A21)</f>
        <v>4.9208211335303842E-2</v>
      </c>
      <c r="C21">
        <f ca="1">VLOOKUP(B21,dados!A$23:E$422,5,0)</f>
        <v>5</v>
      </c>
      <c r="E21">
        <v>18</v>
      </c>
      <c r="F21">
        <v>13.818181818181818</v>
      </c>
      <c r="G21">
        <v>15.7</v>
      </c>
      <c r="H21">
        <v>14.46</v>
      </c>
      <c r="I21">
        <v>14.82</v>
      </c>
      <c r="Q21">
        <v>1</v>
      </c>
      <c r="R21">
        <f>R3</f>
        <v>20</v>
      </c>
      <c r="S21">
        <f t="shared" si="0"/>
        <v>2</v>
      </c>
      <c r="T21">
        <f>T3</f>
        <v>18.45</v>
      </c>
      <c r="U21">
        <f t="shared" si="0"/>
        <v>3</v>
      </c>
      <c r="V21">
        <f>V3</f>
        <v>16.86</v>
      </c>
      <c r="W21">
        <f t="shared" si="0"/>
        <v>4</v>
      </c>
      <c r="X21">
        <f>X3</f>
        <v>15.75</v>
      </c>
      <c r="Z21">
        <v>1</v>
      </c>
      <c r="AA21" t="e">
        <f t="array" ref="AA21">IF(OR(F21&lt;L$3,F21&gt;L$7),F21,#N/A)</f>
        <v>#N/A</v>
      </c>
      <c r="AB21">
        <f t="shared" si="1"/>
        <v>2</v>
      </c>
      <c r="AC21" t="e">
        <f t="array" ref="AC21">IF(OR(G21&lt;M$3,G21&gt;M$7),G21,#N/A)</f>
        <v>#N/A</v>
      </c>
      <c r="AD21">
        <f t="shared" si="1"/>
        <v>3</v>
      </c>
      <c r="AE21" t="e">
        <f t="array" ref="AE21">IF(OR(H21&lt;N$3,H21&gt;N$7),H21,#N/A)</f>
        <v>#N/A</v>
      </c>
      <c r="AF21">
        <f t="shared" si="1"/>
        <v>4</v>
      </c>
      <c r="AG21" t="e">
        <f t="array" ref="AG21">IF(OR(I21&lt;O$3,I21&gt;O$7),I21,#N/A)</f>
        <v>#N/A</v>
      </c>
    </row>
    <row r="22" spans="1:33" x14ac:dyDescent="0.25">
      <c r="A22">
        <v>21</v>
      </c>
      <c r="B22">
        <f ca="1">SMALL(dados!A$23:A$422,A22)</f>
        <v>5.6803862496040636E-2</v>
      </c>
      <c r="C22">
        <f ca="1">VLOOKUP(B22,dados!A$23:E$422,5,0)</f>
        <v>17</v>
      </c>
      <c r="E22">
        <v>19</v>
      </c>
      <c r="F22">
        <v>15.818181818181818</v>
      </c>
      <c r="G22">
        <v>18.100000000000001</v>
      </c>
      <c r="H22">
        <v>15.08</v>
      </c>
      <c r="I22">
        <v>14.56</v>
      </c>
      <c r="Q22">
        <v>1.25</v>
      </c>
      <c r="R22">
        <f>R3</f>
        <v>20</v>
      </c>
      <c r="S22">
        <f t="shared" si="0"/>
        <v>2.25</v>
      </c>
      <c r="T22">
        <f>T3</f>
        <v>18.45</v>
      </c>
      <c r="U22">
        <f t="shared" si="0"/>
        <v>3.25</v>
      </c>
      <c r="V22">
        <f>V3</f>
        <v>16.86</v>
      </c>
      <c r="W22">
        <f t="shared" si="0"/>
        <v>4.25</v>
      </c>
      <c r="X22">
        <f>X3</f>
        <v>15.75</v>
      </c>
      <c r="Z22">
        <v>1</v>
      </c>
      <c r="AA22" t="e">
        <f t="array" ref="AA22">IF(OR(F22&lt;L$3,F22&gt;L$7),F22,#N/A)</f>
        <v>#N/A</v>
      </c>
      <c r="AB22">
        <f t="shared" si="1"/>
        <v>2</v>
      </c>
      <c r="AC22" t="e">
        <f t="array" ref="AC22">IF(OR(G22&lt;M$3,G22&gt;M$7),G22,#N/A)</f>
        <v>#N/A</v>
      </c>
      <c r="AD22">
        <f t="shared" si="1"/>
        <v>3</v>
      </c>
      <c r="AE22" t="e">
        <f t="array" ref="AE22">IF(OR(H22&lt;N$3,H22&gt;N$7),H22,#N/A)</f>
        <v>#N/A</v>
      </c>
      <c r="AF22">
        <f t="shared" si="1"/>
        <v>4</v>
      </c>
      <c r="AG22" t="e">
        <f t="array" ref="AG22">IF(OR(I22&lt;O$3,I22&gt;O$7),I22,#N/A)</f>
        <v>#N/A</v>
      </c>
    </row>
    <row r="23" spans="1:33" x14ac:dyDescent="0.25">
      <c r="A23">
        <v>22</v>
      </c>
      <c r="B23">
        <f ca="1">SMALL(dados!A$23:A$422,A23)</f>
        <v>6.09724811828396E-2</v>
      </c>
      <c r="C23">
        <f ca="1">VLOOKUP(B23,dados!A$23:E$422,5,0)</f>
        <v>35</v>
      </c>
      <c r="E23">
        <v>20</v>
      </c>
      <c r="F23">
        <v>13.818181818181818</v>
      </c>
      <c r="G23">
        <v>14.05</v>
      </c>
      <c r="H23">
        <v>14</v>
      </c>
      <c r="I23">
        <v>14.08</v>
      </c>
      <c r="Z23">
        <v>1</v>
      </c>
      <c r="AA23" t="e">
        <f t="array" ref="AA23">IF(OR(F23&lt;L$3,F23&gt;L$7),F23,#N/A)</f>
        <v>#N/A</v>
      </c>
      <c r="AB23">
        <f t="shared" si="1"/>
        <v>2</v>
      </c>
      <c r="AC23" t="e">
        <f t="array" ref="AC23">IF(OR(G23&lt;M$3,G23&gt;M$7),G23,#N/A)</f>
        <v>#N/A</v>
      </c>
      <c r="AD23">
        <f t="shared" si="1"/>
        <v>3</v>
      </c>
      <c r="AE23" t="e">
        <f t="array" ref="AE23">IF(OR(H23&lt;N$3,H23&gt;N$7),H23,#N/A)</f>
        <v>#N/A</v>
      </c>
      <c r="AF23">
        <f t="shared" si="1"/>
        <v>4</v>
      </c>
      <c r="AG23" t="e">
        <f t="array" ref="AG23">IF(OR(I23&lt;O$3,I23&gt;O$7),I23,#N/A)</f>
        <v>#N/A</v>
      </c>
    </row>
    <row r="24" spans="1:33" x14ac:dyDescent="0.25">
      <c r="A24">
        <v>23</v>
      </c>
      <c r="B24">
        <f ca="1">SMALL(dados!A$23:A$422,A24)</f>
        <v>6.6785324289067027E-2</v>
      </c>
      <c r="C24">
        <f ca="1">VLOOKUP(B24,dados!A$23:E$422,5,0)</f>
        <v>14</v>
      </c>
      <c r="E24">
        <v>21</v>
      </c>
      <c r="F24">
        <v>15.545454545454545</v>
      </c>
      <c r="G24">
        <v>17.25</v>
      </c>
      <c r="H24">
        <v>15.58</v>
      </c>
      <c r="I24">
        <v>14.68</v>
      </c>
      <c r="Z24">
        <v>1</v>
      </c>
      <c r="AA24" t="e">
        <f t="array" ref="AA24">IF(OR(F24&lt;L$3,F24&gt;L$7),F24,#N/A)</f>
        <v>#N/A</v>
      </c>
      <c r="AB24">
        <f t="shared" si="1"/>
        <v>2</v>
      </c>
      <c r="AC24" t="e">
        <f t="array" ref="AC24">IF(OR(G24&lt;M$3,G24&gt;M$7),G24,#N/A)</f>
        <v>#N/A</v>
      </c>
      <c r="AD24">
        <f t="shared" si="1"/>
        <v>3</v>
      </c>
      <c r="AE24" t="e">
        <f t="array" ref="AE24">IF(OR(H24&lt;N$3,H24&gt;N$7),H24,#N/A)</f>
        <v>#N/A</v>
      </c>
      <c r="AF24">
        <f t="shared" si="1"/>
        <v>4</v>
      </c>
      <c r="AG24" t="e">
        <f t="array" ref="AG24">IF(OR(I24&lt;O$3,I24&gt;O$7),I24,#N/A)</f>
        <v>#N/A</v>
      </c>
    </row>
    <row r="25" spans="1:33" x14ac:dyDescent="0.25">
      <c r="A25">
        <v>24</v>
      </c>
      <c r="B25">
        <f ca="1">SMALL(dados!A$23:A$422,A25)</f>
        <v>6.6839327607306598E-2</v>
      </c>
      <c r="C25">
        <f ca="1">VLOOKUP(B25,dados!A$23:E$422,5,0)</f>
        <v>16</v>
      </c>
      <c r="E25">
        <v>22</v>
      </c>
      <c r="F25">
        <v>15.818181818181818</v>
      </c>
      <c r="G25">
        <v>15.4</v>
      </c>
      <c r="H25">
        <v>15.22</v>
      </c>
      <c r="I25">
        <v>14.77</v>
      </c>
      <c r="Z25">
        <v>1</v>
      </c>
      <c r="AA25" t="e">
        <f t="array" ref="AA25">IF(OR(F25&lt;L$3,F25&gt;L$7),F25,#N/A)</f>
        <v>#N/A</v>
      </c>
      <c r="AB25">
        <f t="shared" si="1"/>
        <v>2</v>
      </c>
      <c r="AC25" t="e">
        <f t="array" ref="AC25">IF(OR(G25&lt;M$3,G25&gt;M$7),G25,#N/A)</f>
        <v>#N/A</v>
      </c>
      <c r="AD25">
        <f t="shared" si="1"/>
        <v>3</v>
      </c>
      <c r="AE25" t="e">
        <f t="array" ref="AE25">IF(OR(H25&lt;N$3,H25&gt;N$7),H25,#N/A)</f>
        <v>#N/A</v>
      </c>
      <c r="AF25">
        <f t="shared" si="1"/>
        <v>4</v>
      </c>
      <c r="AG25" t="e">
        <f t="array" ref="AG25">IF(OR(I25&lt;O$3,I25&gt;O$7),I25,#N/A)</f>
        <v>#N/A</v>
      </c>
    </row>
    <row r="26" spans="1:33" x14ac:dyDescent="0.25">
      <c r="A26">
        <v>25</v>
      </c>
      <c r="B26">
        <f ca="1">SMALL(dados!A$23:A$422,A26)</f>
        <v>6.7138792485729182E-2</v>
      </c>
      <c r="C26">
        <f ca="1">VLOOKUP(B26,dados!A$23:E$422,5,0)</f>
        <v>13</v>
      </c>
      <c r="E26">
        <v>23</v>
      </c>
      <c r="F26">
        <v>12.363636363636363</v>
      </c>
      <c r="G26">
        <v>13.75</v>
      </c>
      <c r="H26">
        <v>13.3</v>
      </c>
      <c r="I26">
        <v>13.6</v>
      </c>
      <c r="Z26">
        <v>1</v>
      </c>
      <c r="AA26" t="e">
        <f t="array" ref="AA26">IF(OR(F26&lt;L$3,F26&gt;L$7),F26,#N/A)</f>
        <v>#N/A</v>
      </c>
      <c r="AB26">
        <f t="shared" si="1"/>
        <v>2</v>
      </c>
      <c r="AC26" t="e">
        <f t="array" ref="AC26">IF(OR(G26&lt;M$3,G26&gt;M$7),G26,#N/A)</f>
        <v>#N/A</v>
      </c>
      <c r="AD26">
        <f t="shared" si="1"/>
        <v>3</v>
      </c>
      <c r="AE26" t="e">
        <f t="array" ref="AE26">IF(OR(H26&lt;N$3,H26&gt;N$7),H26,#N/A)</f>
        <v>#N/A</v>
      </c>
      <c r="AF26">
        <f t="shared" si="1"/>
        <v>4</v>
      </c>
      <c r="AG26" t="e">
        <f t="array" ref="AG26">IF(OR(I26&lt;O$3,I26&gt;O$7),I26,#N/A)</f>
        <v>#N/A</v>
      </c>
    </row>
    <row r="27" spans="1:33" x14ac:dyDescent="0.25">
      <c r="A27">
        <v>26</v>
      </c>
      <c r="B27">
        <f ca="1">SMALL(dados!A$23:A$422,A27)</f>
        <v>6.7823811135879319E-2</v>
      </c>
      <c r="C27">
        <f ca="1">VLOOKUP(B27,dados!A$23:E$422,5,0)</f>
        <v>13</v>
      </c>
      <c r="E27">
        <v>24</v>
      </c>
      <c r="F27">
        <v>12.727272727272727</v>
      </c>
      <c r="G27">
        <v>13.45</v>
      </c>
      <c r="H27">
        <v>13.08</v>
      </c>
      <c r="I27">
        <v>12.44</v>
      </c>
      <c r="Z27">
        <v>1</v>
      </c>
      <c r="AA27" t="e">
        <f t="array" ref="AA27">IF(OR(F27&lt;L$3,F27&gt;L$7),F27,#N/A)</f>
        <v>#N/A</v>
      </c>
      <c r="AB27">
        <f t="shared" si="1"/>
        <v>2</v>
      </c>
      <c r="AC27" t="e">
        <f t="array" ref="AC27">IF(OR(G27&lt;M$3,G27&gt;M$7),G27,#N/A)</f>
        <v>#N/A</v>
      </c>
      <c r="AD27">
        <f t="shared" si="1"/>
        <v>3</v>
      </c>
      <c r="AE27" t="e">
        <f t="array" ref="AE27">IF(OR(H27&lt;N$3,H27&gt;N$7),H27,#N/A)</f>
        <v>#N/A</v>
      </c>
      <c r="AF27">
        <f t="shared" si="1"/>
        <v>4</v>
      </c>
      <c r="AG27" t="e">
        <f t="array" ref="AG27">IF(OR(I27&lt;O$3,I27&gt;O$7),I27,#N/A)</f>
        <v>#N/A</v>
      </c>
    </row>
    <row r="28" spans="1:33" x14ac:dyDescent="0.25">
      <c r="A28">
        <v>27</v>
      </c>
      <c r="B28">
        <f ca="1">SMALL(dados!A$23:A$422,A28)</f>
        <v>6.8090290212815763E-2</v>
      </c>
      <c r="C28">
        <f ca="1">VLOOKUP(B28,dados!A$23:E$422,5,0)</f>
        <v>14</v>
      </c>
      <c r="E28">
        <v>25</v>
      </c>
      <c r="F28">
        <v>10.272727272727273</v>
      </c>
      <c r="G28">
        <v>12.05</v>
      </c>
      <c r="H28">
        <v>12.5</v>
      </c>
      <c r="I28">
        <v>13.24</v>
      </c>
      <c r="Z28">
        <v>1</v>
      </c>
      <c r="AA28" t="e">
        <f t="array" ref="AA28">IF(OR(F28&lt;L$3,F28&gt;L$7),F28,#N/A)</f>
        <v>#N/A</v>
      </c>
      <c r="AB28">
        <f t="shared" si="1"/>
        <v>2</v>
      </c>
      <c r="AC28" t="e">
        <f t="array" ref="AC28">IF(OR(G28&lt;M$3,G28&gt;M$7),G28,#N/A)</f>
        <v>#N/A</v>
      </c>
      <c r="AD28">
        <f t="shared" si="1"/>
        <v>3</v>
      </c>
      <c r="AE28" t="e">
        <f t="array" ref="AE28">IF(OR(H28&lt;N$3,H28&gt;N$7),H28,#N/A)</f>
        <v>#N/A</v>
      </c>
      <c r="AF28">
        <f t="shared" si="1"/>
        <v>4</v>
      </c>
      <c r="AG28" t="e">
        <f t="array" ref="AG28">IF(OR(I28&lt;O$3,I28&gt;O$7),I28,#N/A)</f>
        <v>#N/A</v>
      </c>
    </row>
    <row r="29" spans="1:33" x14ac:dyDescent="0.25">
      <c r="A29">
        <v>28</v>
      </c>
      <c r="B29">
        <f ca="1">SMALL(dados!A$23:A$422,A29)</f>
        <v>6.9020493680385098E-2</v>
      </c>
      <c r="C29">
        <f ca="1">VLOOKUP(B29,dados!A$23:E$422,5,0)</f>
        <v>9</v>
      </c>
      <c r="E29">
        <v>26</v>
      </c>
      <c r="F29">
        <v>13.454545454545455</v>
      </c>
      <c r="G29">
        <v>13.6</v>
      </c>
      <c r="H29">
        <v>13.7</v>
      </c>
      <c r="I29">
        <v>14.66</v>
      </c>
      <c r="Z29">
        <v>1</v>
      </c>
      <c r="AA29" t="e">
        <f t="array" ref="AA29">IF(OR(F29&lt;L$3,F29&gt;L$7),F29,#N/A)</f>
        <v>#N/A</v>
      </c>
      <c r="AB29">
        <f t="shared" si="1"/>
        <v>2</v>
      </c>
      <c r="AC29" t="e">
        <f t="array" ref="AC29">IF(OR(G29&lt;M$3,G29&gt;M$7),G29,#N/A)</f>
        <v>#N/A</v>
      </c>
      <c r="AD29">
        <f t="shared" si="1"/>
        <v>3</v>
      </c>
      <c r="AE29" t="e">
        <f t="array" ref="AE29">IF(OR(H29&lt;N$3,H29&gt;N$7),H29,#N/A)</f>
        <v>#N/A</v>
      </c>
      <c r="AF29">
        <f t="shared" si="1"/>
        <v>4</v>
      </c>
      <c r="AG29" t="e">
        <f t="array" ref="AG29">IF(OR(I29&lt;O$3,I29&gt;O$7),I29,#N/A)</f>
        <v>#N/A</v>
      </c>
    </row>
    <row r="30" spans="1:33" x14ac:dyDescent="0.25">
      <c r="A30">
        <v>29</v>
      </c>
      <c r="B30">
        <f ca="1">SMALL(dados!A$23:A$422,A30)</f>
        <v>7.1655917376807099E-2</v>
      </c>
      <c r="C30">
        <f ca="1">VLOOKUP(B30,dados!A$23:E$422,5,0)</f>
        <v>8</v>
      </c>
      <c r="E30">
        <v>27</v>
      </c>
      <c r="F30">
        <v>15.272727272727273</v>
      </c>
      <c r="G30">
        <v>15.55</v>
      </c>
      <c r="H30">
        <v>13.84</v>
      </c>
      <c r="I30">
        <v>14.09</v>
      </c>
      <c r="Z30">
        <v>1</v>
      </c>
      <c r="AA30" t="e">
        <f t="array" ref="AA30">IF(OR(F30&lt;L$3,F30&gt;L$7),F30,#N/A)</f>
        <v>#N/A</v>
      </c>
      <c r="AB30">
        <f t="shared" si="1"/>
        <v>2</v>
      </c>
      <c r="AC30" t="e">
        <f t="array" ref="AC30">IF(OR(G30&lt;M$3,G30&gt;M$7),G30,#N/A)</f>
        <v>#N/A</v>
      </c>
      <c r="AD30">
        <f t="shared" si="1"/>
        <v>3</v>
      </c>
      <c r="AE30" t="e">
        <f t="array" ref="AE30">IF(OR(H30&lt;N$3,H30&gt;N$7),H30,#N/A)</f>
        <v>#N/A</v>
      </c>
      <c r="AF30">
        <f t="shared" si="1"/>
        <v>4</v>
      </c>
      <c r="AG30" t="e">
        <f t="array" ref="AG30">IF(OR(I30&lt;O$3,I30&gt;O$7),I30,#N/A)</f>
        <v>#N/A</v>
      </c>
    </row>
    <row r="31" spans="1:33" x14ac:dyDescent="0.25">
      <c r="A31">
        <v>30</v>
      </c>
      <c r="B31">
        <f ca="1">SMALL(dados!A$23:A$422,A31)</f>
        <v>7.2901778148769303E-2</v>
      </c>
      <c r="C31">
        <f ca="1">VLOOKUP(B31,dados!A$23:E$422,5,0)</f>
        <v>13</v>
      </c>
      <c r="E31">
        <v>28</v>
      </c>
      <c r="F31">
        <v>11.181818181818182</v>
      </c>
      <c r="G31">
        <v>12.2</v>
      </c>
      <c r="H31">
        <v>11.64</v>
      </c>
      <c r="I31">
        <v>12.91</v>
      </c>
      <c r="Z31">
        <v>1</v>
      </c>
      <c r="AA31" t="e">
        <f t="array" ref="AA31">IF(OR(F31&lt;L$3,F31&gt;L$7),F31,#N/A)</f>
        <v>#N/A</v>
      </c>
      <c r="AB31">
        <f t="shared" si="1"/>
        <v>2</v>
      </c>
      <c r="AC31" t="e">
        <f t="array" ref="AC31">IF(OR(G31&lt;M$3,G31&gt;M$7),G31,#N/A)</f>
        <v>#N/A</v>
      </c>
      <c r="AD31">
        <f t="shared" si="1"/>
        <v>3</v>
      </c>
      <c r="AE31" t="e">
        <f t="array" ref="AE31">IF(OR(H31&lt;N$3,H31&gt;N$7),H31,#N/A)</f>
        <v>#N/A</v>
      </c>
      <c r="AF31">
        <f t="shared" si="1"/>
        <v>4</v>
      </c>
      <c r="AG31" t="e">
        <f t="array" ref="AG31">IF(OR(I31&lt;O$3,I31&gt;O$7),I31,#N/A)</f>
        <v>#N/A</v>
      </c>
    </row>
    <row r="32" spans="1:33" x14ac:dyDescent="0.25">
      <c r="A32">
        <v>31</v>
      </c>
      <c r="B32">
        <f ca="1">SMALL(dados!A$23:A$422,A32)</f>
        <v>7.5074353149789608E-2</v>
      </c>
      <c r="C32">
        <f ca="1">VLOOKUP(B32,dados!A$23:E$422,5,0)</f>
        <v>9</v>
      </c>
      <c r="E32">
        <v>29</v>
      </c>
      <c r="F32">
        <v>9.9090909090909083</v>
      </c>
      <c r="G32">
        <v>11.5</v>
      </c>
      <c r="H32">
        <v>12.94</v>
      </c>
      <c r="I32">
        <v>12.91</v>
      </c>
      <c r="Z32">
        <v>1</v>
      </c>
      <c r="AA32" t="e">
        <f t="array" ref="AA32">IF(OR(F32&lt;L$3,F32&gt;L$7),F32,#N/A)</f>
        <v>#N/A</v>
      </c>
      <c r="AB32">
        <f t="shared" si="1"/>
        <v>2</v>
      </c>
      <c r="AC32" t="e">
        <f t="array" ref="AC32">IF(OR(G32&lt;M$3,G32&gt;M$7),G32,#N/A)</f>
        <v>#N/A</v>
      </c>
      <c r="AD32">
        <f t="shared" si="1"/>
        <v>3</v>
      </c>
      <c r="AE32" t="e">
        <f t="array" ref="AE32">IF(OR(H32&lt;N$3,H32&gt;N$7),H32,#N/A)</f>
        <v>#N/A</v>
      </c>
      <c r="AF32">
        <f t="shared" si="1"/>
        <v>4</v>
      </c>
      <c r="AG32" t="e">
        <f t="array" ref="AG32">IF(OR(I32&lt;O$3,I32&gt;O$7),I32,#N/A)</f>
        <v>#N/A</v>
      </c>
    </row>
    <row r="33" spans="1:33" x14ac:dyDescent="0.25">
      <c r="A33">
        <v>32</v>
      </c>
      <c r="B33">
        <f ca="1">SMALL(dados!A$23:A$422,A33)</f>
        <v>7.7291017004511797E-2</v>
      </c>
      <c r="C33">
        <f ca="1">VLOOKUP(B33,dados!A$23:E$422,5,0)</f>
        <v>7</v>
      </c>
      <c r="E33">
        <v>30</v>
      </c>
      <c r="F33">
        <v>13.636363636363637</v>
      </c>
      <c r="G33">
        <v>13.2</v>
      </c>
      <c r="H33">
        <v>13.46</v>
      </c>
      <c r="I33">
        <v>13.16</v>
      </c>
      <c r="Z33">
        <v>1</v>
      </c>
      <c r="AA33" t="e">
        <f t="array" ref="AA33">IF(OR(F33&lt;L$3,F33&gt;L$7),F33,#N/A)</f>
        <v>#N/A</v>
      </c>
      <c r="AB33">
        <f t="shared" si="1"/>
        <v>2</v>
      </c>
      <c r="AC33" t="e">
        <f t="array" ref="AC33">IF(OR(G33&lt;M$3,G33&gt;M$7),G33,#N/A)</f>
        <v>#N/A</v>
      </c>
      <c r="AD33">
        <f t="shared" si="1"/>
        <v>3</v>
      </c>
      <c r="AE33" t="e">
        <f t="array" ref="AE33">IF(OR(H33&lt;N$3,H33&gt;N$7),H33,#N/A)</f>
        <v>#N/A</v>
      </c>
      <c r="AF33">
        <f t="shared" si="1"/>
        <v>4</v>
      </c>
      <c r="AG33" t="e">
        <f t="array" ref="AG33">IF(OR(I33&lt;O$3,I33&gt;O$7),I33,#N/A)</f>
        <v>#N/A</v>
      </c>
    </row>
    <row r="34" spans="1:33" x14ac:dyDescent="0.25">
      <c r="A34">
        <v>33</v>
      </c>
      <c r="B34">
        <f ca="1">SMALL(dados!A$23:A$422,A34)</f>
        <v>7.8838512235822389E-2</v>
      </c>
      <c r="C34">
        <f ca="1">VLOOKUP(B34,dados!A$23:E$422,5,0)</f>
        <v>22</v>
      </c>
      <c r="E34">
        <v>31</v>
      </c>
      <c r="F34">
        <v>13.909090909090908</v>
      </c>
      <c r="G34">
        <v>14.3</v>
      </c>
      <c r="H34">
        <v>12.74</v>
      </c>
      <c r="I34">
        <v>13.35</v>
      </c>
      <c r="Z34">
        <v>1</v>
      </c>
      <c r="AA34" t="e">
        <f t="array" ref="AA34">IF(OR(F34&lt;L$3,F34&gt;L$7),F34,#N/A)</f>
        <v>#N/A</v>
      </c>
      <c r="AB34">
        <f t="shared" si="1"/>
        <v>2</v>
      </c>
      <c r="AC34" t="e">
        <f t="array" ref="AC34">IF(OR(G34&lt;M$3,G34&gt;M$7),G34,#N/A)</f>
        <v>#N/A</v>
      </c>
      <c r="AD34">
        <f t="shared" si="1"/>
        <v>3</v>
      </c>
      <c r="AE34" t="e">
        <f t="array" ref="AE34">IF(OR(H34&lt;N$3,H34&gt;N$7),H34,#N/A)</f>
        <v>#N/A</v>
      </c>
      <c r="AF34">
        <f t="shared" si="1"/>
        <v>4</v>
      </c>
      <c r="AG34" t="e">
        <f t="array" ref="AG34">IF(OR(I34&lt;O$3,I34&gt;O$7),I34,#N/A)</f>
        <v>#N/A</v>
      </c>
    </row>
    <row r="35" spans="1:33" x14ac:dyDescent="0.25">
      <c r="A35">
        <v>34</v>
      </c>
      <c r="B35">
        <f ca="1">SMALL(dados!A$23:A$422,A35)</f>
        <v>7.9938653416331107E-2</v>
      </c>
      <c r="C35">
        <f ca="1">VLOOKUP(B35,dados!A$23:E$422,5,0)</f>
        <v>26</v>
      </c>
      <c r="E35">
        <v>32</v>
      </c>
      <c r="F35">
        <v>13.909090909090908</v>
      </c>
      <c r="G35">
        <v>14</v>
      </c>
      <c r="H35">
        <v>13.12</v>
      </c>
      <c r="I35">
        <v>12.79</v>
      </c>
      <c r="Z35">
        <v>1</v>
      </c>
      <c r="AA35" t="e">
        <f t="array" ref="AA35">IF(OR(F35&lt;L$3,F35&gt;L$7),F35,#N/A)</f>
        <v>#N/A</v>
      </c>
      <c r="AB35">
        <f t="shared" si="1"/>
        <v>2</v>
      </c>
      <c r="AC35" t="e">
        <f t="array" ref="AC35">IF(OR(G35&lt;M$3,G35&gt;M$7),G35,#N/A)</f>
        <v>#N/A</v>
      </c>
      <c r="AD35">
        <f t="shared" si="1"/>
        <v>3</v>
      </c>
      <c r="AE35" t="e">
        <f t="array" ref="AE35">IF(OR(H35&lt;N$3,H35&gt;N$7),H35,#N/A)</f>
        <v>#N/A</v>
      </c>
      <c r="AF35">
        <f t="shared" si="1"/>
        <v>4</v>
      </c>
      <c r="AG35" t="e">
        <f t="array" ref="AG35">IF(OR(I35&lt;O$3,I35&gt;O$7),I35,#N/A)</f>
        <v>#N/A</v>
      </c>
    </row>
    <row r="36" spans="1:33" x14ac:dyDescent="0.25">
      <c r="A36">
        <v>35</v>
      </c>
      <c r="B36">
        <f ca="1">SMALL(dados!A$23:A$422,A36)</f>
        <v>8.0958210448473622E-2</v>
      </c>
      <c r="C36">
        <f ca="1">VLOOKUP(B36,dados!A$23:E$422,5,0)</f>
        <v>26</v>
      </c>
      <c r="E36">
        <v>33</v>
      </c>
      <c r="F36">
        <v>11.545454545454545</v>
      </c>
      <c r="G36">
        <v>15.2</v>
      </c>
      <c r="H36">
        <v>13.38</v>
      </c>
      <c r="I36">
        <v>13.77</v>
      </c>
      <c r="Z36">
        <v>1</v>
      </c>
      <c r="AA36" t="e">
        <f t="array" ref="AA36">IF(OR(F36&lt;L$3,F36&gt;L$7),F36,#N/A)</f>
        <v>#N/A</v>
      </c>
      <c r="AB36">
        <f t="shared" si="1"/>
        <v>2</v>
      </c>
      <c r="AC36" t="e">
        <f t="array" ref="AC36">IF(OR(G36&lt;M$3,G36&gt;M$7),G36,#N/A)</f>
        <v>#N/A</v>
      </c>
      <c r="AD36">
        <f t="shared" si="1"/>
        <v>3</v>
      </c>
      <c r="AE36" t="e">
        <f t="array" ref="AE36">IF(OR(H36&lt;N$3,H36&gt;N$7),H36,#N/A)</f>
        <v>#N/A</v>
      </c>
      <c r="AF36">
        <f t="shared" si="1"/>
        <v>4</v>
      </c>
      <c r="AG36" t="e">
        <f t="array" ref="AG36">IF(OR(I36&lt;O$3,I36&gt;O$7),I36,#N/A)</f>
        <v>#N/A</v>
      </c>
    </row>
    <row r="37" spans="1:33" x14ac:dyDescent="0.25">
      <c r="A37">
        <v>36</v>
      </c>
      <c r="B37">
        <f ca="1">SMALL(dados!A$23:A$422,A37)</f>
        <v>8.1405685658715865E-2</v>
      </c>
      <c r="C37">
        <f ca="1">VLOOKUP(B37,dados!A$23:E$422,5,0)</f>
        <v>7</v>
      </c>
      <c r="E37">
        <v>34</v>
      </c>
      <c r="F37">
        <v>11.545454545454545</v>
      </c>
      <c r="G37">
        <v>12.2</v>
      </c>
      <c r="H37">
        <v>15.4</v>
      </c>
      <c r="I37">
        <v>15.05</v>
      </c>
      <c r="Z37">
        <v>1</v>
      </c>
      <c r="AA37" t="e">
        <f t="array" ref="AA37">IF(OR(F37&lt;L$3,F37&gt;L$7),F37,#N/A)</f>
        <v>#N/A</v>
      </c>
      <c r="AB37">
        <f t="shared" si="1"/>
        <v>2</v>
      </c>
      <c r="AC37" t="e">
        <f t="array" ref="AC37">IF(OR(G37&lt;M$3,G37&gt;M$7),G37,#N/A)</f>
        <v>#N/A</v>
      </c>
      <c r="AD37">
        <f t="shared" si="1"/>
        <v>3</v>
      </c>
      <c r="AE37" t="e">
        <f t="array" ref="AE37">IF(OR(H37&lt;N$3,H37&gt;N$7),H37,#N/A)</f>
        <v>#N/A</v>
      </c>
      <c r="AF37">
        <f t="shared" si="1"/>
        <v>4</v>
      </c>
      <c r="AG37" t="e">
        <f t="array" ref="AG37">IF(OR(I37&lt;O$3,I37&gt;O$7),I37,#N/A)</f>
        <v>#N/A</v>
      </c>
    </row>
    <row r="38" spans="1:33" x14ac:dyDescent="0.25">
      <c r="A38">
        <v>37</v>
      </c>
      <c r="B38">
        <f ca="1">SMALL(dados!A$23:A$422,A38)</f>
        <v>8.5934123348682334E-2</v>
      </c>
      <c r="C38">
        <f ca="1">VLOOKUP(B38,dados!A$23:E$422,5,0)</f>
        <v>13</v>
      </c>
      <c r="E38">
        <v>35</v>
      </c>
      <c r="F38">
        <v>13.636363636363637</v>
      </c>
      <c r="G38">
        <v>15.55</v>
      </c>
      <c r="H38">
        <v>13.84</v>
      </c>
      <c r="I38">
        <v>14.38</v>
      </c>
      <c r="Z38">
        <v>1</v>
      </c>
      <c r="AA38" t="e">
        <f t="array" ref="AA38">IF(OR(F38&lt;L$3,F38&gt;L$7),F38,#N/A)</f>
        <v>#N/A</v>
      </c>
      <c r="AB38">
        <f t="shared" si="1"/>
        <v>2</v>
      </c>
      <c r="AC38" t="e">
        <f t="array" ref="AC38">IF(OR(G38&lt;M$3,G38&gt;M$7),G38,#N/A)</f>
        <v>#N/A</v>
      </c>
      <c r="AD38">
        <f t="shared" si="1"/>
        <v>3</v>
      </c>
      <c r="AE38" t="e">
        <f t="array" ref="AE38">IF(OR(H38&lt;N$3,H38&gt;N$7),H38,#N/A)</f>
        <v>#N/A</v>
      </c>
      <c r="AF38">
        <f t="shared" si="1"/>
        <v>4</v>
      </c>
      <c r="AG38" t="e">
        <f t="array" ref="AG38">IF(OR(I38&lt;O$3,I38&gt;O$7),I38,#N/A)</f>
        <v>#N/A</v>
      </c>
    </row>
    <row r="39" spans="1:33" x14ac:dyDescent="0.25">
      <c r="A39">
        <v>38</v>
      </c>
      <c r="B39">
        <f ca="1">SMALL(dados!A$23:A$422,A39)</f>
        <v>8.7089587450188577E-2</v>
      </c>
      <c r="C39">
        <f ca="1">VLOOKUP(B39,dados!A$23:E$422,5,0)</f>
        <v>33</v>
      </c>
      <c r="E39">
        <v>36</v>
      </c>
      <c r="F39">
        <v>15.818181818181818</v>
      </c>
      <c r="G39">
        <v>14.3</v>
      </c>
      <c r="H39">
        <v>14.88</v>
      </c>
      <c r="I39">
        <v>14.01</v>
      </c>
      <c r="Z39">
        <v>1</v>
      </c>
      <c r="AA39" t="e">
        <f t="array" ref="AA39">IF(OR(F39&lt;L$3,F39&gt;L$7),F39,#N/A)</f>
        <v>#N/A</v>
      </c>
      <c r="AB39">
        <f t="shared" si="1"/>
        <v>2</v>
      </c>
      <c r="AC39" t="e">
        <f t="array" ref="AC39">IF(OR(G39&lt;M$3,G39&gt;M$7),G39,#N/A)</f>
        <v>#N/A</v>
      </c>
      <c r="AD39">
        <f t="shared" si="1"/>
        <v>3</v>
      </c>
      <c r="AE39" t="e">
        <f t="array" ref="AE39">IF(OR(H39&lt;N$3,H39&gt;N$7),H39,#N/A)</f>
        <v>#N/A</v>
      </c>
      <c r="AF39">
        <f t="shared" si="1"/>
        <v>4</v>
      </c>
      <c r="AG39" t="e">
        <f t="array" ref="AG39">IF(OR(I39&lt;O$3,I39&gt;O$7),I39,#N/A)</f>
        <v>#N/A</v>
      </c>
    </row>
    <row r="40" spans="1:33" x14ac:dyDescent="0.25">
      <c r="A40">
        <v>39</v>
      </c>
      <c r="B40">
        <f ca="1">SMALL(dados!A$23:A$422,A40)</f>
        <v>8.8830341141663216E-2</v>
      </c>
      <c r="C40">
        <f ca="1">VLOOKUP(B40,dados!A$23:E$422,5,0)</f>
        <v>11</v>
      </c>
      <c r="E40">
        <v>37</v>
      </c>
      <c r="F40">
        <v>13.909090909090908</v>
      </c>
      <c r="G40">
        <v>14.15</v>
      </c>
      <c r="H40">
        <v>13.9</v>
      </c>
      <c r="I40">
        <v>14.76</v>
      </c>
      <c r="Z40">
        <v>1</v>
      </c>
      <c r="AA40" t="e">
        <f t="array" ref="AA40">IF(OR(F40&lt;L$3,F40&gt;L$7),F40,#N/A)</f>
        <v>#N/A</v>
      </c>
      <c r="AB40">
        <f t="shared" si="1"/>
        <v>2</v>
      </c>
      <c r="AC40" t="e">
        <f t="array" ref="AC40">IF(OR(G40&lt;M$3,G40&gt;M$7),G40,#N/A)</f>
        <v>#N/A</v>
      </c>
      <c r="AD40">
        <f t="shared" si="1"/>
        <v>3</v>
      </c>
      <c r="AE40" t="e">
        <f t="array" ref="AE40">IF(OR(H40&lt;N$3,H40&gt;N$7),H40,#N/A)</f>
        <v>#N/A</v>
      </c>
      <c r="AF40">
        <f t="shared" si="1"/>
        <v>4</v>
      </c>
      <c r="AG40" t="e">
        <f t="array" ref="AG40">IF(OR(I40&lt;O$3,I40&gt;O$7),I40,#N/A)</f>
        <v>#N/A</v>
      </c>
    </row>
    <row r="41" spans="1:33" x14ac:dyDescent="0.25">
      <c r="A41">
        <v>40</v>
      </c>
      <c r="B41">
        <f ca="1">SMALL(dados!A$23:A$422,A41)</f>
        <v>9.0109356909339744E-2</v>
      </c>
      <c r="C41">
        <f ca="1">VLOOKUP(B41,dados!A$23:E$422,5,0)</f>
        <v>10</v>
      </c>
      <c r="E41">
        <v>38</v>
      </c>
      <c r="F41">
        <v>13.818181818181818</v>
      </c>
      <c r="G41">
        <v>11.5</v>
      </c>
      <c r="H41">
        <v>13</v>
      </c>
      <c r="I41">
        <v>14.36</v>
      </c>
      <c r="Z41">
        <v>1</v>
      </c>
      <c r="AA41" t="e">
        <f t="array" ref="AA41">IF(OR(F41&lt;L$3,F41&gt;L$7),F41,#N/A)</f>
        <v>#N/A</v>
      </c>
      <c r="AB41">
        <f t="shared" si="1"/>
        <v>2</v>
      </c>
      <c r="AC41" t="e">
        <f t="array" ref="AC41">IF(OR(G41&lt;M$3,G41&gt;M$7),G41,#N/A)</f>
        <v>#N/A</v>
      </c>
      <c r="AD41">
        <f t="shared" si="1"/>
        <v>3</v>
      </c>
      <c r="AE41" t="e">
        <f t="array" ref="AE41">IF(OR(H41&lt;N$3,H41&gt;N$7),H41,#N/A)</f>
        <v>#N/A</v>
      </c>
      <c r="AF41">
        <f t="shared" si="1"/>
        <v>4</v>
      </c>
      <c r="AG41" t="e">
        <f t="array" ref="AG41">IF(OR(I41&lt;O$3,I41&gt;O$7),I41,#N/A)</f>
        <v>#N/A</v>
      </c>
    </row>
    <row r="42" spans="1:33" x14ac:dyDescent="0.25">
      <c r="A42">
        <v>41</v>
      </c>
      <c r="B42">
        <f ca="1">SMALL(dados!A$23:A$422,A42)</f>
        <v>9.2977241741168393E-2</v>
      </c>
      <c r="C42">
        <f ca="1">VLOOKUP(B42,dados!A$23:E$422,5,0)</f>
        <v>16</v>
      </c>
      <c r="E42">
        <v>39</v>
      </c>
      <c r="F42">
        <v>16.636363636363637</v>
      </c>
      <c r="G42">
        <v>18</v>
      </c>
      <c r="H42">
        <v>16</v>
      </c>
      <c r="I42">
        <v>15.18</v>
      </c>
      <c r="Z42">
        <v>1</v>
      </c>
      <c r="AA42" t="e">
        <f t="array" ref="AA42">IF(OR(F42&lt;L$3,F42&gt;L$7),F42,#N/A)</f>
        <v>#N/A</v>
      </c>
      <c r="AB42">
        <f t="shared" si="1"/>
        <v>2</v>
      </c>
      <c r="AC42" t="e">
        <f t="array" ref="AC42">IF(OR(G42&lt;M$3,G42&gt;M$7),G42,#N/A)</f>
        <v>#N/A</v>
      </c>
      <c r="AD42">
        <f t="shared" si="1"/>
        <v>3</v>
      </c>
      <c r="AE42" t="e">
        <f t="array" ref="AE42">IF(OR(H42&lt;N$3,H42&gt;N$7),H42,#N/A)</f>
        <v>#N/A</v>
      </c>
      <c r="AF42">
        <f t="shared" si="1"/>
        <v>4</v>
      </c>
      <c r="AG42" t="e">
        <f t="array" ref="AG42">IF(OR(I42&lt;O$3,I42&gt;O$7),I42,#N/A)</f>
        <v>#N/A</v>
      </c>
    </row>
    <row r="43" spans="1:33" x14ac:dyDescent="0.25">
      <c r="A43">
        <v>42</v>
      </c>
      <c r="B43">
        <f ca="1">SMALL(dados!A$23:A$422,A43)</f>
        <v>9.4045840030666183E-2</v>
      </c>
      <c r="C43">
        <f ca="1">VLOOKUP(B43,dados!A$23:E$422,5,0)</f>
        <v>10</v>
      </c>
      <c r="E43">
        <v>40</v>
      </c>
      <c r="F43">
        <v>17.181818181818183</v>
      </c>
      <c r="G43">
        <v>16.5</v>
      </c>
      <c r="H43">
        <v>14</v>
      </c>
      <c r="I43">
        <v>14.46</v>
      </c>
      <c r="Z43">
        <v>1</v>
      </c>
      <c r="AA43" t="e">
        <f t="array" ref="AA43">IF(OR(F43&lt;L$3,F43&gt;L$7),F43,#N/A)</f>
        <v>#N/A</v>
      </c>
      <c r="AB43">
        <f t="shared" si="1"/>
        <v>2</v>
      </c>
      <c r="AC43" t="e">
        <f t="array" ref="AC43">IF(OR(G43&lt;M$3,G43&gt;M$7),G43,#N/A)</f>
        <v>#N/A</v>
      </c>
      <c r="AD43">
        <f t="shared" si="1"/>
        <v>3</v>
      </c>
      <c r="AE43" t="e">
        <f t="array" ref="AE43">IF(OR(H43&lt;N$3,H43&gt;N$7),H43,#N/A)</f>
        <v>#N/A</v>
      </c>
      <c r="AF43">
        <f t="shared" si="1"/>
        <v>4</v>
      </c>
      <c r="AG43" t="e">
        <f t="array" ref="AG43">IF(OR(I43&lt;O$3,I43&gt;O$7),I43,#N/A)</f>
        <v>#N/A</v>
      </c>
    </row>
    <row r="44" spans="1:33" x14ac:dyDescent="0.25">
      <c r="A44">
        <v>43</v>
      </c>
      <c r="B44">
        <f ca="1">SMALL(dados!A$23:A$422,A44)</f>
        <v>9.4356475988138233E-2</v>
      </c>
      <c r="C44">
        <f ca="1">VLOOKUP(B44,dados!A$23:E$422,5,0)</f>
        <v>29</v>
      </c>
      <c r="E44">
        <v>41</v>
      </c>
      <c r="F44">
        <v>16</v>
      </c>
      <c r="G44">
        <v>14.55</v>
      </c>
      <c r="H44">
        <v>14.06</v>
      </c>
      <c r="I44">
        <v>13.55</v>
      </c>
      <c r="Z44">
        <v>1</v>
      </c>
      <c r="AA44" t="e">
        <f t="array" ref="AA44">IF(OR(F44&lt;L$3,F44&gt;L$7),F44,#N/A)</f>
        <v>#N/A</v>
      </c>
      <c r="AB44">
        <f t="shared" si="1"/>
        <v>2</v>
      </c>
      <c r="AC44" t="e">
        <f t="array" ref="AC44">IF(OR(G44&lt;M$3,G44&gt;M$7),G44,#N/A)</f>
        <v>#N/A</v>
      </c>
      <c r="AD44">
        <f t="shared" si="1"/>
        <v>3</v>
      </c>
      <c r="AE44" t="e">
        <f t="array" ref="AE44">IF(OR(H44&lt;N$3,H44&gt;N$7),H44,#N/A)</f>
        <v>#N/A</v>
      </c>
      <c r="AF44">
        <f t="shared" si="1"/>
        <v>4</v>
      </c>
      <c r="AG44" t="e">
        <f t="array" ref="AG44">IF(OR(I44&lt;O$3,I44&gt;O$7),I44,#N/A)</f>
        <v>#N/A</v>
      </c>
    </row>
    <row r="45" spans="1:33" x14ac:dyDescent="0.25">
      <c r="A45">
        <v>44</v>
      </c>
      <c r="B45">
        <f ca="1">SMALL(dados!A$23:A$422,A45)</f>
        <v>0.10113353994095431</v>
      </c>
      <c r="C45">
        <f ca="1">VLOOKUP(B45,dados!A$23:E$422,5,0)</f>
        <v>11</v>
      </c>
      <c r="E45">
        <v>42</v>
      </c>
      <c r="F45">
        <v>12.090909090909092</v>
      </c>
      <c r="G45">
        <v>16.05</v>
      </c>
      <c r="H45">
        <v>13.36</v>
      </c>
      <c r="I45">
        <v>13.51</v>
      </c>
      <c r="Z45">
        <v>1</v>
      </c>
      <c r="AA45" t="e">
        <f t="array" ref="AA45">IF(OR(F45&lt;L$3,F45&gt;L$7),F45,#N/A)</f>
        <v>#N/A</v>
      </c>
      <c r="AB45">
        <f t="shared" si="1"/>
        <v>2</v>
      </c>
      <c r="AC45" t="e">
        <f t="array" ref="AC45">IF(OR(G45&lt;M$3,G45&gt;M$7),G45,#N/A)</f>
        <v>#N/A</v>
      </c>
      <c r="AD45">
        <f t="shared" si="1"/>
        <v>3</v>
      </c>
      <c r="AE45" t="e">
        <f t="array" ref="AE45">IF(OR(H45&lt;N$3,H45&gt;N$7),H45,#N/A)</f>
        <v>#N/A</v>
      </c>
      <c r="AF45">
        <f t="shared" si="1"/>
        <v>4</v>
      </c>
      <c r="AG45" t="e">
        <f t="array" ref="AG45">IF(OR(I45&lt;O$3,I45&gt;O$7),I45,#N/A)</f>
        <v>#N/A</v>
      </c>
    </row>
    <row r="46" spans="1:33" x14ac:dyDescent="0.25">
      <c r="A46">
        <v>45</v>
      </c>
      <c r="B46">
        <f ca="1">SMALL(dados!A$23:A$422,A46)</f>
        <v>0.10134671747249779</v>
      </c>
      <c r="C46">
        <f ca="1">VLOOKUP(B46,dados!A$23:E$422,5,0)</f>
        <v>8</v>
      </c>
      <c r="E46">
        <v>43</v>
      </c>
      <c r="F46">
        <v>16.454545454545453</v>
      </c>
      <c r="G46">
        <v>15.45</v>
      </c>
      <c r="H46">
        <v>14.3</v>
      </c>
      <c r="I46">
        <v>13.63</v>
      </c>
      <c r="Z46">
        <v>1</v>
      </c>
      <c r="AA46" t="e">
        <f t="array" ref="AA46">IF(OR(F46&lt;L$3,F46&gt;L$7),F46,#N/A)</f>
        <v>#N/A</v>
      </c>
      <c r="AB46">
        <f t="shared" si="1"/>
        <v>2</v>
      </c>
      <c r="AC46" t="e">
        <f t="array" ref="AC46">IF(OR(G46&lt;M$3,G46&gt;M$7),G46,#N/A)</f>
        <v>#N/A</v>
      </c>
      <c r="AD46">
        <f t="shared" si="1"/>
        <v>3</v>
      </c>
      <c r="AE46" t="e">
        <f t="array" ref="AE46">IF(OR(H46&lt;N$3,H46&gt;N$7),H46,#N/A)</f>
        <v>#N/A</v>
      </c>
      <c r="AF46">
        <f t="shared" si="1"/>
        <v>4</v>
      </c>
      <c r="AG46" t="e">
        <f t="array" ref="AG46">IF(OR(I46&lt;O$3,I46&gt;O$7),I46,#N/A)</f>
        <v>#N/A</v>
      </c>
    </row>
    <row r="47" spans="1:33" x14ac:dyDescent="0.25">
      <c r="A47">
        <v>46</v>
      </c>
      <c r="B47">
        <f ca="1">SMALL(dados!A$23:A$422,A47)</f>
        <v>0.10849166603058313</v>
      </c>
      <c r="C47">
        <f ca="1">VLOOKUP(B47,dados!A$23:E$422,5,0)</f>
        <v>8</v>
      </c>
      <c r="E47">
        <v>44</v>
      </c>
      <c r="F47">
        <v>14.363636363636363</v>
      </c>
      <c r="G47">
        <v>12.75</v>
      </c>
      <c r="H47">
        <v>13.66</v>
      </c>
      <c r="I47">
        <v>14.06</v>
      </c>
      <c r="Z47">
        <v>1</v>
      </c>
      <c r="AA47" t="e">
        <f t="array" ref="AA47">IF(OR(F47&lt;L$3,F47&gt;L$7),F47,#N/A)</f>
        <v>#N/A</v>
      </c>
      <c r="AB47">
        <f t="shared" si="1"/>
        <v>2</v>
      </c>
      <c r="AC47" t="e">
        <f t="array" ref="AC47">IF(OR(G47&lt;M$3,G47&gt;M$7),G47,#N/A)</f>
        <v>#N/A</v>
      </c>
      <c r="AD47">
        <f t="shared" si="1"/>
        <v>3</v>
      </c>
      <c r="AE47" t="e">
        <f t="array" ref="AE47">IF(OR(H47&lt;N$3,H47&gt;N$7),H47,#N/A)</f>
        <v>#N/A</v>
      </c>
      <c r="AF47">
        <f t="shared" si="1"/>
        <v>4</v>
      </c>
      <c r="AG47" t="e">
        <f t="array" ref="AG47">IF(OR(I47&lt;O$3,I47&gt;O$7),I47,#N/A)</f>
        <v>#N/A</v>
      </c>
    </row>
    <row r="48" spans="1:33" x14ac:dyDescent="0.25">
      <c r="A48">
        <v>47</v>
      </c>
      <c r="B48">
        <f ca="1">SMALL(dados!A$23:A$422,A48)</f>
        <v>0.10883369834380374</v>
      </c>
      <c r="C48">
        <f ca="1">VLOOKUP(B48,dados!A$23:E$422,5,0)</f>
        <v>9</v>
      </c>
      <c r="E48">
        <v>45</v>
      </c>
      <c r="F48">
        <v>15.727272727272727</v>
      </c>
      <c r="G48">
        <v>13.25</v>
      </c>
      <c r="H48">
        <v>12.74</v>
      </c>
      <c r="I48">
        <v>13.94</v>
      </c>
      <c r="Z48">
        <v>1</v>
      </c>
      <c r="AA48" t="e">
        <f t="array" ref="AA48">IF(OR(F48&lt;L$3,F48&gt;L$7),F48,#N/A)</f>
        <v>#N/A</v>
      </c>
      <c r="AB48">
        <f t="shared" si="1"/>
        <v>2</v>
      </c>
      <c r="AC48" t="e">
        <f t="array" ref="AC48">IF(OR(G48&lt;M$3,G48&gt;M$7),G48,#N/A)</f>
        <v>#N/A</v>
      </c>
      <c r="AD48">
        <f t="shared" si="1"/>
        <v>3</v>
      </c>
      <c r="AE48" t="e">
        <f t="array" ref="AE48">IF(OR(H48&lt;N$3,H48&gt;N$7),H48,#N/A)</f>
        <v>#N/A</v>
      </c>
      <c r="AF48">
        <f t="shared" si="1"/>
        <v>4</v>
      </c>
      <c r="AG48" t="e">
        <f t="array" ref="AG48">IF(OR(I48&lt;O$3,I48&gt;O$7),I48,#N/A)</f>
        <v>#N/A</v>
      </c>
    </row>
    <row r="49" spans="1:33" x14ac:dyDescent="0.25">
      <c r="A49">
        <v>48</v>
      </c>
      <c r="B49">
        <f ca="1">SMALL(dados!A$23:A$422,A49)</f>
        <v>0.10957829682149012</v>
      </c>
      <c r="C49">
        <f ca="1">VLOOKUP(B49,dados!A$23:E$422,5,0)</f>
        <v>9</v>
      </c>
      <c r="E49">
        <v>46</v>
      </c>
      <c r="F49">
        <v>15.818181818181818</v>
      </c>
      <c r="G49">
        <v>14.2</v>
      </c>
      <c r="H49">
        <v>13.92</v>
      </c>
      <c r="I49">
        <v>14.2</v>
      </c>
      <c r="Z49">
        <v>1</v>
      </c>
      <c r="AA49" t="e">
        <f t="array" ref="AA49">IF(OR(F49&lt;L$3,F49&gt;L$7),F49,#N/A)</f>
        <v>#N/A</v>
      </c>
      <c r="AB49">
        <f t="shared" si="1"/>
        <v>2</v>
      </c>
      <c r="AC49" t="e">
        <f t="array" ref="AC49">IF(OR(G49&lt;M$3,G49&gt;M$7),G49,#N/A)</f>
        <v>#N/A</v>
      </c>
      <c r="AD49">
        <f t="shared" si="1"/>
        <v>3</v>
      </c>
      <c r="AE49" t="e">
        <f t="array" ref="AE49">IF(OR(H49&lt;N$3,H49&gt;N$7),H49,#N/A)</f>
        <v>#N/A</v>
      </c>
      <c r="AF49">
        <f t="shared" si="1"/>
        <v>4</v>
      </c>
      <c r="AG49" t="e">
        <f t="array" ref="AG49">IF(OR(I49&lt;O$3,I49&gt;O$7),I49,#N/A)</f>
        <v>#N/A</v>
      </c>
    </row>
    <row r="50" spans="1:33" x14ac:dyDescent="0.25">
      <c r="A50">
        <v>49</v>
      </c>
      <c r="B50">
        <f ca="1">SMALL(dados!A$23:A$422,A50)</f>
        <v>0.10997108615412554</v>
      </c>
      <c r="C50">
        <f ca="1">VLOOKUP(B50,dados!A$23:E$422,5,0)</f>
        <v>9</v>
      </c>
      <c r="E50">
        <v>47</v>
      </c>
      <c r="F50">
        <v>15.636363636363637</v>
      </c>
      <c r="G50">
        <v>17.100000000000001</v>
      </c>
      <c r="H50">
        <v>14.66</v>
      </c>
      <c r="I50">
        <v>14.16</v>
      </c>
      <c r="Z50">
        <v>1</v>
      </c>
      <c r="AA50" t="e">
        <f t="array" ref="AA50">IF(OR(F50&lt;L$3,F50&gt;L$7),F50,#N/A)</f>
        <v>#N/A</v>
      </c>
      <c r="AB50">
        <f t="shared" si="1"/>
        <v>2</v>
      </c>
      <c r="AC50" t="e">
        <f t="array" ref="AC50">IF(OR(G50&lt;M$3,G50&gt;M$7),G50,#N/A)</f>
        <v>#N/A</v>
      </c>
      <c r="AD50">
        <f t="shared" si="1"/>
        <v>3</v>
      </c>
      <c r="AE50" t="e">
        <f t="array" ref="AE50">IF(OR(H50&lt;N$3,H50&gt;N$7),H50,#N/A)</f>
        <v>#N/A</v>
      </c>
      <c r="AF50">
        <f t="shared" si="1"/>
        <v>4</v>
      </c>
      <c r="AG50" t="e">
        <f t="array" ref="AG50">IF(OR(I50&lt;O$3,I50&gt;O$7),I50,#N/A)</f>
        <v>#N/A</v>
      </c>
    </row>
    <row r="51" spans="1:33" x14ac:dyDescent="0.25">
      <c r="A51">
        <v>50</v>
      </c>
      <c r="B51">
        <f ca="1">SMALL(dados!A$23:A$422,A51)</f>
        <v>0.1161251365750291</v>
      </c>
      <c r="C51">
        <f ca="1">VLOOKUP(B51,dados!A$23:E$422,5,0)</f>
        <v>11</v>
      </c>
      <c r="E51">
        <v>48</v>
      </c>
      <c r="F51">
        <v>14.909090909090908</v>
      </c>
      <c r="G51">
        <v>14.7</v>
      </c>
      <c r="H51">
        <v>14.8</v>
      </c>
      <c r="I51">
        <v>14.74</v>
      </c>
      <c r="Z51">
        <v>1</v>
      </c>
      <c r="AA51" t="e">
        <f t="array" ref="AA51">IF(OR(F51&lt;L$3,F51&gt;L$7),F51,#N/A)</f>
        <v>#N/A</v>
      </c>
      <c r="AB51">
        <f t="shared" si="1"/>
        <v>2</v>
      </c>
      <c r="AC51" t="e">
        <f t="array" ref="AC51">IF(OR(G51&lt;M$3,G51&gt;M$7),G51,#N/A)</f>
        <v>#N/A</v>
      </c>
      <c r="AD51">
        <f t="shared" si="1"/>
        <v>3</v>
      </c>
      <c r="AE51" t="e">
        <f t="array" ref="AE51">IF(OR(H51&lt;N$3,H51&gt;N$7),H51,#N/A)</f>
        <v>#N/A</v>
      </c>
      <c r="AF51">
        <f t="shared" si="1"/>
        <v>4</v>
      </c>
      <c r="AG51" t="e">
        <f t="array" ref="AG51">IF(OR(I51&lt;O$3,I51&gt;O$7),I51,#N/A)</f>
        <v>#N/A</v>
      </c>
    </row>
    <row r="52" spans="1:33" x14ac:dyDescent="0.25">
      <c r="A52">
        <v>51</v>
      </c>
      <c r="B52">
        <f ca="1">SMALL(dados!A$23:A$422,A52)</f>
        <v>0.12403008385516334</v>
      </c>
      <c r="C52">
        <f ca="1">VLOOKUP(B52,dados!A$23:E$422,5,0)</f>
        <v>18</v>
      </c>
      <c r="E52">
        <v>49</v>
      </c>
      <c r="F52">
        <v>10.545454545454545</v>
      </c>
      <c r="G52">
        <v>10.95</v>
      </c>
      <c r="H52">
        <v>13.02</v>
      </c>
      <c r="I52">
        <v>12.39</v>
      </c>
      <c r="Z52">
        <v>1</v>
      </c>
      <c r="AA52" t="e">
        <f t="array" ref="AA52">IF(OR(F52&lt;L$3,F52&gt;L$7),F52,#N/A)</f>
        <v>#N/A</v>
      </c>
      <c r="AB52">
        <f t="shared" si="1"/>
        <v>2</v>
      </c>
      <c r="AC52" t="e">
        <f t="array" ref="AC52">IF(OR(G52&lt;M$3,G52&gt;M$7),G52,#N/A)</f>
        <v>#N/A</v>
      </c>
      <c r="AD52">
        <f t="shared" si="1"/>
        <v>3</v>
      </c>
      <c r="AE52" t="e">
        <f t="array" ref="AE52">IF(OR(H52&lt;N$3,H52&gt;N$7),H52,#N/A)</f>
        <v>#N/A</v>
      </c>
      <c r="AF52">
        <f t="shared" si="1"/>
        <v>4</v>
      </c>
      <c r="AG52" t="e">
        <f t="array" ref="AG52">IF(OR(I52&lt;O$3,I52&gt;O$7),I52,#N/A)</f>
        <v>#N/A</v>
      </c>
    </row>
    <row r="53" spans="1:33" x14ac:dyDescent="0.25">
      <c r="A53">
        <v>52</v>
      </c>
      <c r="B53">
        <f ca="1">SMALL(dados!A$23:A$422,A53)</f>
        <v>0.12497756616431255</v>
      </c>
      <c r="C53">
        <f ca="1">VLOOKUP(B53,dados!A$23:E$422,5,0)</f>
        <v>32</v>
      </c>
      <c r="E53">
        <v>50</v>
      </c>
      <c r="F53">
        <v>13.727272727272727</v>
      </c>
      <c r="G53">
        <v>12.9</v>
      </c>
      <c r="H53">
        <v>12.84</v>
      </c>
      <c r="I53">
        <v>13.58</v>
      </c>
      <c r="Z53">
        <v>1</v>
      </c>
      <c r="AA53" t="e">
        <f t="array" ref="AA53">IF(OR(F53&lt;L$3,F53&gt;L$7),F53,#N/A)</f>
        <v>#N/A</v>
      </c>
      <c r="AB53">
        <f t="shared" si="1"/>
        <v>2</v>
      </c>
      <c r="AC53" t="e">
        <f t="array" ref="AC53">IF(OR(G53&lt;M$3,G53&gt;M$7),G53,#N/A)</f>
        <v>#N/A</v>
      </c>
      <c r="AD53">
        <f t="shared" si="1"/>
        <v>3</v>
      </c>
      <c r="AE53" t="e">
        <f t="array" ref="AE53">IF(OR(H53&lt;N$3,H53&gt;N$7),H53,#N/A)</f>
        <v>#N/A</v>
      </c>
      <c r="AF53">
        <f t="shared" si="1"/>
        <v>4</v>
      </c>
      <c r="AG53" t="e">
        <f t="array" ref="AG53">IF(OR(I53&lt;O$3,I53&gt;O$7),I53,#N/A)</f>
        <v>#N/A</v>
      </c>
    </row>
    <row r="54" spans="1:33" x14ac:dyDescent="0.25">
      <c r="A54">
        <v>53</v>
      </c>
      <c r="B54">
        <f ca="1">SMALL(dados!A$23:A$422,A54)</f>
        <v>0.13538549706248404</v>
      </c>
      <c r="C54">
        <f ca="1">VLOOKUP(B54,dados!A$23:E$422,5,0)</f>
        <v>11</v>
      </c>
      <c r="E54">
        <v>51</v>
      </c>
      <c r="F54">
        <v>15.545454545454545</v>
      </c>
      <c r="G54">
        <v>17.2</v>
      </c>
      <c r="H54">
        <v>14.66</v>
      </c>
      <c r="I54">
        <v>14.15</v>
      </c>
      <c r="Z54">
        <v>1</v>
      </c>
      <c r="AA54" t="e">
        <f t="array" ref="AA54">IF(OR(F54&lt;L$3,F54&gt;L$7),F54,#N/A)</f>
        <v>#N/A</v>
      </c>
      <c r="AB54">
        <f t="shared" si="1"/>
        <v>2</v>
      </c>
      <c r="AC54" t="e">
        <f t="array" ref="AC54">IF(OR(G54&lt;M$3,G54&gt;M$7),G54,#N/A)</f>
        <v>#N/A</v>
      </c>
      <c r="AD54">
        <f t="shared" si="1"/>
        <v>3</v>
      </c>
      <c r="AE54" t="e">
        <f t="array" ref="AE54">IF(OR(H54&lt;N$3,H54&gt;N$7),H54,#N/A)</f>
        <v>#N/A</v>
      </c>
      <c r="AF54">
        <f t="shared" si="1"/>
        <v>4</v>
      </c>
      <c r="AG54" t="e">
        <f t="array" ref="AG54">IF(OR(I54&lt;O$3,I54&gt;O$7),I54,#N/A)</f>
        <v>#N/A</v>
      </c>
    </row>
    <row r="55" spans="1:33" x14ac:dyDescent="0.25">
      <c r="A55">
        <v>54</v>
      </c>
      <c r="B55">
        <f ca="1">SMALL(dados!A$23:A$422,A55)</f>
        <v>0.13770736826064911</v>
      </c>
      <c r="C55">
        <f ca="1">VLOOKUP(B55,dados!A$23:E$422,5,0)</f>
        <v>9</v>
      </c>
      <c r="E55">
        <v>52</v>
      </c>
      <c r="F55">
        <v>12.545454545454545</v>
      </c>
      <c r="G55">
        <v>11.5</v>
      </c>
      <c r="H55">
        <v>14.22</v>
      </c>
      <c r="I55">
        <v>13.45</v>
      </c>
      <c r="Z55">
        <v>1</v>
      </c>
      <c r="AA55" t="e">
        <f t="array" ref="AA55">IF(OR(F55&lt;L$3,F55&gt;L$7),F55,#N/A)</f>
        <v>#N/A</v>
      </c>
      <c r="AB55">
        <f t="shared" si="1"/>
        <v>2</v>
      </c>
      <c r="AC55" t="e">
        <f t="array" ref="AC55">IF(OR(G55&lt;M$3,G55&gt;M$7),G55,#N/A)</f>
        <v>#N/A</v>
      </c>
      <c r="AD55">
        <f t="shared" si="1"/>
        <v>3</v>
      </c>
      <c r="AE55" t="e">
        <f t="array" ref="AE55">IF(OR(H55&lt;N$3,H55&gt;N$7),H55,#N/A)</f>
        <v>#N/A</v>
      </c>
      <c r="AF55">
        <f t="shared" si="1"/>
        <v>4</v>
      </c>
      <c r="AG55" t="e">
        <f t="array" ref="AG55">IF(OR(I55&lt;O$3,I55&gt;O$7),I55,#N/A)</f>
        <v>#N/A</v>
      </c>
    </row>
    <row r="56" spans="1:33" x14ac:dyDescent="0.25">
      <c r="A56">
        <v>55</v>
      </c>
      <c r="B56">
        <f ca="1">SMALL(dados!A$23:A$422,A56)</f>
        <v>0.13892600465480753</v>
      </c>
      <c r="C56">
        <f ca="1">VLOOKUP(B56,dados!A$23:E$422,5,0)</f>
        <v>8</v>
      </c>
      <c r="E56">
        <v>53</v>
      </c>
      <c r="F56">
        <v>18.363636363636363</v>
      </c>
      <c r="G56">
        <v>16.25</v>
      </c>
      <c r="H56">
        <v>15.12</v>
      </c>
      <c r="I56">
        <v>14.33</v>
      </c>
      <c r="Z56">
        <v>1</v>
      </c>
      <c r="AA56" t="e">
        <f t="array" ref="AA56">IF(OR(F56&lt;L$3,F56&gt;L$7),F56,#N/A)</f>
        <v>#N/A</v>
      </c>
      <c r="AB56">
        <f t="shared" si="1"/>
        <v>2</v>
      </c>
      <c r="AC56" t="e">
        <f t="array" ref="AC56">IF(OR(G56&lt;M$3,G56&gt;M$7),G56,#N/A)</f>
        <v>#N/A</v>
      </c>
      <c r="AD56">
        <f t="shared" si="1"/>
        <v>3</v>
      </c>
      <c r="AE56" t="e">
        <f t="array" ref="AE56">IF(OR(H56&lt;N$3,H56&gt;N$7),H56,#N/A)</f>
        <v>#N/A</v>
      </c>
      <c r="AF56">
        <f t="shared" si="1"/>
        <v>4</v>
      </c>
      <c r="AG56" t="e">
        <f t="array" ref="AG56">IF(OR(I56&lt;O$3,I56&gt;O$7),I56,#N/A)</f>
        <v>#N/A</v>
      </c>
    </row>
    <row r="57" spans="1:33" x14ac:dyDescent="0.25">
      <c r="A57">
        <v>56</v>
      </c>
      <c r="B57">
        <f ca="1">SMALL(dados!A$23:A$422,A57)</f>
        <v>0.14152455651339091</v>
      </c>
      <c r="C57">
        <f ca="1">VLOOKUP(B57,dados!A$23:E$422,5,0)</f>
        <v>22</v>
      </c>
      <c r="E57">
        <v>54</v>
      </c>
      <c r="F57">
        <v>18.545454545454547</v>
      </c>
      <c r="G57">
        <v>18.149999999999999</v>
      </c>
      <c r="H57">
        <v>15.84</v>
      </c>
      <c r="I57">
        <v>15.24</v>
      </c>
      <c r="Z57">
        <v>1</v>
      </c>
      <c r="AA57" t="e">
        <f t="array" ref="AA57">IF(OR(F57&lt;L$3,F57&gt;L$7),F57,#N/A)</f>
        <v>#N/A</v>
      </c>
      <c r="AB57">
        <f t="shared" si="1"/>
        <v>2</v>
      </c>
      <c r="AC57" t="e">
        <f t="array" ref="AC57">IF(OR(G57&lt;M$3,G57&gt;M$7),G57,#N/A)</f>
        <v>#N/A</v>
      </c>
      <c r="AD57">
        <f t="shared" si="1"/>
        <v>3</v>
      </c>
      <c r="AE57" t="e">
        <f t="array" ref="AE57">IF(OR(H57&lt;N$3,H57&gt;N$7),H57,#N/A)</f>
        <v>#N/A</v>
      </c>
      <c r="AF57">
        <f t="shared" si="1"/>
        <v>4</v>
      </c>
      <c r="AG57" t="e">
        <f t="array" ref="AG57">IF(OR(I57&lt;O$3,I57&gt;O$7),I57,#N/A)</f>
        <v>#N/A</v>
      </c>
    </row>
    <row r="58" spans="1:33" x14ac:dyDescent="0.25">
      <c r="A58">
        <v>57</v>
      </c>
      <c r="B58">
        <f ca="1">SMALL(dados!A$23:A$422,A58)</f>
        <v>0.14688962297991159</v>
      </c>
      <c r="C58">
        <f ca="1">VLOOKUP(B58,dados!A$23:E$422,5,0)</f>
        <v>11</v>
      </c>
      <c r="E58">
        <v>55</v>
      </c>
      <c r="F58">
        <v>12.272727272727273</v>
      </c>
      <c r="G58">
        <v>13.2</v>
      </c>
      <c r="H58">
        <v>14.2</v>
      </c>
      <c r="I58">
        <v>14.25</v>
      </c>
      <c r="Z58">
        <v>1</v>
      </c>
      <c r="AA58" t="e">
        <f t="array" ref="AA58">IF(OR(F58&lt;L$3,F58&gt;L$7),F58,#N/A)</f>
        <v>#N/A</v>
      </c>
      <c r="AB58">
        <f t="shared" si="1"/>
        <v>2</v>
      </c>
      <c r="AC58" t="e">
        <f t="array" ref="AC58">IF(OR(G58&lt;M$3,G58&gt;M$7),G58,#N/A)</f>
        <v>#N/A</v>
      </c>
      <c r="AD58">
        <f t="shared" si="1"/>
        <v>3</v>
      </c>
      <c r="AE58" t="e">
        <f t="array" ref="AE58">IF(OR(H58&lt;N$3,H58&gt;N$7),H58,#N/A)</f>
        <v>#N/A</v>
      </c>
      <c r="AF58">
        <f t="shared" si="1"/>
        <v>4</v>
      </c>
      <c r="AG58" t="e">
        <f t="array" ref="AG58">IF(OR(I58&lt;O$3,I58&gt;O$7),I58,#N/A)</f>
        <v>#N/A</v>
      </c>
    </row>
    <row r="59" spans="1:33" x14ac:dyDescent="0.25">
      <c r="A59">
        <v>58</v>
      </c>
      <c r="B59">
        <f ca="1">SMALL(dados!A$23:A$422,A59)</f>
        <v>0.14713935417376611</v>
      </c>
      <c r="C59">
        <f ca="1">VLOOKUP(B59,dados!A$23:E$422,5,0)</f>
        <v>13</v>
      </c>
      <c r="E59">
        <v>56</v>
      </c>
      <c r="F59">
        <v>16.09090909090909</v>
      </c>
      <c r="G59">
        <v>16.100000000000001</v>
      </c>
      <c r="H59">
        <v>13.36</v>
      </c>
      <c r="I59">
        <v>14.38</v>
      </c>
      <c r="Z59">
        <v>1</v>
      </c>
      <c r="AA59" t="e">
        <f t="array" ref="AA59">IF(OR(F59&lt;L$3,F59&gt;L$7),F59,#N/A)</f>
        <v>#N/A</v>
      </c>
      <c r="AB59">
        <f t="shared" si="1"/>
        <v>2</v>
      </c>
      <c r="AC59" t="e">
        <f t="array" ref="AC59">IF(OR(G59&lt;M$3,G59&gt;M$7),G59,#N/A)</f>
        <v>#N/A</v>
      </c>
      <c r="AD59">
        <f t="shared" si="1"/>
        <v>3</v>
      </c>
      <c r="AE59" t="e">
        <f t="array" ref="AE59">IF(OR(H59&lt;N$3,H59&gt;N$7),H59,#N/A)</f>
        <v>#N/A</v>
      </c>
      <c r="AF59">
        <f t="shared" si="1"/>
        <v>4</v>
      </c>
      <c r="AG59" t="e">
        <f t="array" ref="AG59">IF(OR(I59&lt;O$3,I59&gt;O$7),I59,#N/A)</f>
        <v>#N/A</v>
      </c>
    </row>
    <row r="60" spans="1:33" x14ac:dyDescent="0.25">
      <c r="A60">
        <v>59</v>
      </c>
      <c r="B60">
        <f ca="1">SMALL(dados!A$23:A$422,A60)</f>
        <v>0.15088629211890425</v>
      </c>
      <c r="C60">
        <f ca="1">VLOOKUP(B60,dados!A$23:E$422,5,0)</f>
        <v>28</v>
      </c>
      <c r="E60">
        <v>57</v>
      </c>
      <c r="F60">
        <v>15.090909090909092</v>
      </c>
      <c r="G60">
        <v>14.35</v>
      </c>
      <c r="H60">
        <v>13.82</v>
      </c>
      <c r="I60">
        <v>12.98</v>
      </c>
      <c r="Z60">
        <v>1</v>
      </c>
      <c r="AA60" t="e">
        <f t="array" ref="AA60">IF(OR(F60&lt;L$3,F60&gt;L$7),F60,#N/A)</f>
        <v>#N/A</v>
      </c>
      <c r="AB60">
        <f t="shared" si="1"/>
        <v>2</v>
      </c>
      <c r="AC60" t="e">
        <f t="array" ref="AC60">IF(OR(G60&lt;M$3,G60&gt;M$7),G60,#N/A)</f>
        <v>#N/A</v>
      </c>
      <c r="AD60">
        <f t="shared" si="1"/>
        <v>3</v>
      </c>
      <c r="AE60" t="e">
        <f t="array" ref="AE60">IF(OR(H60&lt;N$3,H60&gt;N$7),H60,#N/A)</f>
        <v>#N/A</v>
      </c>
      <c r="AF60">
        <f t="shared" si="1"/>
        <v>4</v>
      </c>
      <c r="AG60" t="e">
        <f t="array" ref="AG60">IF(OR(I60&lt;O$3,I60&gt;O$7),I60,#N/A)</f>
        <v>#N/A</v>
      </c>
    </row>
    <row r="61" spans="1:33" x14ac:dyDescent="0.25">
      <c r="A61">
        <v>60</v>
      </c>
      <c r="B61">
        <f ca="1">SMALL(dados!A$23:A$422,A61)</f>
        <v>0.15185871485247471</v>
      </c>
      <c r="C61">
        <f ca="1">VLOOKUP(B61,dados!A$23:E$422,5,0)</f>
        <v>41</v>
      </c>
      <c r="E61">
        <v>58</v>
      </c>
      <c r="F61">
        <v>13.363636363636363</v>
      </c>
      <c r="G61">
        <v>16.600000000000001</v>
      </c>
      <c r="H61">
        <v>14.7</v>
      </c>
      <c r="I61">
        <v>14.79</v>
      </c>
      <c r="Z61">
        <v>1</v>
      </c>
      <c r="AA61" t="e">
        <f t="array" ref="AA61">IF(OR(F61&lt;L$3,F61&gt;L$7),F61,#N/A)</f>
        <v>#N/A</v>
      </c>
      <c r="AB61">
        <f t="shared" si="1"/>
        <v>2</v>
      </c>
      <c r="AC61" t="e">
        <f t="array" ref="AC61">IF(OR(G61&lt;M$3,G61&gt;M$7),G61,#N/A)</f>
        <v>#N/A</v>
      </c>
      <c r="AD61">
        <f t="shared" si="1"/>
        <v>3</v>
      </c>
      <c r="AE61" t="e">
        <f t="array" ref="AE61">IF(OR(H61&lt;N$3,H61&gt;N$7),H61,#N/A)</f>
        <v>#N/A</v>
      </c>
      <c r="AF61">
        <f t="shared" si="1"/>
        <v>4</v>
      </c>
      <c r="AG61" t="e">
        <f t="array" ref="AG61">IF(OR(I61&lt;O$3,I61&gt;O$7),I61,#N/A)</f>
        <v>#N/A</v>
      </c>
    </row>
    <row r="62" spans="1:33" x14ac:dyDescent="0.25">
      <c r="A62">
        <v>61</v>
      </c>
      <c r="B62">
        <f ca="1">SMALL(dados!A$23:A$422,A62)</f>
        <v>0.153567716632387</v>
      </c>
      <c r="C62">
        <f ca="1">VLOOKUP(B62,dados!A$23:E$422,5,0)</f>
        <v>10</v>
      </c>
      <c r="E62">
        <v>59</v>
      </c>
      <c r="F62">
        <v>12.727272727272727</v>
      </c>
      <c r="G62">
        <v>14.6</v>
      </c>
      <c r="H62">
        <v>14.08</v>
      </c>
      <c r="I62">
        <v>13.92</v>
      </c>
      <c r="Z62">
        <v>1</v>
      </c>
      <c r="AA62" t="e">
        <f t="array" ref="AA62">IF(OR(F62&lt;L$3,F62&gt;L$7),F62,#N/A)</f>
        <v>#N/A</v>
      </c>
      <c r="AB62">
        <f t="shared" si="1"/>
        <v>2</v>
      </c>
      <c r="AC62" t="e">
        <f t="array" ref="AC62">IF(OR(G62&lt;M$3,G62&gt;M$7),G62,#N/A)</f>
        <v>#N/A</v>
      </c>
      <c r="AD62">
        <f t="shared" si="1"/>
        <v>3</v>
      </c>
      <c r="AE62" t="e">
        <f t="array" ref="AE62">IF(OR(H62&lt;N$3,H62&gt;N$7),H62,#N/A)</f>
        <v>#N/A</v>
      </c>
      <c r="AF62">
        <f t="shared" si="1"/>
        <v>4</v>
      </c>
      <c r="AG62" t="e">
        <f t="array" ref="AG62">IF(OR(I62&lt;O$3,I62&gt;O$7),I62,#N/A)</f>
        <v>#N/A</v>
      </c>
    </row>
    <row r="63" spans="1:33" x14ac:dyDescent="0.25">
      <c r="A63">
        <v>62</v>
      </c>
      <c r="B63">
        <f ca="1">SMALL(dados!A$23:A$422,A63)</f>
        <v>0.15849531894658941</v>
      </c>
      <c r="C63">
        <f ca="1">VLOOKUP(B63,dados!A$23:E$422,5,0)</f>
        <v>13</v>
      </c>
      <c r="E63">
        <v>60</v>
      </c>
      <c r="F63">
        <v>16.727272727272727</v>
      </c>
      <c r="G63">
        <v>14.45</v>
      </c>
      <c r="H63">
        <v>13.84</v>
      </c>
      <c r="I63">
        <v>14.01</v>
      </c>
      <c r="Z63">
        <v>1</v>
      </c>
      <c r="AA63" t="e">
        <f t="array" ref="AA63">IF(OR(F63&lt;L$3,F63&gt;L$7),F63,#N/A)</f>
        <v>#N/A</v>
      </c>
      <c r="AB63">
        <f t="shared" si="1"/>
        <v>2</v>
      </c>
      <c r="AC63" t="e">
        <f t="array" ref="AC63">IF(OR(G63&lt;M$3,G63&gt;M$7),G63,#N/A)</f>
        <v>#N/A</v>
      </c>
      <c r="AD63">
        <f t="shared" si="1"/>
        <v>3</v>
      </c>
      <c r="AE63" t="e">
        <f t="array" ref="AE63">IF(OR(H63&lt;N$3,H63&gt;N$7),H63,#N/A)</f>
        <v>#N/A</v>
      </c>
      <c r="AF63">
        <f t="shared" si="1"/>
        <v>4</v>
      </c>
      <c r="AG63" t="e">
        <f t="array" ref="AG63">IF(OR(I63&lt;O$3,I63&gt;O$7),I63,#N/A)</f>
        <v>#N/A</v>
      </c>
    </row>
    <row r="64" spans="1:33" x14ac:dyDescent="0.25">
      <c r="A64">
        <v>63</v>
      </c>
      <c r="B64">
        <f ca="1">SMALL(dados!A$23:A$422,A64)</f>
        <v>0.16417302403594647</v>
      </c>
      <c r="C64">
        <f ca="1">VLOOKUP(B64,dados!A$23:E$422,5,0)</f>
        <v>10</v>
      </c>
      <c r="E64">
        <v>61</v>
      </c>
      <c r="F64">
        <v>17.09090909090909</v>
      </c>
      <c r="G64">
        <v>14.3</v>
      </c>
      <c r="H64">
        <v>14.04</v>
      </c>
      <c r="I64">
        <v>13.47</v>
      </c>
      <c r="Z64">
        <v>1</v>
      </c>
      <c r="AA64" t="e">
        <f t="array" ref="AA64">IF(OR(F64&lt;L$3,F64&gt;L$7),F64,#N/A)</f>
        <v>#N/A</v>
      </c>
      <c r="AB64">
        <f t="shared" si="1"/>
        <v>2</v>
      </c>
      <c r="AC64" t="e">
        <f t="array" ref="AC64">IF(OR(G64&lt;M$3,G64&gt;M$7),G64,#N/A)</f>
        <v>#N/A</v>
      </c>
      <c r="AD64">
        <f t="shared" si="1"/>
        <v>3</v>
      </c>
      <c r="AE64" t="e">
        <f t="array" ref="AE64">IF(OR(H64&lt;N$3,H64&gt;N$7),H64,#N/A)</f>
        <v>#N/A</v>
      </c>
      <c r="AF64">
        <f t="shared" si="1"/>
        <v>4</v>
      </c>
      <c r="AG64" t="e">
        <f t="array" ref="AG64">IF(OR(I64&lt;O$3,I64&gt;O$7),I64,#N/A)</f>
        <v>#N/A</v>
      </c>
    </row>
    <row r="65" spans="1:33" x14ac:dyDescent="0.25">
      <c r="A65">
        <v>64</v>
      </c>
      <c r="B65">
        <f ca="1">SMALL(dados!A$23:A$422,A65)</f>
        <v>0.1678236788407228</v>
      </c>
      <c r="C65">
        <f ca="1">VLOOKUP(B65,dados!A$23:E$422,5,0)</f>
        <v>11</v>
      </c>
      <c r="E65">
        <v>62</v>
      </c>
      <c r="F65">
        <v>9.6363636363636367</v>
      </c>
      <c r="G65">
        <v>11.05</v>
      </c>
      <c r="H65">
        <v>14.84</v>
      </c>
      <c r="I65">
        <v>14.25</v>
      </c>
      <c r="Z65">
        <v>1</v>
      </c>
      <c r="AA65" t="e">
        <f t="array" ref="AA65">IF(OR(F65&lt;L$3,F65&gt;L$7),F65,#N/A)</f>
        <v>#N/A</v>
      </c>
      <c r="AB65">
        <f t="shared" si="1"/>
        <v>2</v>
      </c>
      <c r="AC65" t="e">
        <f t="array" ref="AC65">IF(OR(G65&lt;M$3,G65&gt;M$7),G65,#N/A)</f>
        <v>#N/A</v>
      </c>
      <c r="AD65">
        <f t="shared" si="1"/>
        <v>3</v>
      </c>
      <c r="AE65" t="e">
        <f t="array" ref="AE65">IF(OR(H65&lt;N$3,H65&gt;N$7),H65,#N/A)</f>
        <v>#N/A</v>
      </c>
      <c r="AF65">
        <f t="shared" si="1"/>
        <v>4</v>
      </c>
      <c r="AG65" t="e">
        <f t="array" ref="AG65">IF(OR(I65&lt;O$3,I65&gt;O$7),I65,#N/A)</f>
        <v>#N/A</v>
      </c>
    </row>
    <row r="66" spans="1:33" x14ac:dyDescent="0.25">
      <c r="A66">
        <v>65</v>
      </c>
      <c r="B66">
        <f ca="1">SMALL(dados!A$23:A$422,A66)</f>
        <v>0.16889114811423711</v>
      </c>
      <c r="C66">
        <f ca="1">VLOOKUP(B66,dados!A$23:E$422,5,0)</f>
        <v>30</v>
      </c>
      <c r="E66">
        <v>63</v>
      </c>
      <c r="F66">
        <v>15.090909090909092</v>
      </c>
      <c r="G66">
        <v>13.8</v>
      </c>
      <c r="H66">
        <v>16.28</v>
      </c>
      <c r="I66">
        <v>14.04</v>
      </c>
      <c r="Z66">
        <v>1</v>
      </c>
      <c r="AA66" t="e">
        <f t="array" ref="AA66">IF(OR(F66&lt;L$3,F66&gt;L$7),F66,#N/A)</f>
        <v>#N/A</v>
      </c>
      <c r="AB66">
        <f t="shared" si="1"/>
        <v>2</v>
      </c>
      <c r="AC66" t="e">
        <f t="array" ref="AC66">IF(OR(G66&lt;M$3,G66&gt;M$7),G66,#N/A)</f>
        <v>#N/A</v>
      </c>
      <c r="AD66">
        <f t="shared" si="1"/>
        <v>3</v>
      </c>
      <c r="AE66" t="e">
        <f t="array" ref="AE66">IF(OR(H66&lt;N$3,H66&gt;N$7),H66,#N/A)</f>
        <v>#N/A</v>
      </c>
      <c r="AF66">
        <f t="shared" si="1"/>
        <v>4</v>
      </c>
      <c r="AG66" t="e">
        <f t="array" ref="AG66">IF(OR(I66&lt;O$3,I66&gt;O$7),I66,#N/A)</f>
        <v>#N/A</v>
      </c>
    </row>
    <row r="67" spans="1:33" x14ac:dyDescent="0.25">
      <c r="A67">
        <v>66</v>
      </c>
      <c r="B67">
        <f ca="1">SMALL(dados!A$23:A$422,A67)</f>
        <v>0.17019568926574313</v>
      </c>
      <c r="C67">
        <f ca="1">VLOOKUP(B67,dados!A$23:E$422,5,0)</f>
        <v>8</v>
      </c>
      <c r="E67">
        <v>64</v>
      </c>
      <c r="F67">
        <v>10.454545454545455</v>
      </c>
      <c r="G67">
        <v>10.6</v>
      </c>
      <c r="H67">
        <v>12.34</v>
      </c>
      <c r="I67">
        <v>13.33</v>
      </c>
      <c r="Z67">
        <v>1</v>
      </c>
      <c r="AA67" t="e">
        <f t="array" ref="AA67">IF(OR(F67&lt;L$3,F67&gt;L$7),F67,#N/A)</f>
        <v>#N/A</v>
      </c>
      <c r="AB67">
        <f t="shared" si="1"/>
        <v>2</v>
      </c>
      <c r="AC67" t="e">
        <f t="array" ref="AC67">IF(OR(G67&lt;M$3,G67&gt;M$7),G67,#N/A)</f>
        <v>#N/A</v>
      </c>
      <c r="AD67">
        <f t="shared" si="1"/>
        <v>3</v>
      </c>
      <c r="AE67" t="e">
        <f t="array" ref="AE67">IF(OR(H67&lt;N$3,H67&gt;N$7),H67,#N/A)</f>
        <v>#N/A</v>
      </c>
      <c r="AF67">
        <f t="shared" si="1"/>
        <v>4</v>
      </c>
      <c r="AG67" t="e">
        <f t="array" ref="AG67">IF(OR(I67&lt;O$3,I67&gt;O$7),I67,#N/A)</f>
        <v>#N/A</v>
      </c>
    </row>
    <row r="68" spans="1:33" x14ac:dyDescent="0.25">
      <c r="A68">
        <v>67</v>
      </c>
      <c r="B68">
        <f ca="1">SMALL(dados!A$23:A$422,A68)</f>
        <v>0.17096267850416336</v>
      </c>
      <c r="C68">
        <f ca="1">VLOOKUP(B68,dados!A$23:E$422,5,0)</f>
        <v>11</v>
      </c>
      <c r="E68">
        <v>65</v>
      </c>
      <c r="F68">
        <v>16.363636363636363</v>
      </c>
      <c r="G68">
        <v>15.25</v>
      </c>
      <c r="H68">
        <v>13.88</v>
      </c>
      <c r="I68">
        <v>14.4</v>
      </c>
      <c r="Z68">
        <v>1</v>
      </c>
      <c r="AA68" t="e">
        <f t="array" ref="AA68">IF(OR(F68&lt;L$3,F68&gt;L$7),F68,#N/A)</f>
        <v>#N/A</v>
      </c>
      <c r="AB68">
        <f t="shared" si="1"/>
        <v>2</v>
      </c>
      <c r="AC68" t="e">
        <f t="array" ref="AC68">IF(OR(G68&lt;M$3,G68&gt;M$7),G68,#N/A)</f>
        <v>#N/A</v>
      </c>
      <c r="AD68">
        <f t="shared" si="1"/>
        <v>3</v>
      </c>
      <c r="AE68" t="e">
        <f t="array" ref="AE68">IF(OR(H68&lt;N$3,H68&gt;N$7),H68,#N/A)</f>
        <v>#N/A</v>
      </c>
      <c r="AF68">
        <f t="shared" si="1"/>
        <v>4</v>
      </c>
      <c r="AG68" t="e">
        <f t="array" ref="AG68">IF(OR(I68&lt;O$3,I68&gt;O$7),I68,#N/A)</f>
        <v>#N/A</v>
      </c>
    </row>
    <row r="69" spans="1:33" x14ac:dyDescent="0.25">
      <c r="A69">
        <v>68</v>
      </c>
      <c r="B69">
        <f ca="1">SMALL(dados!A$23:A$422,A69)</f>
        <v>0.17289314256842181</v>
      </c>
      <c r="C69">
        <f ca="1">VLOOKUP(B69,dados!A$23:E$422,5,0)</f>
        <v>12</v>
      </c>
      <c r="E69">
        <v>66</v>
      </c>
      <c r="F69">
        <v>13.818181818181818</v>
      </c>
      <c r="G69">
        <v>16.600000000000001</v>
      </c>
      <c r="H69">
        <v>16.46</v>
      </c>
      <c r="I69">
        <v>14.68</v>
      </c>
      <c r="Z69">
        <v>1</v>
      </c>
      <c r="AA69" t="e">
        <f t="array" ref="AA69">IF(OR(F69&lt;L$3,F69&gt;L$7),F69,#N/A)</f>
        <v>#N/A</v>
      </c>
      <c r="AB69">
        <f t="shared" ref="AB69:AF132" si="2">Z69+1</f>
        <v>2</v>
      </c>
      <c r="AC69" t="e">
        <f t="array" ref="AC69">IF(OR(G69&lt;M$3,G69&gt;M$7),G69,#N/A)</f>
        <v>#N/A</v>
      </c>
      <c r="AD69">
        <f t="shared" si="2"/>
        <v>3</v>
      </c>
      <c r="AE69" t="e">
        <f t="array" ref="AE69">IF(OR(H69&lt;N$3,H69&gt;N$7),H69,#N/A)</f>
        <v>#N/A</v>
      </c>
      <c r="AF69">
        <f t="shared" si="2"/>
        <v>4</v>
      </c>
      <c r="AG69" t="e">
        <f t="array" ref="AG69">IF(OR(I69&lt;O$3,I69&gt;O$7),I69,#N/A)</f>
        <v>#N/A</v>
      </c>
    </row>
    <row r="70" spans="1:33" x14ac:dyDescent="0.25">
      <c r="A70">
        <v>69</v>
      </c>
      <c r="B70">
        <f ca="1">SMALL(dados!A$23:A$422,A70)</f>
        <v>0.17400411420052342</v>
      </c>
      <c r="C70">
        <f ca="1">VLOOKUP(B70,dados!A$23:E$422,5,0)</f>
        <v>15</v>
      </c>
      <c r="E70">
        <v>67</v>
      </c>
      <c r="F70">
        <v>12.181818181818182</v>
      </c>
      <c r="G70">
        <v>12</v>
      </c>
      <c r="H70">
        <v>14.2</v>
      </c>
      <c r="I70">
        <v>13.2</v>
      </c>
      <c r="Z70">
        <v>1</v>
      </c>
      <c r="AA70" t="e">
        <f t="array" ref="AA70">IF(OR(F70&lt;L$3,F70&gt;L$7),F70,#N/A)</f>
        <v>#N/A</v>
      </c>
      <c r="AB70">
        <f t="shared" si="2"/>
        <v>2</v>
      </c>
      <c r="AC70" t="e">
        <f t="array" ref="AC70">IF(OR(G70&lt;M$3,G70&gt;M$7),G70,#N/A)</f>
        <v>#N/A</v>
      </c>
      <c r="AD70">
        <f t="shared" si="2"/>
        <v>3</v>
      </c>
      <c r="AE70" t="e">
        <f t="array" ref="AE70">IF(OR(H70&lt;N$3,H70&gt;N$7),H70,#N/A)</f>
        <v>#N/A</v>
      </c>
      <c r="AF70">
        <f t="shared" si="2"/>
        <v>4</v>
      </c>
      <c r="AG70" t="e">
        <f t="array" ref="AG70">IF(OR(I70&lt;O$3,I70&gt;O$7),I70,#N/A)</f>
        <v>#N/A</v>
      </c>
    </row>
    <row r="71" spans="1:33" x14ac:dyDescent="0.25">
      <c r="A71">
        <v>70</v>
      </c>
      <c r="B71">
        <f ca="1">SMALL(dados!A$23:A$422,A71)</f>
        <v>0.17593738332901598</v>
      </c>
      <c r="C71">
        <f ca="1">VLOOKUP(B71,dados!A$23:E$422,5,0)</f>
        <v>12</v>
      </c>
      <c r="E71">
        <v>68</v>
      </c>
      <c r="F71">
        <v>13.545454545454545</v>
      </c>
      <c r="G71">
        <v>11.9</v>
      </c>
      <c r="H71">
        <v>12.3</v>
      </c>
      <c r="I71">
        <v>12.93</v>
      </c>
      <c r="Z71">
        <v>1</v>
      </c>
      <c r="AA71" t="e">
        <f t="array" ref="AA71">IF(OR(F71&lt;L$3,F71&gt;L$7),F71,#N/A)</f>
        <v>#N/A</v>
      </c>
      <c r="AB71">
        <f t="shared" si="2"/>
        <v>2</v>
      </c>
      <c r="AC71" t="e">
        <f t="array" ref="AC71">IF(OR(G71&lt;M$3,G71&gt;M$7),G71,#N/A)</f>
        <v>#N/A</v>
      </c>
      <c r="AD71">
        <f t="shared" si="2"/>
        <v>3</v>
      </c>
      <c r="AE71" t="e">
        <f t="array" ref="AE71">IF(OR(H71&lt;N$3,H71&gt;N$7),H71,#N/A)</f>
        <v>#N/A</v>
      </c>
      <c r="AF71">
        <f t="shared" si="2"/>
        <v>4</v>
      </c>
      <c r="AG71" t="e">
        <f t="array" ref="AG71">IF(OR(I71&lt;O$3,I71&gt;O$7),I71,#N/A)</f>
        <v>#N/A</v>
      </c>
    </row>
    <row r="72" spans="1:33" x14ac:dyDescent="0.25">
      <c r="A72">
        <v>71</v>
      </c>
      <c r="B72">
        <f ca="1">SMALL(dados!A$23:A$422,A72)</f>
        <v>0.17648557128544562</v>
      </c>
      <c r="C72">
        <f ca="1">VLOOKUP(B72,dados!A$23:E$422,5,0)</f>
        <v>13</v>
      </c>
      <c r="E72">
        <v>69</v>
      </c>
      <c r="F72">
        <v>12.909090909090908</v>
      </c>
      <c r="G72">
        <v>12.8</v>
      </c>
      <c r="H72">
        <v>13.16</v>
      </c>
      <c r="I72">
        <v>13.89</v>
      </c>
      <c r="Z72">
        <v>1</v>
      </c>
      <c r="AA72" t="e">
        <f t="array" ref="AA72">IF(OR(F72&lt;L$3,F72&gt;L$7),F72,#N/A)</f>
        <v>#N/A</v>
      </c>
      <c r="AB72">
        <f t="shared" si="2"/>
        <v>2</v>
      </c>
      <c r="AC72" t="e">
        <f t="array" ref="AC72">IF(OR(G72&lt;M$3,G72&gt;M$7),G72,#N/A)</f>
        <v>#N/A</v>
      </c>
      <c r="AD72">
        <f t="shared" si="2"/>
        <v>3</v>
      </c>
      <c r="AE72" t="e">
        <f t="array" ref="AE72">IF(OR(H72&lt;N$3,H72&gt;N$7),H72,#N/A)</f>
        <v>#N/A</v>
      </c>
      <c r="AF72">
        <f t="shared" si="2"/>
        <v>4</v>
      </c>
      <c r="AG72" t="e">
        <f t="array" ref="AG72">IF(OR(I72&lt;O$3,I72&gt;O$7),I72,#N/A)</f>
        <v>#N/A</v>
      </c>
    </row>
    <row r="73" spans="1:33" x14ac:dyDescent="0.25">
      <c r="A73">
        <v>72</v>
      </c>
      <c r="B73">
        <f ca="1">SMALL(dados!A$23:A$422,A73)</f>
        <v>0.17677942798379731</v>
      </c>
      <c r="C73">
        <f ca="1">VLOOKUP(B73,dados!A$23:E$422,5,0)</f>
        <v>11</v>
      </c>
      <c r="E73">
        <v>70</v>
      </c>
      <c r="F73">
        <v>15.363636363636363</v>
      </c>
      <c r="G73">
        <v>13</v>
      </c>
      <c r="H73">
        <v>14.8</v>
      </c>
      <c r="I73">
        <v>13.96</v>
      </c>
      <c r="Z73">
        <v>1</v>
      </c>
      <c r="AA73" t="e">
        <f t="array" ref="AA73">IF(OR(F73&lt;L$3,F73&gt;L$7),F73,#N/A)</f>
        <v>#N/A</v>
      </c>
      <c r="AB73">
        <f t="shared" si="2"/>
        <v>2</v>
      </c>
      <c r="AC73" t="e">
        <f t="array" ref="AC73">IF(OR(G73&lt;M$3,G73&gt;M$7),G73,#N/A)</f>
        <v>#N/A</v>
      </c>
      <c r="AD73">
        <f t="shared" si="2"/>
        <v>3</v>
      </c>
      <c r="AE73" t="e">
        <f t="array" ref="AE73">IF(OR(H73&lt;N$3,H73&gt;N$7),H73,#N/A)</f>
        <v>#N/A</v>
      </c>
      <c r="AF73">
        <f t="shared" si="2"/>
        <v>4</v>
      </c>
      <c r="AG73" t="e">
        <f t="array" ref="AG73">IF(OR(I73&lt;O$3,I73&gt;O$7),I73,#N/A)</f>
        <v>#N/A</v>
      </c>
    </row>
    <row r="74" spans="1:33" x14ac:dyDescent="0.25">
      <c r="A74">
        <v>73</v>
      </c>
      <c r="B74">
        <f ca="1">SMALL(dados!A$23:A$422,A74)</f>
        <v>0.17740241898666453</v>
      </c>
      <c r="C74">
        <f ca="1">VLOOKUP(B74,dados!A$23:E$422,5,0)</f>
        <v>10</v>
      </c>
      <c r="E74">
        <v>71</v>
      </c>
      <c r="F74">
        <v>14.727272727272727</v>
      </c>
      <c r="G74">
        <v>13.2</v>
      </c>
      <c r="H74">
        <v>13.48</v>
      </c>
      <c r="I74">
        <v>13.57</v>
      </c>
      <c r="Z74">
        <v>1</v>
      </c>
      <c r="AA74" t="e">
        <f t="array" ref="AA74">IF(OR(F74&lt;L$3,F74&gt;L$7),F74,#N/A)</f>
        <v>#N/A</v>
      </c>
      <c r="AB74">
        <f t="shared" si="2"/>
        <v>2</v>
      </c>
      <c r="AC74" t="e">
        <f t="array" ref="AC74">IF(OR(G74&lt;M$3,G74&gt;M$7),G74,#N/A)</f>
        <v>#N/A</v>
      </c>
      <c r="AD74">
        <f t="shared" si="2"/>
        <v>3</v>
      </c>
      <c r="AE74" t="e">
        <f t="array" ref="AE74">IF(OR(H74&lt;N$3,H74&gt;N$7),H74,#N/A)</f>
        <v>#N/A</v>
      </c>
      <c r="AF74">
        <f t="shared" si="2"/>
        <v>4</v>
      </c>
      <c r="AG74" t="e">
        <f t="array" ref="AG74">IF(OR(I74&lt;O$3,I74&gt;O$7),I74,#N/A)</f>
        <v>#N/A</v>
      </c>
    </row>
    <row r="75" spans="1:33" x14ac:dyDescent="0.25">
      <c r="A75">
        <v>74</v>
      </c>
      <c r="B75">
        <f ca="1">SMALL(dados!A$23:A$422,A75)</f>
        <v>0.18314890121897187</v>
      </c>
      <c r="C75">
        <f ca="1">VLOOKUP(B75,dados!A$23:E$422,5,0)</f>
        <v>12</v>
      </c>
      <c r="E75">
        <v>72</v>
      </c>
      <c r="F75">
        <v>13.818181818181818</v>
      </c>
      <c r="G75">
        <v>15.85</v>
      </c>
      <c r="H75">
        <v>13.08</v>
      </c>
      <c r="I75">
        <v>13.35</v>
      </c>
      <c r="Z75">
        <v>1</v>
      </c>
      <c r="AA75" t="e">
        <f t="array" ref="AA75">IF(OR(F75&lt;L$3,F75&gt;L$7),F75,#N/A)</f>
        <v>#N/A</v>
      </c>
      <c r="AB75">
        <f t="shared" si="2"/>
        <v>2</v>
      </c>
      <c r="AC75" t="e">
        <f t="array" ref="AC75">IF(OR(G75&lt;M$3,G75&gt;M$7),G75,#N/A)</f>
        <v>#N/A</v>
      </c>
      <c r="AD75">
        <f t="shared" si="2"/>
        <v>3</v>
      </c>
      <c r="AE75" t="e">
        <f t="array" ref="AE75">IF(OR(H75&lt;N$3,H75&gt;N$7),H75,#N/A)</f>
        <v>#N/A</v>
      </c>
      <c r="AF75">
        <f t="shared" si="2"/>
        <v>4</v>
      </c>
      <c r="AG75" t="e">
        <f t="array" ref="AG75">IF(OR(I75&lt;O$3,I75&gt;O$7),I75,#N/A)</f>
        <v>#N/A</v>
      </c>
    </row>
    <row r="76" spans="1:33" x14ac:dyDescent="0.25">
      <c r="A76">
        <v>75</v>
      </c>
      <c r="B76">
        <f ca="1">SMALL(dados!A$23:A$422,A76)</f>
        <v>0.19367549888233981</v>
      </c>
      <c r="C76">
        <f ca="1">VLOOKUP(B76,dados!A$23:E$422,5,0)</f>
        <v>11</v>
      </c>
      <c r="E76">
        <v>73</v>
      </c>
      <c r="F76">
        <v>15.363636363636363</v>
      </c>
      <c r="G76">
        <v>15.75</v>
      </c>
      <c r="H76">
        <v>15</v>
      </c>
      <c r="I76">
        <v>14.32</v>
      </c>
      <c r="Z76">
        <v>1</v>
      </c>
      <c r="AA76" t="e">
        <f t="array" ref="AA76">IF(OR(F76&lt;L$3,F76&gt;L$7),F76,#N/A)</f>
        <v>#N/A</v>
      </c>
      <c r="AB76">
        <f t="shared" si="2"/>
        <v>2</v>
      </c>
      <c r="AC76" t="e">
        <f t="array" ref="AC76">IF(OR(G76&lt;M$3,G76&gt;M$7),G76,#N/A)</f>
        <v>#N/A</v>
      </c>
      <c r="AD76">
        <f t="shared" si="2"/>
        <v>3</v>
      </c>
      <c r="AE76" t="e">
        <f t="array" ref="AE76">IF(OR(H76&lt;N$3,H76&gt;N$7),H76,#N/A)</f>
        <v>#N/A</v>
      </c>
      <c r="AF76">
        <f t="shared" si="2"/>
        <v>4</v>
      </c>
      <c r="AG76" t="e">
        <f t="array" ref="AG76">IF(OR(I76&lt;O$3,I76&gt;O$7),I76,#N/A)</f>
        <v>#N/A</v>
      </c>
    </row>
    <row r="77" spans="1:33" x14ac:dyDescent="0.25">
      <c r="A77">
        <v>76</v>
      </c>
      <c r="B77">
        <f ca="1">SMALL(dados!A$23:A$422,A77)</f>
        <v>0.19431050777327719</v>
      </c>
      <c r="C77">
        <f ca="1">VLOOKUP(B77,dados!A$23:E$422,5,0)</f>
        <v>7</v>
      </c>
      <c r="E77">
        <v>74</v>
      </c>
      <c r="F77">
        <v>14.454545454545455</v>
      </c>
      <c r="G77">
        <v>14.2</v>
      </c>
      <c r="H77">
        <v>16.18</v>
      </c>
      <c r="I77">
        <v>15.18</v>
      </c>
      <c r="Z77">
        <v>1</v>
      </c>
      <c r="AA77" t="e">
        <f t="array" ref="AA77">IF(OR(F77&lt;L$3,F77&gt;L$7),F77,#N/A)</f>
        <v>#N/A</v>
      </c>
      <c r="AB77">
        <f t="shared" si="2"/>
        <v>2</v>
      </c>
      <c r="AC77" t="e">
        <f t="array" ref="AC77">IF(OR(G77&lt;M$3,G77&gt;M$7),G77,#N/A)</f>
        <v>#N/A</v>
      </c>
      <c r="AD77">
        <f t="shared" si="2"/>
        <v>3</v>
      </c>
      <c r="AE77" t="e">
        <f t="array" ref="AE77">IF(OR(H77&lt;N$3,H77&gt;N$7),H77,#N/A)</f>
        <v>#N/A</v>
      </c>
      <c r="AF77">
        <f t="shared" si="2"/>
        <v>4</v>
      </c>
      <c r="AG77" t="e">
        <f t="array" ref="AG77">IF(OR(I77&lt;O$3,I77&gt;O$7),I77,#N/A)</f>
        <v>#N/A</v>
      </c>
    </row>
    <row r="78" spans="1:33" x14ac:dyDescent="0.25">
      <c r="A78">
        <v>77</v>
      </c>
      <c r="B78">
        <f ca="1">SMALL(dados!A$23:A$422,A78)</f>
        <v>0.19992417622345382</v>
      </c>
      <c r="C78">
        <f ca="1">VLOOKUP(B78,dados!A$23:E$422,5,0)</f>
        <v>2</v>
      </c>
      <c r="E78">
        <v>75</v>
      </c>
      <c r="F78">
        <v>11.363636363636363</v>
      </c>
      <c r="G78">
        <v>11.65</v>
      </c>
      <c r="H78">
        <v>13.46</v>
      </c>
      <c r="I78">
        <v>14.13</v>
      </c>
      <c r="Z78">
        <v>1</v>
      </c>
      <c r="AA78" t="e">
        <f t="array" ref="AA78">IF(OR(F78&lt;L$3,F78&gt;L$7),F78,#N/A)</f>
        <v>#N/A</v>
      </c>
      <c r="AB78">
        <f t="shared" si="2"/>
        <v>2</v>
      </c>
      <c r="AC78" t="e">
        <f t="array" ref="AC78">IF(OR(G78&lt;M$3,G78&gt;M$7),G78,#N/A)</f>
        <v>#N/A</v>
      </c>
      <c r="AD78">
        <f t="shared" si="2"/>
        <v>3</v>
      </c>
      <c r="AE78" t="e">
        <f t="array" ref="AE78">IF(OR(H78&lt;N$3,H78&gt;N$7),H78,#N/A)</f>
        <v>#N/A</v>
      </c>
      <c r="AF78">
        <f t="shared" si="2"/>
        <v>4</v>
      </c>
      <c r="AG78" t="e">
        <f t="array" ref="AG78">IF(OR(I78&lt;O$3,I78&gt;O$7),I78,#N/A)</f>
        <v>#N/A</v>
      </c>
    </row>
    <row r="79" spans="1:33" x14ac:dyDescent="0.25">
      <c r="A79">
        <v>78</v>
      </c>
      <c r="B79">
        <f ca="1">SMALL(dados!A$23:A$422,A79)</f>
        <v>0.20149896773166587</v>
      </c>
      <c r="C79">
        <f ca="1">VLOOKUP(B79,dados!A$23:E$422,5,0)</f>
        <v>10</v>
      </c>
      <c r="E79">
        <v>76</v>
      </c>
      <c r="F79">
        <v>14.909090909090908</v>
      </c>
      <c r="G79">
        <v>13.55</v>
      </c>
      <c r="H79">
        <v>14.94</v>
      </c>
      <c r="I79">
        <v>14.37</v>
      </c>
      <c r="Z79">
        <v>1</v>
      </c>
      <c r="AA79" t="e">
        <f t="array" ref="AA79">IF(OR(F79&lt;L$3,F79&gt;L$7),F79,#N/A)</f>
        <v>#N/A</v>
      </c>
      <c r="AB79">
        <f t="shared" si="2"/>
        <v>2</v>
      </c>
      <c r="AC79" t="e">
        <f t="array" ref="AC79">IF(OR(G79&lt;M$3,G79&gt;M$7),G79,#N/A)</f>
        <v>#N/A</v>
      </c>
      <c r="AD79">
        <f t="shared" si="2"/>
        <v>3</v>
      </c>
      <c r="AE79" t="e">
        <f t="array" ref="AE79">IF(OR(H79&lt;N$3,H79&gt;N$7),H79,#N/A)</f>
        <v>#N/A</v>
      </c>
      <c r="AF79">
        <f t="shared" si="2"/>
        <v>4</v>
      </c>
      <c r="AG79" t="e">
        <f t="array" ref="AG79">IF(OR(I79&lt;O$3,I79&gt;O$7),I79,#N/A)</f>
        <v>#N/A</v>
      </c>
    </row>
    <row r="80" spans="1:33" x14ac:dyDescent="0.25">
      <c r="A80">
        <v>79</v>
      </c>
      <c r="B80">
        <f ca="1">SMALL(dados!A$23:A$422,A80)</f>
        <v>0.20268371189523826</v>
      </c>
      <c r="C80">
        <f ca="1">VLOOKUP(B80,dados!A$23:E$422,5,0)</f>
        <v>8</v>
      </c>
      <c r="E80">
        <v>77</v>
      </c>
      <c r="F80">
        <v>13.181818181818182</v>
      </c>
      <c r="G80">
        <v>13.75</v>
      </c>
      <c r="H80">
        <v>13.64</v>
      </c>
      <c r="I80">
        <v>13.84</v>
      </c>
      <c r="Z80">
        <v>1</v>
      </c>
      <c r="AA80" t="e">
        <f t="array" ref="AA80">IF(OR(F80&lt;L$3,F80&gt;L$7),F80,#N/A)</f>
        <v>#N/A</v>
      </c>
      <c r="AB80">
        <f t="shared" si="2"/>
        <v>2</v>
      </c>
      <c r="AC80" t="e">
        <f t="array" ref="AC80">IF(OR(G80&lt;M$3,G80&gt;M$7),G80,#N/A)</f>
        <v>#N/A</v>
      </c>
      <c r="AD80">
        <f t="shared" si="2"/>
        <v>3</v>
      </c>
      <c r="AE80" t="e">
        <f t="array" ref="AE80">IF(OR(H80&lt;N$3,H80&gt;N$7),H80,#N/A)</f>
        <v>#N/A</v>
      </c>
      <c r="AF80">
        <f t="shared" si="2"/>
        <v>4</v>
      </c>
      <c r="AG80" t="e">
        <f t="array" ref="AG80">IF(OR(I80&lt;O$3,I80&gt;O$7),I80,#N/A)</f>
        <v>#N/A</v>
      </c>
    </row>
    <row r="81" spans="1:33" x14ac:dyDescent="0.25">
      <c r="A81">
        <v>80</v>
      </c>
      <c r="B81">
        <f ca="1">SMALL(dados!A$23:A$422,A81)</f>
        <v>0.21433028223481321</v>
      </c>
      <c r="C81">
        <f ca="1">VLOOKUP(B81,dados!A$23:E$422,5,0)</f>
        <v>26</v>
      </c>
      <c r="E81">
        <v>78</v>
      </c>
      <c r="F81">
        <v>15.909090909090908</v>
      </c>
      <c r="G81">
        <v>16.649999999999999</v>
      </c>
      <c r="H81">
        <v>16.079999999999998</v>
      </c>
      <c r="I81">
        <v>13.76</v>
      </c>
      <c r="Z81">
        <v>1</v>
      </c>
      <c r="AA81" t="e">
        <f t="array" ref="AA81">IF(OR(F81&lt;L$3,F81&gt;L$7),F81,#N/A)</f>
        <v>#N/A</v>
      </c>
      <c r="AB81">
        <f t="shared" si="2"/>
        <v>2</v>
      </c>
      <c r="AC81" t="e">
        <f t="array" ref="AC81">IF(OR(G81&lt;M$3,G81&gt;M$7),G81,#N/A)</f>
        <v>#N/A</v>
      </c>
      <c r="AD81">
        <f t="shared" si="2"/>
        <v>3</v>
      </c>
      <c r="AE81" t="e">
        <f t="array" ref="AE81">IF(OR(H81&lt;N$3,H81&gt;N$7),H81,#N/A)</f>
        <v>#N/A</v>
      </c>
      <c r="AF81">
        <f t="shared" si="2"/>
        <v>4</v>
      </c>
      <c r="AG81" t="e">
        <f t="array" ref="AG81">IF(OR(I81&lt;O$3,I81&gt;O$7),I81,#N/A)</f>
        <v>#N/A</v>
      </c>
    </row>
    <row r="82" spans="1:33" x14ac:dyDescent="0.25">
      <c r="A82">
        <v>81</v>
      </c>
      <c r="B82">
        <f ca="1">SMALL(dados!A$23:A$422,A82)</f>
        <v>0.21593886078072888</v>
      </c>
      <c r="C82">
        <f ca="1">VLOOKUP(B82,dados!A$23:E$422,5,0)</f>
        <v>6</v>
      </c>
      <c r="E82">
        <v>79</v>
      </c>
      <c r="F82">
        <v>13.272727272727273</v>
      </c>
      <c r="G82">
        <v>11.75</v>
      </c>
      <c r="H82">
        <v>13.42</v>
      </c>
      <c r="I82">
        <v>13.4</v>
      </c>
      <c r="Z82">
        <v>1</v>
      </c>
      <c r="AA82" t="e">
        <f t="array" ref="AA82">IF(OR(F82&lt;L$3,F82&gt;L$7),F82,#N/A)</f>
        <v>#N/A</v>
      </c>
      <c r="AB82">
        <f t="shared" si="2"/>
        <v>2</v>
      </c>
      <c r="AC82" t="e">
        <f t="array" ref="AC82">IF(OR(G82&lt;M$3,G82&gt;M$7),G82,#N/A)</f>
        <v>#N/A</v>
      </c>
      <c r="AD82">
        <f t="shared" si="2"/>
        <v>3</v>
      </c>
      <c r="AE82" t="e">
        <f t="array" ref="AE82">IF(OR(H82&lt;N$3,H82&gt;N$7),H82,#N/A)</f>
        <v>#N/A</v>
      </c>
      <c r="AF82">
        <f t="shared" si="2"/>
        <v>4</v>
      </c>
      <c r="AG82" t="e">
        <f t="array" ref="AG82">IF(OR(I82&lt;O$3,I82&gt;O$7),I82,#N/A)</f>
        <v>#N/A</v>
      </c>
    </row>
    <row r="83" spans="1:33" x14ac:dyDescent="0.25">
      <c r="A83">
        <v>82</v>
      </c>
      <c r="B83">
        <f ca="1">SMALL(dados!A$23:A$422,A83)</f>
        <v>0.21989992522073787</v>
      </c>
      <c r="C83">
        <f ca="1">VLOOKUP(B83,dados!A$23:E$422,5,0)</f>
        <v>11</v>
      </c>
      <c r="E83">
        <v>80</v>
      </c>
      <c r="F83">
        <v>10.545454545454545</v>
      </c>
      <c r="G83">
        <v>12.35</v>
      </c>
      <c r="H83">
        <v>14.52</v>
      </c>
      <c r="I83">
        <v>13.72</v>
      </c>
      <c r="Z83">
        <v>1</v>
      </c>
      <c r="AA83" t="e">
        <f t="array" ref="AA83">IF(OR(F83&lt;L$3,F83&gt;L$7),F83,#N/A)</f>
        <v>#N/A</v>
      </c>
      <c r="AB83">
        <f t="shared" si="2"/>
        <v>2</v>
      </c>
      <c r="AC83" t="e">
        <f t="array" ref="AC83">IF(OR(G83&lt;M$3,G83&gt;M$7),G83,#N/A)</f>
        <v>#N/A</v>
      </c>
      <c r="AD83">
        <f t="shared" si="2"/>
        <v>3</v>
      </c>
      <c r="AE83" t="e">
        <f t="array" ref="AE83">IF(OR(H83&lt;N$3,H83&gt;N$7),H83,#N/A)</f>
        <v>#N/A</v>
      </c>
      <c r="AF83">
        <f t="shared" si="2"/>
        <v>4</v>
      </c>
      <c r="AG83" t="e">
        <f t="array" ref="AG83">IF(OR(I83&lt;O$3,I83&gt;O$7),I83,#N/A)</f>
        <v>#N/A</v>
      </c>
    </row>
    <row r="84" spans="1:33" x14ac:dyDescent="0.25">
      <c r="A84">
        <v>83</v>
      </c>
      <c r="B84">
        <f ca="1">SMALL(dados!A$23:A$422,A84)</f>
        <v>0.22093936342410259</v>
      </c>
      <c r="C84">
        <f ca="1">VLOOKUP(B84,dados!A$23:E$422,5,0)</f>
        <v>10</v>
      </c>
      <c r="E84">
        <v>81</v>
      </c>
      <c r="F84">
        <v>13</v>
      </c>
      <c r="G84">
        <v>12.2</v>
      </c>
      <c r="H84">
        <v>13.46</v>
      </c>
      <c r="I84">
        <v>13.08</v>
      </c>
      <c r="Z84">
        <v>1</v>
      </c>
      <c r="AA84" t="e">
        <f t="array" ref="AA84">IF(OR(F84&lt;L$3,F84&gt;L$7),F84,#N/A)</f>
        <v>#N/A</v>
      </c>
      <c r="AB84">
        <f t="shared" si="2"/>
        <v>2</v>
      </c>
      <c r="AC84" t="e">
        <f t="array" ref="AC84">IF(OR(G84&lt;M$3,G84&gt;M$7),G84,#N/A)</f>
        <v>#N/A</v>
      </c>
      <c r="AD84">
        <f t="shared" si="2"/>
        <v>3</v>
      </c>
      <c r="AE84" t="e">
        <f t="array" ref="AE84">IF(OR(H84&lt;N$3,H84&gt;N$7),H84,#N/A)</f>
        <v>#N/A</v>
      </c>
      <c r="AF84">
        <f t="shared" si="2"/>
        <v>4</v>
      </c>
      <c r="AG84" t="e">
        <f t="array" ref="AG84">IF(OR(I84&lt;O$3,I84&gt;O$7),I84,#N/A)</f>
        <v>#N/A</v>
      </c>
    </row>
    <row r="85" spans="1:33" x14ac:dyDescent="0.25">
      <c r="A85">
        <v>84</v>
      </c>
      <c r="B85">
        <f ca="1">SMALL(dados!A$23:A$422,A85)</f>
        <v>0.22732362778877602</v>
      </c>
      <c r="C85">
        <f ca="1">VLOOKUP(B85,dados!A$23:E$422,5,0)</f>
        <v>8</v>
      </c>
      <c r="E85">
        <v>82</v>
      </c>
      <c r="F85">
        <v>12.636363636363637</v>
      </c>
      <c r="G85">
        <v>11.6</v>
      </c>
      <c r="H85">
        <v>13.04</v>
      </c>
      <c r="I85">
        <v>14.27</v>
      </c>
      <c r="Z85">
        <v>1</v>
      </c>
      <c r="AA85" t="e">
        <f t="array" ref="AA85">IF(OR(F85&lt;L$3,F85&gt;L$7),F85,#N/A)</f>
        <v>#N/A</v>
      </c>
      <c r="AB85">
        <f t="shared" si="2"/>
        <v>2</v>
      </c>
      <c r="AC85" t="e">
        <f t="array" ref="AC85">IF(OR(G85&lt;M$3,G85&gt;M$7),G85,#N/A)</f>
        <v>#N/A</v>
      </c>
      <c r="AD85">
        <f t="shared" si="2"/>
        <v>3</v>
      </c>
      <c r="AE85" t="e">
        <f t="array" ref="AE85">IF(OR(H85&lt;N$3,H85&gt;N$7),H85,#N/A)</f>
        <v>#N/A</v>
      </c>
      <c r="AF85">
        <f t="shared" si="2"/>
        <v>4</v>
      </c>
      <c r="AG85" t="e">
        <f t="array" ref="AG85">IF(OR(I85&lt;O$3,I85&gt;O$7),I85,#N/A)</f>
        <v>#N/A</v>
      </c>
    </row>
    <row r="86" spans="1:33" x14ac:dyDescent="0.25">
      <c r="A86">
        <v>85</v>
      </c>
      <c r="B86">
        <f ca="1">SMALL(dados!A$23:A$422,A86)</f>
        <v>0.23031846013179935</v>
      </c>
      <c r="C86">
        <f ca="1">VLOOKUP(B86,dados!A$23:E$422,5,0)</f>
        <v>22</v>
      </c>
      <c r="E86">
        <v>83</v>
      </c>
      <c r="F86">
        <v>18.09090909090909</v>
      </c>
      <c r="G86">
        <v>17.05</v>
      </c>
      <c r="H86">
        <v>14.2</v>
      </c>
      <c r="I86">
        <v>14.28</v>
      </c>
      <c r="Z86">
        <v>1</v>
      </c>
      <c r="AA86" t="e">
        <f t="array" ref="AA86">IF(OR(F86&lt;L$3,F86&gt;L$7),F86,#N/A)</f>
        <v>#N/A</v>
      </c>
      <c r="AB86">
        <f t="shared" si="2"/>
        <v>2</v>
      </c>
      <c r="AC86" t="e">
        <f t="array" ref="AC86">IF(OR(G86&lt;M$3,G86&gt;M$7),G86,#N/A)</f>
        <v>#N/A</v>
      </c>
      <c r="AD86">
        <f t="shared" si="2"/>
        <v>3</v>
      </c>
      <c r="AE86" t="e">
        <f t="array" ref="AE86">IF(OR(H86&lt;N$3,H86&gt;N$7),H86,#N/A)</f>
        <v>#N/A</v>
      </c>
      <c r="AF86">
        <f t="shared" si="2"/>
        <v>4</v>
      </c>
      <c r="AG86" t="e">
        <f t="array" ref="AG86">IF(OR(I86&lt;O$3,I86&gt;O$7),I86,#N/A)</f>
        <v>#N/A</v>
      </c>
    </row>
    <row r="87" spans="1:33" x14ac:dyDescent="0.25">
      <c r="A87">
        <v>86</v>
      </c>
      <c r="B87">
        <f ca="1">SMALL(dados!A$23:A$422,A87)</f>
        <v>0.23045000354871381</v>
      </c>
      <c r="C87">
        <f ca="1">VLOOKUP(B87,dados!A$23:E$422,5,0)</f>
        <v>19</v>
      </c>
      <c r="E87">
        <v>84</v>
      </c>
      <c r="F87">
        <v>12.272727272727273</v>
      </c>
      <c r="G87">
        <v>12.35</v>
      </c>
      <c r="H87">
        <v>13.8</v>
      </c>
      <c r="I87">
        <v>13.58</v>
      </c>
      <c r="Z87">
        <v>1</v>
      </c>
      <c r="AA87" t="e">
        <f t="array" ref="AA87">IF(OR(F87&lt;L$3,F87&gt;L$7),F87,#N/A)</f>
        <v>#N/A</v>
      </c>
      <c r="AB87">
        <f t="shared" si="2"/>
        <v>2</v>
      </c>
      <c r="AC87" t="e">
        <f t="array" ref="AC87">IF(OR(G87&lt;M$3,G87&gt;M$7),G87,#N/A)</f>
        <v>#N/A</v>
      </c>
      <c r="AD87">
        <f t="shared" si="2"/>
        <v>3</v>
      </c>
      <c r="AE87" t="e">
        <f t="array" ref="AE87">IF(OR(H87&lt;N$3,H87&gt;N$7),H87,#N/A)</f>
        <v>#N/A</v>
      </c>
      <c r="AF87">
        <f t="shared" si="2"/>
        <v>4</v>
      </c>
      <c r="AG87" t="e">
        <f t="array" ref="AG87">IF(OR(I87&lt;O$3,I87&gt;O$7),I87,#N/A)</f>
        <v>#N/A</v>
      </c>
    </row>
    <row r="88" spans="1:33" x14ac:dyDescent="0.25">
      <c r="A88">
        <v>87</v>
      </c>
      <c r="B88">
        <f ca="1">SMALL(dados!A$23:A$422,A88)</f>
        <v>0.23251370384072556</v>
      </c>
      <c r="C88">
        <f ca="1">VLOOKUP(B88,dados!A$23:E$422,5,0)</f>
        <v>29</v>
      </c>
      <c r="E88">
        <v>85</v>
      </c>
      <c r="F88">
        <v>13.636363636363637</v>
      </c>
      <c r="G88">
        <v>14.95</v>
      </c>
      <c r="H88">
        <v>14.16</v>
      </c>
      <c r="I88">
        <v>14.22</v>
      </c>
      <c r="Z88">
        <v>1</v>
      </c>
      <c r="AA88" t="e">
        <f t="array" ref="AA88">IF(OR(F88&lt;L$3,F88&gt;L$7),F88,#N/A)</f>
        <v>#N/A</v>
      </c>
      <c r="AB88">
        <f t="shared" si="2"/>
        <v>2</v>
      </c>
      <c r="AC88" t="e">
        <f t="array" ref="AC88">IF(OR(G88&lt;M$3,G88&gt;M$7),G88,#N/A)</f>
        <v>#N/A</v>
      </c>
      <c r="AD88">
        <f t="shared" si="2"/>
        <v>3</v>
      </c>
      <c r="AE88" t="e">
        <f t="array" ref="AE88">IF(OR(H88&lt;N$3,H88&gt;N$7),H88,#N/A)</f>
        <v>#N/A</v>
      </c>
      <c r="AF88">
        <f t="shared" si="2"/>
        <v>4</v>
      </c>
      <c r="AG88" t="e">
        <f t="array" ref="AG88">IF(OR(I88&lt;O$3,I88&gt;O$7),I88,#N/A)</f>
        <v>#N/A</v>
      </c>
    </row>
    <row r="89" spans="1:33" x14ac:dyDescent="0.25">
      <c r="A89">
        <v>88</v>
      </c>
      <c r="B89">
        <f ca="1">SMALL(dados!A$23:A$422,A89)</f>
        <v>0.23350289559155957</v>
      </c>
      <c r="C89">
        <f ca="1">VLOOKUP(B89,dados!A$23:E$422,5,0)</f>
        <v>9</v>
      </c>
      <c r="E89">
        <v>86</v>
      </c>
      <c r="F89">
        <v>11.909090909090908</v>
      </c>
      <c r="G89">
        <v>12.35</v>
      </c>
      <c r="H89">
        <v>12.96</v>
      </c>
      <c r="I89">
        <v>13.31</v>
      </c>
      <c r="Z89">
        <v>1</v>
      </c>
      <c r="AA89" t="e">
        <f t="array" ref="AA89">IF(OR(F89&lt;L$3,F89&gt;L$7),F89,#N/A)</f>
        <v>#N/A</v>
      </c>
      <c r="AB89">
        <f t="shared" si="2"/>
        <v>2</v>
      </c>
      <c r="AC89" t="e">
        <f t="array" ref="AC89">IF(OR(G89&lt;M$3,G89&gt;M$7),G89,#N/A)</f>
        <v>#N/A</v>
      </c>
      <c r="AD89">
        <f t="shared" si="2"/>
        <v>3</v>
      </c>
      <c r="AE89" t="e">
        <f t="array" ref="AE89">IF(OR(H89&lt;N$3,H89&gt;N$7),H89,#N/A)</f>
        <v>#N/A</v>
      </c>
      <c r="AF89">
        <f t="shared" si="2"/>
        <v>4</v>
      </c>
      <c r="AG89" t="e">
        <f t="array" ref="AG89">IF(OR(I89&lt;O$3,I89&gt;O$7),I89,#N/A)</f>
        <v>#N/A</v>
      </c>
    </row>
    <row r="90" spans="1:33" x14ac:dyDescent="0.25">
      <c r="A90">
        <v>89</v>
      </c>
      <c r="B90">
        <f ca="1">SMALL(dados!A$23:A$422,A90)</f>
        <v>0.23403423358269571</v>
      </c>
      <c r="C90">
        <f ca="1">VLOOKUP(B90,dados!A$23:E$422,5,0)</f>
        <v>8</v>
      </c>
      <c r="E90">
        <v>87</v>
      </c>
      <c r="F90">
        <v>12</v>
      </c>
      <c r="G90">
        <v>15.85</v>
      </c>
      <c r="H90">
        <v>15.48</v>
      </c>
      <c r="I90">
        <v>14.34</v>
      </c>
      <c r="Z90">
        <v>1</v>
      </c>
      <c r="AA90" t="e">
        <f t="array" ref="AA90">IF(OR(F90&lt;L$3,F90&gt;L$7),F90,#N/A)</f>
        <v>#N/A</v>
      </c>
      <c r="AB90">
        <f t="shared" si="2"/>
        <v>2</v>
      </c>
      <c r="AC90" t="e">
        <f t="array" ref="AC90">IF(OR(G90&lt;M$3,G90&gt;M$7),G90,#N/A)</f>
        <v>#N/A</v>
      </c>
      <c r="AD90">
        <f t="shared" si="2"/>
        <v>3</v>
      </c>
      <c r="AE90" t="e">
        <f t="array" ref="AE90">IF(OR(H90&lt;N$3,H90&gt;N$7),H90,#N/A)</f>
        <v>#N/A</v>
      </c>
      <c r="AF90">
        <f t="shared" si="2"/>
        <v>4</v>
      </c>
      <c r="AG90" t="e">
        <f t="array" ref="AG90">IF(OR(I90&lt;O$3,I90&gt;O$7),I90,#N/A)</f>
        <v>#N/A</v>
      </c>
    </row>
    <row r="91" spans="1:33" x14ac:dyDescent="0.25">
      <c r="A91">
        <v>90</v>
      </c>
      <c r="B91">
        <f ca="1">SMALL(dados!A$23:A$422,A91)</f>
        <v>0.23716817960094405</v>
      </c>
      <c r="C91">
        <f ca="1">VLOOKUP(B91,dados!A$23:E$422,5,0)</f>
        <v>20</v>
      </c>
      <c r="E91">
        <v>88</v>
      </c>
      <c r="F91">
        <v>15</v>
      </c>
      <c r="G91">
        <v>13.95</v>
      </c>
      <c r="H91">
        <v>14.46</v>
      </c>
      <c r="I91">
        <v>14.12</v>
      </c>
      <c r="Z91">
        <v>1</v>
      </c>
      <c r="AA91" t="e">
        <f t="array" ref="AA91">IF(OR(F91&lt;L$3,F91&gt;L$7),F91,#N/A)</f>
        <v>#N/A</v>
      </c>
      <c r="AB91">
        <f t="shared" si="2"/>
        <v>2</v>
      </c>
      <c r="AC91" t="e">
        <f t="array" ref="AC91">IF(OR(G91&lt;M$3,G91&gt;M$7),G91,#N/A)</f>
        <v>#N/A</v>
      </c>
      <c r="AD91">
        <f t="shared" si="2"/>
        <v>3</v>
      </c>
      <c r="AE91" t="e">
        <f t="array" ref="AE91">IF(OR(H91&lt;N$3,H91&gt;N$7),H91,#N/A)</f>
        <v>#N/A</v>
      </c>
      <c r="AF91">
        <f t="shared" si="2"/>
        <v>4</v>
      </c>
      <c r="AG91" t="e">
        <f t="array" ref="AG91">IF(OR(I91&lt;O$3,I91&gt;O$7),I91,#N/A)</f>
        <v>#N/A</v>
      </c>
    </row>
    <row r="92" spans="1:33" x14ac:dyDescent="0.25">
      <c r="A92">
        <v>91</v>
      </c>
      <c r="B92">
        <f ca="1">SMALL(dados!A$23:A$422,A92)</f>
        <v>0.24282943933317847</v>
      </c>
      <c r="C92">
        <f ca="1">VLOOKUP(B92,dados!A$23:E$422,5,0)</f>
        <v>17</v>
      </c>
      <c r="E92">
        <v>89</v>
      </c>
      <c r="F92">
        <v>16.09090909090909</v>
      </c>
      <c r="G92">
        <v>15.3</v>
      </c>
      <c r="H92">
        <v>14.56</v>
      </c>
      <c r="I92">
        <v>13.9</v>
      </c>
      <c r="Z92">
        <v>1</v>
      </c>
      <c r="AA92" t="e">
        <f t="array" ref="AA92">IF(OR(F92&lt;L$3,F92&gt;L$7),F92,#N/A)</f>
        <v>#N/A</v>
      </c>
      <c r="AB92">
        <f t="shared" si="2"/>
        <v>2</v>
      </c>
      <c r="AC92" t="e">
        <f t="array" ref="AC92">IF(OR(G92&lt;M$3,G92&gt;M$7),G92,#N/A)</f>
        <v>#N/A</v>
      </c>
      <c r="AD92">
        <f t="shared" si="2"/>
        <v>3</v>
      </c>
      <c r="AE92" t="e">
        <f t="array" ref="AE92">IF(OR(H92&lt;N$3,H92&gt;N$7),H92,#N/A)</f>
        <v>#N/A</v>
      </c>
      <c r="AF92">
        <f t="shared" si="2"/>
        <v>4</v>
      </c>
      <c r="AG92" t="e">
        <f t="array" ref="AG92">IF(OR(I92&lt;O$3,I92&gt;O$7),I92,#N/A)</f>
        <v>#N/A</v>
      </c>
    </row>
    <row r="93" spans="1:33" x14ac:dyDescent="0.25">
      <c r="A93">
        <v>92</v>
      </c>
      <c r="B93">
        <f ca="1">SMALL(dados!A$23:A$422,A93)</f>
        <v>0.24305176282979857</v>
      </c>
      <c r="C93">
        <f ca="1">VLOOKUP(B93,dados!A$23:E$422,5,0)</f>
        <v>23</v>
      </c>
      <c r="E93">
        <v>90</v>
      </c>
      <c r="F93">
        <v>18.363636363636363</v>
      </c>
      <c r="G93">
        <v>16.75</v>
      </c>
      <c r="H93">
        <v>14.48</v>
      </c>
      <c r="I93">
        <v>13.58</v>
      </c>
      <c r="Z93">
        <v>1</v>
      </c>
      <c r="AA93" t="e">
        <f t="array" ref="AA93">IF(OR(F93&lt;L$3,F93&gt;L$7),F93,#N/A)</f>
        <v>#N/A</v>
      </c>
      <c r="AB93">
        <f t="shared" si="2"/>
        <v>2</v>
      </c>
      <c r="AC93" t="e">
        <f t="array" ref="AC93">IF(OR(G93&lt;M$3,G93&gt;M$7),G93,#N/A)</f>
        <v>#N/A</v>
      </c>
      <c r="AD93">
        <f t="shared" si="2"/>
        <v>3</v>
      </c>
      <c r="AE93" t="e">
        <f t="array" ref="AE93">IF(OR(H93&lt;N$3,H93&gt;N$7),H93,#N/A)</f>
        <v>#N/A</v>
      </c>
      <c r="AF93">
        <f t="shared" si="2"/>
        <v>4</v>
      </c>
      <c r="AG93" t="e">
        <f t="array" ref="AG93">IF(OR(I93&lt;O$3,I93&gt;O$7),I93,#N/A)</f>
        <v>#N/A</v>
      </c>
    </row>
    <row r="94" spans="1:33" x14ac:dyDescent="0.25">
      <c r="A94">
        <v>93</v>
      </c>
      <c r="B94">
        <f ca="1">SMALL(dados!A$23:A$422,A94)</f>
        <v>0.24369634177524835</v>
      </c>
      <c r="C94">
        <f ca="1">VLOOKUP(B94,dados!A$23:E$422,5,0)</f>
        <v>7</v>
      </c>
      <c r="E94">
        <v>91</v>
      </c>
      <c r="F94">
        <v>14.818181818181818</v>
      </c>
      <c r="G94">
        <v>15.65</v>
      </c>
      <c r="H94">
        <v>15.46</v>
      </c>
      <c r="I94">
        <v>14.11</v>
      </c>
      <c r="Z94">
        <v>1</v>
      </c>
      <c r="AA94" t="e">
        <f t="array" ref="AA94">IF(OR(F94&lt;L$3,F94&gt;L$7),F94,#N/A)</f>
        <v>#N/A</v>
      </c>
      <c r="AB94">
        <f t="shared" si="2"/>
        <v>2</v>
      </c>
      <c r="AC94" t="e">
        <f t="array" ref="AC94">IF(OR(G94&lt;M$3,G94&gt;M$7),G94,#N/A)</f>
        <v>#N/A</v>
      </c>
      <c r="AD94">
        <f t="shared" si="2"/>
        <v>3</v>
      </c>
      <c r="AE94" t="e">
        <f t="array" ref="AE94">IF(OR(H94&lt;N$3,H94&gt;N$7),H94,#N/A)</f>
        <v>#N/A</v>
      </c>
      <c r="AF94">
        <f t="shared" si="2"/>
        <v>4</v>
      </c>
      <c r="AG94" t="e">
        <f t="array" ref="AG94">IF(OR(I94&lt;O$3,I94&gt;O$7),I94,#N/A)</f>
        <v>#N/A</v>
      </c>
    </row>
    <row r="95" spans="1:33" x14ac:dyDescent="0.25">
      <c r="A95">
        <v>94</v>
      </c>
      <c r="B95">
        <f ca="1">SMALL(dados!A$23:A$422,A95)</f>
        <v>0.24619855147680159</v>
      </c>
      <c r="C95">
        <f ca="1">VLOOKUP(B95,dados!A$23:E$422,5,0)</f>
        <v>9</v>
      </c>
      <c r="E95">
        <v>92</v>
      </c>
      <c r="F95">
        <v>14.909090909090908</v>
      </c>
      <c r="G95">
        <v>14.25</v>
      </c>
      <c r="H95">
        <v>13.3</v>
      </c>
      <c r="I95">
        <v>14.36</v>
      </c>
      <c r="Z95">
        <v>1</v>
      </c>
      <c r="AA95" t="e">
        <f t="array" ref="AA95">IF(OR(F95&lt;L$3,F95&gt;L$7),F95,#N/A)</f>
        <v>#N/A</v>
      </c>
      <c r="AB95">
        <f t="shared" si="2"/>
        <v>2</v>
      </c>
      <c r="AC95" t="e">
        <f t="array" ref="AC95">IF(OR(G95&lt;M$3,G95&gt;M$7),G95,#N/A)</f>
        <v>#N/A</v>
      </c>
      <c r="AD95">
        <f t="shared" si="2"/>
        <v>3</v>
      </c>
      <c r="AE95" t="e">
        <f t="array" ref="AE95">IF(OR(H95&lt;N$3,H95&gt;N$7),H95,#N/A)</f>
        <v>#N/A</v>
      </c>
      <c r="AF95">
        <f t="shared" si="2"/>
        <v>4</v>
      </c>
      <c r="AG95" t="e">
        <f t="array" ref="AG95">IF(OR(I95&lt;O$3,I95&gt;O$7),I95,#N/A)</f>
        <v>#N/A</v>
      </c>
    </row>
    <row r="96" spans="1:33" x14ac:dyDescent="0.25">
      <c r="A96">
        <v>95</v>
      </c>
      <c r="B96">
        <f ca="1">SMALL(dados!A$23:A$422,A96)</f>
        <v>0.2502345114664194</v>
      </c>
      <c r="C96">
        <f ca="1">VLOOKUP(B96,dados!A$23:E$422,5,0)</f>
        <v>8</v>
      </c>
      <c r="E96">
        <v>93</v>
      </c>
      <c r="F96">
        <v>10.545454545454545</v>
      </c>
      <c r="G96">
        <v>13.6</v>
      </c>
      <c r="H96">
        <v>13.7</v>
      </c>
      <c r="I96">
        <v>14.64</v>
      </c>
      <c r="Z96">
        <v>1</v>
      </c>
      <c r="AA96" t="e">
        <f t="array" ref="AA96">IF(OR(F96&lt;L$3,F96&gt;L$7),F96,#N/A)</f>
        <v>#N/A</v>
      </c>
      <c r="AB96">
        <f t="shared" si="2"/>
        <v>2</v>
      </c>
      <c r="AC96" t="e">
        <f t="array" ref="AC96">IF(OR(G96&lt;M$3,G96&gt;M$7),G96,#N/A)</f>
        <v>#N/A</v>
      </c>
      <c r="AD96">
        <f t="shared" si="2"/>
        <v>3</v>
      </c>
      <c r="AE96" t="e">
        <f t="array" ref="AE96">IF(OR(H96&lt;N$3,H96&gt;N$7),H96,#N/A)</f>
        <v>#N/A</v>
      </c>
      <c r="AF96">
        <f t="shared" si="2"/>
        <v>4</v>
      </c>
      <c r="AG96" t="e">
        <f t="array" ref="AG96">IF(OR(I96&lt;O$3,I96&gt;O$7),I96,#N/A)</f>
        <v>#N/A</v>
      </c>
    </row>
    <row r="97" spans="1:33" x14ac:dyDescent="0.25">
      <c r="A97">
        <v>96</v>
      </c>
      <c r="B97">
        <f ca="1">SMALL(dados!A$23:A$422,A97)</f>
        <v>0.2509400645155031</v>
      </c>
      <c r="C97">
        <f ca="1">VLOOKUP(B97,dados!A$23:E$422,5,0)</f>
        <v>15</v>
      </c>
      <c r="E97">
        <v>94</v>
      </c>
      <c r="F97">
        <v>15.363636363636363</v>
      </c>
      <c r="G97">
        <v>14.55</v>
      </c>
      <c r="H97">
        <v>13.08</v>
      </c>
      <c r="I97">
        <v>12.57</v>
      </c>
      <c r="Z97">
        <v>1</v>
      </c>
      <c r="AA97" t="e">
        <f t="array" ref="AA97">IF(OR(F97&lt;L$3,F97&gt;L$7),F97,#N/A)</f>
        <v>#N/A</v>
      </c>
      <c r="AB97">
        <f t="shared" si="2"/>
        <v>2</v>
      </c>
      <c r="AC97" t="e">
        <f t="array" ref="AC97">IF(OR(G97&lt;M$3,G97&gt;M$7),G97,#N/A)</f>
        <v>#N/A</v>
      </c>
      <c r="AD97">
        <f t="shared" si="2"/>
        <v>3</v>
      </c>
      <c r="AE97" t="e">
        <f t="array" ref="AE97">IF(OR(H97&lt;N$3,H97&gt;N$7),H97,#N/A)</f>
        <v>#N/A</v>
      </c>
      <c r="AF97">
        <f t="shared" si="2"/>
        <v>4</v>
      </c>
      <c r="AG97" t="e">
        <f t="array" ref="AG97">IF(OR(I97&lt;O$3,I97&gt;O$7),I97,#N/A)</f>
        <v>#N/A</v>
      </c>
    </row>
    <row r="98" spans="1:33" x14ac:dyDescent="0.25">
      <c r="A98">
        <v>97</v>
      </c>
      <c r="B98">
        <f ca="1">SMALL(dados!A$23:A$422,A98)</f>
        <v>0.25218722755855982</v>
      </c>
      <c r="C98">
        <f ca="1">VLOOKUP(B98,dados!A$23:E$422,5,0)</f>
        <v>9</v>
      </c>
      <c r="E98">
        <v>95</v>
      </c>
      <c r="F98">
        <v>13.181818181818182</v>
      </c>
      <c r="G98">
        <v>14.05</v>
      </c>
      <c r="H98">
        <v>13.98</v>
      </c>
      <c r="I98">
        <v>14.18</v>
      </c>
      <c r="Z98">
        <v>1</v>
      </c>
      <c r="AA98" t="e">
        <f t="array" ref="AA98">IF(OR(F98&lt;L$3,F98&gt;L$7),F98,#N/A)</f>
        <v>#N/A</v>
      </c>
      <c r="AB98">
        <f t="shared" si="2"/>
        <v>2</v>
      </c>
      <c r="AC98" t="e">
        <f t="array" ref="AC98">IF(OR(G98&lt;M$3,G98&gt;M$7),G98,#N/A)</f>
        <v>#N/A</v>
      </c>
      <c r="AD98">
        <f t="shared" si="2"/>
        <v>3</v>
      </c>
      <c r="AE98" t="e">
        <f t="array" ref="AE98">IF(OR(H98&lt;N$3,H98&gt;N$7),H98,#N/A)</f>
        <v>#N/A</v>
      </c>
      <c r="AF98">
        <f t="shared" si="2"/>
        <v>4</v>
      </c>
      <c r="AG98" t="e">
        <f t="array" ref="AG98">IF(OR(I98&lt;O$3,I98&gt;O$7),I98,#N/A)</f>
        <v>#N/A</v>
      </c>
    </row>
    <row r="99" spans="1:33" x14ac:dyDescent="0.25">
      <c r="A99">
        <v>98</v>
      </c>
      <c r="B99">
        <f ca="1">SMALL(dados!A$23:A$422,A99)</f>
        <v>0.25579570011728114</v>
      </c>
      <c r="C99">
        <f ca="1">VLOOKUP(B99,dados!A$23:E$422,5,0)</f>
        <v>12</v>
      </c>
      <c r="E99">
        <v>96</v>
      </c>
      <c r="F99">
        <v>14.272727272727273</v>
      </c>
      <c r="G99">
        <v>15.75</v>
      </c>
      <c r="H99">
        <v>13.24</v>
      </c>
      <c r="I99">
        <v>13.86</v>
      </c>
      <c r="Z99">
        <v>1</v>
      </c>
      <c r="AA99" t="e">
        <f t="array" ref="AA99">IF(OR(F99&lt;L$3,F99&gt;L$7),F99,#N/A)</f>
        <v>#N/A</v>
      </c>
      <c r="AB99">
        <f t="shared" si="2"/>
        <v>2</v>
      </c>
      <c r="AC99" t="e">
        <f t="array" ref="AC99">IF(OR(G99&lt;M$3,G99&gt;M$7),G99,#N/A)</f>
        <v>#N/A</v>
      </c>
      <c r="AD99">
        <f t="shared" si="2"/>
        <v>3</v>
      </c>
      <c r="AE99" t="e">
        <f t="array" ref="AE99">IF(OR(H99&lt;N$3,H99&gt;N$7),H99,#N/A)</f>
        <v>#N/A</v>
      </c>
      <c r="AF99">
        <f t="shared" si="2"/>
        <v>4</v>
      </c>
      <c r="AG99" t="e">
        <f t="array" ref="AG99">IF(OR(I99&lt;O$3,I99&gt;O$7),I99,#N/A)</f>
        <v>#N/A</v>
      </c>
    </row>
    <row r="100" spans="1:33" x14ac:dyDescent="0.25">
      <c r="A100">
        <v>99</v>
      </c>
      <c r="B100">
        <f ca="1">SMALL(dados!A$23:A$422,A100)</f>
        <v>0.25996609329747122</v>
      </c>
      <c r="C100">
        <f ca="1">VLOOKUP(B100,dados!A$23:E$422,5,0)</f>
        <v>9</v>
      </c>
      <c r="E100">
        <v>97</v>
      </c>
      <c r="F100">
        <v>11.818181818181818</v>
      </c>
      <c r="G100">
        <v>11.05</v>
      </c>
      <c r="H100">
        <v>13</v>
      </c>
      <c r="I100">
        <v>13.01</v>
      </c>
      <c r="Z100">
        <v>1</v>
      </c>
      <c r="AA100" t="e">
        <f t="array" ref="AA100">IF(OR(F100&lt;L$3,F100&gt;L$7),F100,#N/A)</f>
        <v>#N/A</v>
      </c>
      <c r="AB100">
        <f t="shared" si="2"/>
        <v>2</v>
      </c>
      <c r="AC100" t="e">
        <f t="array" ref="AC100">IF(OR(G100&lt;M$3,G100&gt;M$7),G100,#N/A)</f>
        <v>#N/A</v>
      </c>
      <c r="AD100">
        <f t="shared" si="2"/>
        <v>3</v>
      </c>
      <c r="AE100" t="e">
        <f t="array" ref="AE100">IF(OR(H100&lt;N$3,H100&gt;N$7),H100,#N/A)</f>
        <v>#N/A</v>
      </c>
      <c r="AF100">
        <f t="shared" si="2"/>
        <v>4</v>
      </c>
      <c r="AG100" t="e">
        <f t="array" ref="AG100">IF(OR(I100&lt;O$3,I100&gt;O$7),I100,#N/A)</f>
        <v>#N/A</v>
      </c>
    </row>
    <row r="101" spans="1:33" x14ac:dyDescent="0.25">
      <c r="A101">
        <v>100</v>
      </c>
      <c r="B101">
        <f ca="1">SMALL(dados!A$23:A$422,A101)</f>
        <v>0.26006054760521735</v>
      </c>
      <c r="C101">
        <f ca="1">VLOOKUP(B101,dados!A$23:E$422,5,0)</f>
        <v>35</v>
      </c>
      <c r="E101">
        <v>98</v>
      </c>
      <c r="F101">
        <v>12.818181818181818</v>
      </c>
      <c r="G101">
        <v>12.55</v>
      </c>
      <c r="H101">
        <v>12.24</v>
      </c>
      <c r="I101">
        <v>12.55</v>
      </c>
      <c r="Z101">
        <v>1</v>
      </c>
      <c r="AA101" t="e">
        <f t="array" ref="AA101">IF(OR(F101&lt;L$3,F101&gt;L$7),F101,#N/A)</f>
        <v>#N/A</v>
      </c>
      <c r="AB101">
        <f t="shared" si="2"/>
        <v>2</v>
      </c>
      <c r="AC101" t="e">
        <f t="array" ref="AC101">IF(OR(G101&lt;M$3,G101&gt;M$7),G101,#N/A)</f>
        <v>#N/A</v>
      </c>
      <c r="AD101">
        <f t="shared" si="2"/>
        <v>3</v>
      </c>
      <c r="AE101" t="e">
        <f t="array" ref="AE101">IF(OR(H101&lt;N$3,H101&gt;N$7),H101,#N/A)</f>
        <v>#N/A</v>
      </c>
      <c r="AF101">
        <f t="shared" si="2"/>
        <v>4</v>
      </c>
      <c r="AG101" t="e">
        <f t="array" ref="AG101">IF(OR(I101&lt;O$3,I101&gt;O$7),I101,#N/A)</f>
        <v>#N/A</v>
      </c>
    </row>
    <row r="102" spans="1:33" x14ac:dyDescent="0.25">
      <c r="A102">
        <v>101</v>
      </c>
      <c r="B102">
        <f ca="1">SMALL(dados!A$23:A$422,A102)</f>
        <v>0.26278370113464367</v>
      </c>
      <c r="C102">
        <f ca="1">VLOOKUP(B102,dados!A$23:E$422,5,0)</f>
        <v>14</v>
      </c>
      <c r="E102">
        <v>99</v>
      </c>
      <c r="F102">
        <v>12.636363636363637</v>
      </c>
      <c r="G102">
        <v>11.95</v>
      </c>
      <c r="H102">
        <v>12.7</v>
      </c>
      <c r="I102">
        <v>12.88</v>
      </c>
      <c r="Z102">
        <v>1</v>
      </c>
      <c r="AA102" t="e">
        <f t="array" ref="AA102">IF(OR(F102&lt;L$3,F102&gt;L$7),F102,#N/A)</f>
        <v>#N/A</v>
      </c>
      <c r="AB102">
        <f t="shared" si="2"/>
        <v>2</v>
      </c>
      <c r="AC102" t="e">
        <f t="array" ref="AC102">IF(OR(G102&lt;M$3,G102&gt;M$7),G102,#N/A)</f>
        <v>#N/A</v>
      </c>
      <c r="AD102">
        <f t="shared" si="2"/>
        <v>3</v>
      </c>
      <c r="AE102" t="e">
        <f t="array" ref="AE102">IF(OR(H102&lt;N$3,H102&gt;N$7),H102,#N/A)</f>
        <v>#N/A</v>
      </c>
      <c r="AF102">
        <f t="shared" si="2"/>
        <v>4</v>
      </c>
      <c r="AG102" t="e">
        <f t="array" ref="AG102">IF(OR(I102&lt;O$3,I102&gt;O$7),I102,#N/A)</f>
        <v>#N/A</v>
      </c>
    </row>
    <row r="103" spans="1:33" x14ac:dyDescent="0.25">
      <c r="A103">
        <v>102</v>
      </c>
      <c r="B103">
        <f ca="1">SMALL(dados!A$23:A$422,A103)</f>
        <v>0.26307649368138952</v>
      </c>
      <c r="C103">
        <f ca="1">VLOOKUP(B103,dados!A$23:E$422,5,0)</f>
        <v>8</v>
      </c>
      <c r="E103">
        <v>100</v>
      </c>
      <c r="F103">
        <v>14.909090909090908</v>
      </c>
      <c r="G103">
        <v>13.85</v>
      </c>
      <c r="H103">
        <v>12.52</v>
      </c>
      <c r="I103">
        <v>13.88</v>
      </c>
      <c r="Z103">
        <v>1</v>
      </c>
      <c r="AA103" t="e">
        <f t="array" ref="AA103">IF(OR(F103&lt;L$3,F103&gt;L$7),F103,#N/A)</f>
        <v>#N/A</v>
      </c>
      <c r="AB103">
        <f t="shared" si="2"/>
        <v>2</v>
      </c>
      <c r="AC103" t="e">
        <f t="array" ref="AC103">IF(OR(G103&lt;M$3,G103&gt;M$7),G103,#N/A)</f>
        <v>#N/A</v>
      </c>
      <c r="AD103">
        <f t="shared" si="2"/>
        <v>3</v>
      </c>
      <c r="AE103" t="e">
        <f t="array" ref="AE103">IF(OR(H103&lt;N$3,H103&gt;N$7),H103,#N/A)</f>
        <v>#N/A</v>
      </c>
      <c r="AF103">
        <f t="shared" si="2"/>
        <v>4</v>
      </c>
      <c r="AG103" t="e">
        <f t="array" ref="AG103">IF(OR(I103&lt;O$3,I103&gt;O$7),I103,#N/A)</f>
        <v>#N/A</v>
      </c>
    </row>
    <row r="104" spans="1:33" x14ac:dyDescent="0.25">
      <c r="A104">
        <v>103</v>
      </c>
      <c r="B104">
        <f ca="1">SMALL(dados!A$23:A$422,A104)</f>
        <v>0.27416466212295254</v>
      </c>
      <c r="C104">
        <f ca="1">VLOOKUP(B104,dados!A$23:E$422,5,0)</f>
        <v>13</v>
      </c>
      <c r="E104">
        <v>101</v>
      </c>
      <c r="F104">
        <v>16.818181818181817</v>
      </c>
      <c r="G104">
        <v>15.75</v>
      </c>
      <c r="H104">
        <v>14.84</v>
      </c>
      <c r="I104">
        <v>15.24</v>
      </c>
      <c r="Z104">
        <v>1</v>
      </c>
      <c r="AA104" t="e">
        <f t="array" ref="AA104">IF(OR(F104&lt;L$3,F104&gt;L$7),F104,#N/A)</f>
        <v>#N/A</v>
      </c>
      <c r="AB104">
        <f t="shared" si="2"/>
        <v>2</v>
      </c>
      <c r="AC104" t="e">
        <f t="array" ref="AC104">IF(OR(G104&lt;M$3,G104&gt;M$7),G104,#N/A)</f>
        <v>#N/A</v>
      </c>
      <c r="AD104">
        <f t="shared" si="2"/>
        <v>3</v>
      </c>
      <c r="AE104" t="e">
        <f t="array" ref="AE104">IF(OR(H104&lt;N$3,H104&gt;N$7),H104,#N/A)</f>
        <v>#N/A</v>
      </c>
      <c r="AF104">
        <f t="shared" si="2"/>
        <v>4</v>
      </c>
      <c r="AG104" t="e">
        <f t="array" ref="AG104">IF(OR(I104&lt;O$3,I104&gt;O$7),I104,#N/A)</f>
        <v>#N/A</v>
      </c>
    </row>
    <row r="105" spans="1:33" x14ac:dyDescent="0.25">
      <c r="A105">
        <v>104</v>
      </c>
      <c r="B105">
        <f ca="1">SMALL(dados!A$23:A$422,A105)</f>
        <v>0.27925818609513375</v>
      </c>
      <c r="C105">
        <f ca="1">VLOOKUP(B105,dados!A$23:E$422,5,0)</f>
        <v>11</v>
      </c>
      <c r="E105">
        <v>102</v>
      </c>
      <c r="F105">
        <v>15.909090909090908</v>
      </c>
      <c r="G105">
        <v>15.35</v>
      </c>
      <c r="H105">
        <v>14.34</v>
      </c>
      <c r="I105">
        <v>13.75</v>
      </c>
      <c r="Z105">
        <v>1</v>
      </c>
      <c r="AA105" t="e">
        <f t="array" ref="AA105">IF(OR(F105&lt;L$3,F105&gt;L$7),F105,#N/A)</f>
        <v>#N/A</v>
      </c>
      <c r="AB105">
        <f t="shared" si="2"/>
        <v>2</v>
      </c>
      <c r="AC105" t="e">
        <f t="array" ref="AC105">IF(OR(G105&lt;M$3,G105&gt;M$7),G105,#N/A)</f>
        <v>#N/A</v>
      </c>
      <c r="AD105">
        <f t="shared" si="2"/>
        <v>3</v>
      </c>
      <c r="AE105" t="e">
        <f t="array" ref="AE105">IF(OR(H105&lt;N$3,H105&gt;N$7),H105,#N/A)</f>
        <v>#N/A</v>
      </c>
      <c r="AF105">
        <f t="shared" si="2"/>
        <v>4</v>
      </c>
      <c r="AG105" t="e">
        <f t="array" ref="AG105">IF(OR(I105&lt;O$3,I105&gt;O$7),I105,#N/A)</f>
        <v>#N/A</v>
      </c>
    </row>
    <row r="106" spans="1:33" x14ac:dyDescent="0.25">
      <c r="A106">
        <v>105</v>
      </c>
      <c r="B106">
        <f ca="1">SMALL(dados!A$23:A$422,A106)</f>
        <v>0.28129980014081024</v>
      </c>
      <c r="C106">
        <f ca="1">VLOOKUP(B106,dados!A$23:E$422,5,0)</f>
        <v>7</v>
      </c>
      <c r="E106">
        <v>103</v>
      </c>
      <c r="F106">
        <v>15.454545454545455</v>
      </c>
      <c r="G106">
        <v>13.6</v>
      </c>
      <c r="H106">
        <v>14.74</v>
      </c>
      <c r="I106">
        <v>14.07</v>
      </c>
      <c r="Z106">
        <v>1</v>
      </c>
      <c r="AA106" t="e">
        <f t="array" ref="AA106">IF(OR(F106&lt;L$3,F106&gt;L$7),F106,#N/A)</f>
        <v>#N/A</v>
      </c>
      <c r="AB106">
        <f t="shared" si="2"/>
        <v>2</v>
      </c>
      <c r="AC106" t="e">
        <f t="array" ref="AC106">IF(OR(G106&lt;M$3,G106&gt;M$7),G106,#N/A)</f>
        <v>#N/A</v>
      </c>
      <c r="AD106">
        <f t="shared" si="2"/>
        <v>3</v>
      </c>
      <c r="AE106" t="e">
        <f t="array" ref="AE106">IF(OR(H106&lt;N$3,H106&gt;N$7),H106,#N/A)</f>
        <v>#N/A</v>
      </c>
      <c r="AF106">
        <f t="shared" si="2"/>
        <v>4</v>
      </c>
      <c r="AG106" t="e">
        <f t="array" ref="AG106">IF(OR(I106&lt;O$3,I106&gt;O$7),I106,#N/A)</f>
        <v>#N/A</v>
      </c>
    </row>
    <row r="107" spans="1:33" x14ac:dyDescent="0.25">
      <c r="A107">
        <v>106</v>
      </c>
      <c r="B107">
        <f ca="1">SMALL(dados!A$23:A$422,A107)</f>
        <v>0.28320243531723466</v>
      </c>
      <c r="C107">
        <f ca="1">VLOOKUP(B107,dados!A$23:E$422,5,0)</f>
        <v>5</v>
      </c>
      <c r="E107">
        <v>104</v>
      </c>
      <c r="F107">
        <v>15.181818181818182</v>
      </c>
      <c r="G107">
        <v>14.3</v>
      </c>
      <c r="H107">
        <v>14.18</v>
      </c>
      <c r="I107">
        <v>13.83</v>
      </c>
      <c r="Z107">
        <v>1</v>
      </c>
      <c r="AA107" t="e">
        <f t="array" ref="AA107">IF(OR(F107&lt;L$3,F107&gt;L$7),F107,#N/A)</f>
        <v>#N/A</v>
      </c>
      <c r="AB107">
        <f t="shared" si="2"/>
        <v>2</v>
      </c>
      <c r="AC107" t="e">
        <f t="array" ref="AC107">IF(OR(G107&lt;M$3,G107&gt;M$7),G107,#N/A)</f>
        <v>#N/A</v>
      </c>
      <c r="AD107">
        <f t="shared" si="2"/>
        <v>3</v>
      </c>
      <c r="AE107" t="e">
        <f t="array" ref="AE107">IF(OR(H107&lt;N$3,H107&gt;N$7),H107,#N/A)</f>
        <v>#N/A</v>
      </c>
      <c r="AF107">
        <f t="shared" si="2"/>
        <v>4</v>
      </c>
      <c r="AG107" t="e">
        <f t="array" ref="AG107">IF(OR(I107&lt;O$3,I107&gt;O$7),I107,#N/A)</f>
        <v>#N/A</v>
      </c>
    </row>
    <row r="108" spans="1:33" x14ac:dyDescent="0.25">
      <c r="A108">
        <v>107</v>
      </c>
      <c r="B108">
        <f ca="1">SMALL(dados!A$23:A$422,A108)</f>
        <v>0.28677628057636684</v>
      </c>
      <c r="C108">
        <f ca="1">VLOOKUP(B108,dados!A$23:E$422,5,0)</f>
        <v>24</v>
      </c>
      <c r="E108">
        <v>105</v>
      </c>
      <c r="F108">
        <v>14.454545454545455</v>
      </c>
      <c r="G108">
        <v>15</v>
      </c>
      <c r="H108">
        <v>14.84</v>
      </c>
      <c r="I108">
        <v>14.24</v>
      </c>
      <c r="Z108">
        <v>1</v>
      </c>
      <c r="AA108" t="e">
        <f t="array" ref="AA108">IF(OR(F108&lt;L$3,F108&gt;L$7),F108,#N/A)</f>
        <v>#N/A</v>
      </c>
      <c r="AB108">
        <f t="shared" si="2"/>
        <v>2</v>
      </c>
      <c r="AC108" t="e">
        <f t="array" ref="AC108">IF(OR(G108&lt;M$3,G108&gt;M$7),G108,#N/A)</f>
        <v>#N/A</v>
      </c>
      <c r="AD108">
        <f t="shared" si="2"/>
        <v>3</v>
      </c>
      <c r="AE108" t="e">
        <f t="array" ref="AE108">IF(OR(H108&lt;N$3,H108&gt;N$7),H108,#N/A)</f>
        <v>#N/A</v>
      </c>
      <c r="AF108">
        <f t="shared" si="2"/>
        <v>4</v>
      </c>
      <c r="AG108" t="e">
        <f t="array" ref="AG108">IF(OR(I108&lt;O$3,I108&gt;O$7),I108,#N/A)</f>
        <v>#N/A</v>
      </c>
    </row>
    <row r="109" spans="1:33" x14ac:dyDescent="0.25">
      <c r="A109">
        <v>108</v>
      </c>
      <c r="B109">
        <f ca="1">SMALL(dados!A$23:A$422,A109)</f>
        <v>0.28808342598762848</v>
      </c>
      <c r="C109">
        <f ca="1">VLOOKUP(B109,dados!A$23:E$422,5,0)</f>
        <v>9</v>
      </c>
      <c r="E109">
        <v>106</v>
      </c>
      <c r="F109">
        <v>15</v>
      </c>
      <c r="G109">
        <v>13.4</v>
      </c>
      <c r="H109">
        <v>14.12</v>
      </c>
      <c r="I109">
        <v>14.86</v>
      </c>
      <c r="Z109">
        <v>1</v>
      </c>
      <c r="AA109" t="e">
        <f t="array" ref="AA109">IF(OR(F109&lt;L$3,F109&gt;L$7),F109,#N/A)</f>
        <v>#N/A</v>
      </c>
      <c r="AB109">
        <f t="shared" si="2"/>
        <v>2</v>
      </c>
      <c r="AC109" t="e">
        <f t="array" ref="AC109">IF(OR(G109&lt;M$3,G109&gt;M$7),G109,#N/A)</f>
        <v>#N/A</v>
      </c>
      <c r="AD109">
        <f t="shared" si="2"/>
        <v>3</v>
      </c>
      <c r="AE109" t="e">
        <f t="array" ref="AE109">IF(OR(H109&lt;N$3,H109&gt;N$7),H109,#N/A)</f>
        <v>#N/A</v>
      </c>
      <c r="AF109">
        <f t="shared" si="2"/>
        <v>4</v>
      </c>
      <c r="AG109" t="e">
        <f t="array" ref="AG109">IF(OR(I109&lt;O$3,I109&gt;O$7),I109,#N/A)</f>
        <v>#N/A</v>
      </c>
    </row>
    <row r="110" spans="1:33" x14ac:dyDescent="0.25">
      <c r="A110">
        <v>109</v>
      </c>
      <c r="B110">
        <f ca="1">SMALL(dados!A$23:A$422,A110)</f>
        <v>0.289476730767666</v>
      </c>
      <c r="C110">
        <f ca="1">VLOOKUP(B110,dados!A$23:E$422,5,0)</f>
        <v>13</v>
      </c>
      <c r="E110">
        <v>107</v>
      </c>
      <c r="F110">
        <v>13.363636363636363</v>
      </c>
      <c r="G110">
        <v>13.95</v>
      </c>
      <c r="H110">
        <v>13.9</v>
      </c>
      <c r="I110">
        <v>13.95</v>
      </c>
      <c r="Z110">
        <v>1</v>
      </c>
      <c r="AA110" t="e">
        <f t="array" ref="AA110">IF(OR(F110&lt;L$3,F110&gt;L$7),F110,#N/A)</f>
        <v>#N/A</v>
      </c>
      <c r="AB110">
        <f t="shared" si="2"/>
        <v>2</v>
      </c>
      <c r="AC110" t="e">
        <f t="array" ref="AC110">IF(OR(G110&lt;M$3,G110&gt;M$7),G110,#N/A)</f>
        <v>#N/A</v>
      </c>
      <c r="AD110">
        <f t="shared" si="2"/>
        <v>3</v>
      </c>
      <c r="AE110" t="e">
        <f t="array" ref="AE110">IF(OR(H110&lt;N$3,H110&gt;N$7),H110,#N/A)</f>
        <v>#N/A</v>
      </c>
      <c r="AF110">
        <f t="shared" si="2"/>
        <v>4</v>
      </c>
      <c r="AG110" t="e">
        <f t="array" ref="AG110">IF(OR(I110&lt;O$3,I110&gt;O$7),I110,#N/A)</f>
        <v>#N/A</v>
      </c>
    </row>
    <row r="111" spans="1:33" x14ac:dyDescent="0.25">
      <c r="A111">
        <v>110</v>
      </c>
      <c r="B111">
        <f ca="1">SMALL(dados!A$23:A$422,A111)</f>
        <v>0.28979634408279042</v>
      </c>
      <c r="C111">
        <f ca="1">VLOOKUP(B111,dados!A$23:E$422,5,0)</f>
        <v>34</v>
      </c>
      <c r="E111">
        <v>108</v>
      </c>
      <c r="F111">
        <v>11.818181818181818</v>
      </c>
      <c r="G111">
        <v>13.85</v>
      </c>
      <c r="H111">
        <v>14.9</v>
      </c>
      <c r="I111">
        <v>13.64</v>
      </c>
      <c r="Z111">
        <v>1</v>
      </c>
      <c r="AA111" t="e">
        <f t="array" ref="AA111">IF(OR(F111&lt;L$3,F111&gt;L$7),F111,#N/A)</f>
        <v>#N/A</v>
      </c>
      <c r="AB111">
        <f t="shared" si="2"/>
        <v>2</v>
      </c>
      <c r="AC111" t="e">
        <f t="array" ref="AC111">IF(OR(G111&lt;M$3,G111&gt;M$7),G111,#N/A)</f>
        <v>#N/A</v>
      </c>
      <c r="AD111">
        <f t="shared" si="2"/>
        <v>3</v>
      </c>
      <c r="AE111" t="e">
        <f t="array" ref="AE111">IF(OR(H111&lt;N$3,H111&gt;N$7),H111,#N/A)</f>
        <v>#N/A</v>
      </c>
      <c r="AF111">
        <f t="shared" si="2"/>
        <v>4</v>
      </c>
      <c r="AG111" t="e">
        <f t="array" ref="AG111">IF(OR(I111&lt;O$3,I111&gt;O$7),I111,#N/A)</f>
        <v>#N/A</v>
      </c>
    </row>
    <row r="112" spans="1:33" x14ac:dyDescent="0.25">
      <c r="A112">
        <v>111</v>
      </c>
      <c r="B112">
        <f ca="1">SMALL(dados!A$23:A$422,A112)</f>
        <v>0.29359816842735831</v>
      </c>
      <c r="C112">
        <f ca="1">VLOOKUP(B112,dados!A$23:E$422,5,0)</f>
        <v>15</v>
      </c>
      <c r="E112">
        <v>109</v>
      </c>
      <c r="F112">
        <v>15.909090909090908</v>
      </c>
      <c r="G112">
        <v>14.9</v>
      </c>
      <c r="H112">
        <v>14.96</v>
      </c>
      <c r="I112">
        <v>15.45</v>
      </c>
      <c r="Z112">
        <v>1</v>
      </c>
      <c r="AA112" t="e">
        <f t="array" ref="AA112">IF(OR(F112&lt;L$3,F112&gt;L$7),F112,#N/A)</f>
        <v>#N/A</v>
      </c>
      <c r="AB112">
        <f t="shared" si="2"/>
        <v>2</v>
      </c>
      <c r="AC112" t="e">
        <f t="array" ref="AC112">IF(OR(G112&lt;M$3,G112&gt;M$7),G112,#N/A)</f>
        <v>#N/A</v>
      </c>
      <c r="AD112">
        <f t="shared" si="2"/>
        <v>3</v>
      </c>
      <c r="AE112" t="e">
        <f t="array" ref="AE112">IF(OR(H112&lt;N$3,H112&gt;N$7),H112,#N/A)</f>
        <v>#N/A</v>
      </c>
      <c r="AF112">
        <f t="shared" si="2"/>
        <v>4</v>
      </c>
      <c r="AG112" t="e">
        <f t="array" ref="AG112">IF(OR(I112&lt;O$3,I112&gt;O$7),I112,#N/A)</f>
        <v>#N/A</v>
      </c>
    </row>
    <row r="113" spans="1:33" x14ac:dyDescent="0.25">
      <c r="A113">
        <v>112</v>
      </c>
      <c r="B113">
        <f ca="1">SMALL(dados!A$23:A$422,A113)</f>
        <v>0.29661449954370644</v>
      </c>
      <c r="C113">
        <f ca="1">VLOOKUP(B113,dados!A$23:E$422,5,0)</f>
        <v>14</v>
      </c>
      <c r="E113">
        <v>110</v>
      </c>
      <c r="F113">
        <v>12.181818181818182</v>
      </c>
      <c r="G113">
        <v>14.95</v>
      </c>
      <c r="H113">
        <v>14.08</v>
      </c>
      <c r="I113">
        <v>13.26</v>
      </c>
      <c r="Z113">
        <v>1</v>
      </c>
      <c r="AA113" t="e">
        <f t="array" ref="AA113">IF(OR(F113&lt;L$3,F113&gt;L$7),F113,#N/A)</f>
        <v>#N/A</v>
      </c>
      <c r="AB113">
        <f t="shared" si="2"/>
        <v>2</v>
      </c>
      <c r="AC113" t="e">
        <f t="array" ref="AC113">IF(OR(G113&lt;M$3,G113&gt;M$7),G113,#N/A)</f>
        <v>#N/A</v>
      </c>
      <c r="AD113">
        <f t="shared" si="2"/>
        <v>3</v>
      </c>
      <c r="AE113" t="e">
        <f t="array" ref="AE113">IF(OR(H113&lt;N$3,H113&gt;N$7),H113,#N/A)</f>
        <v>#N/A</v>
      </c>
      <c r="AF113">
        <f t="shared" si="2"/>
        <v>4</v>
      </c>
      <c r="AG113" t="e">
        <f t="array" ref="AG113">IF(OR(I113&lt;O$3,I113&gt;O$7),I113,#N/A)</f>
        <v>#N/A</v>
      </c>
    </row>
    <row r="114" spans="1:33" x14ac:dyDescent="0.25">
      <c r="A114">
        <v>113</v>
      </c>
      <c r="B114">
        <f ca="1">SMALL(dados!A$23:A$422,A114)</f>
        <v>0.29853426155994844</v>
      </c>
      <c r="C114">
        <f ca="1">VLOOKUP(B114,dados!A$23:E$422,5,0)</f>
        <v>7</v>
      </c>
      <c r="E114">
        <v>111</v>
      </c>
      <c r="F114">
        <v>17.545454545454547</v>
      </c>
      <c r="G114">
        <v>16.399999999999999</v>
      </c>
      <c r="H114">
        <v>15.04</v>
      </c>
      <c r="I114">
        <v>14.88</v>
      </c>
      <c r="Z114">
        <v>1</v>
      </c>
      <c r="AA114" t="e">
        <f t="array" ref="AA114">IF(OR(F114&lt;L$3,F114&gt;L$7),F114,#N/A)</f>
        <v>#N/A</v>
      </c>
      <c r="AB114">
        <f t="shared" si="2"/>
        <v>2</v>
      </c>
      <c r="AC114" t="e">
        <f t="array" ref="AC114">IF(OR(G114&lt;M$3,G114&gt;M$7),G114,#N/A)</f>
        <v>#N/A</v>
      </c>
      <c r="AD114">
        <f t="shared" si="2"/>
        <v>3</v>
      </c>
      <c r="AE114" t="e">
        <f t="array" ref="AE114">IF(OR(H114&lt;N$3,H114&gt;N$7),H114,#N/A)</f>
        <v>#N/A</v>
      </c>
      <c r="AF114">
        <f t="shared" si="2"/>
        <v>4</v>
      </c>
      <c r="AG114" t="e">
        <f t="array" ref="AG114">IF(OR(I114&lt;O$3,I114&gt;O$7),I114,#N/A)</f>
        <v>#N/A</v>
      </c>
    </row>
    <row r="115" spans="1:33" x14ac:dyDescent="0.25">
      <c r="A115">
        <v>114</v>
      </c>
      <c r="B115">
        <f ca="1">SMALL(dados!A$23:A$422,A115)</f>
        <v>0.30645383086276934</v>
      </c>
      <c r="C115">
        <f ca="1">VLOOKUP(B115,dados!A$23:E$422,5,0)</f>
        <v>12</v>
      </c>
      <c r="E115">
        <v>112</v>
      </c>
      <c r="F115">
        <v>13.272727272727273</v>
      </c>
      <c r="G115">
        <v>12.8</v>
      </c>
      <c r="H115">
        <v>13.42</v>
      </c>
      <c r="I115">
        <v>14.01</v>
      </c>
      <c r="Z115">
        <v>1</v>
      </c>
      <c r="AA115" t="e">
        <f t="array" ref="AA115">IF(OR(F115&lt;L$3,F115&gt;L$7),F115,#N/A)</f>
        <v>#N/A</v>
      </c>
      <c r="AB115">
        <f t="shared" si="2"/>
        <v>2</v>
      </c>
      <c r="AC115" t="e">
        <f t="array" ref="AC115">IF(OR(G115&lt;M$3,G115&gt;M$7),G115,#N/A)</f>
        <v>#N/A</v>
      </c>
      <c r="AD115">
        <f t="shared" si="2"/>
        <v>3</v>
      </c>
      <c r="AE115" t="e">
        <f t="array" ref="AE115">IF(OR(H115&lt;N$3,H115&gt;N$7),H115,#N/A)</f>
        <v>#N/A</v>
      </c>
      <c r="AF115">
        <f t="shared" si="2"/>
        <v>4</v>
      </c>
      <c r="AG115" t="e">
        <f t="array" ref="AG115">IF(OR(I115&lt;O$3,I115&gt;O$7),I115,#N/A)</f>
        <v>#N/A</v>
      </c>
    </row>
    <row r="116" spans="1:33" x14ac:dyDescent="0.25">
      <c r="A116">
        <v>115</v>
      </c>
      <c r="B116">
        <f ca="1">SMALL(dados!A$23:A$422,A116)</f>
        <v>0.30682451756367635</v>
      </c>
      <c r="C116">
        <f ca="1">VLOOKUP(B116,dados!A$23:E$422,5,0)</f>
        <v>12</v>
      </c>
      <c r="E116">
        <v>113</v>
      </c>
      <c r="F116">
        <v>16.636363636363637</v>
      </c>
      <c r="G116">
        <v>13.45</v>
      </c>
      <c r="H116">
        <v>13.06</v>
      </c>
      <c r="I116">
        <v>13.75</v>
      </c>
      <c r="Z116">
        <v>1</v>
      </c>
      <c r="AA116" t="e">
        <f t="array" ref="AA116">IF(OR(F116&lt;L$3,F116&gt;L$7),F116,#N/A)</f>
        <v>#N/A</v>
      </c>
      <c r="AB116">
        <f t="shared" si="2"/>
        <v>2</v>
      </c>
      <c r="AC116" t="e">
        <f t="array" ref="AC116">IF(OR(G116&lt;M$3,G116&gt;M$7),G116,#N/A)</f>
        <v>#N/A</v>
      </c>
      <c r="AD116">
        <f t="shared" si="2"/>
        <v>3</v>
      </c>
      <c r="AE116" t="e">
        <f t="array" ref="AE116">IF(OR(H116&lt;N$3,H116&gt;N$7),H116,#N/A)</f>
        <v>#N/A</v>
      </c>
      <c r="AF116">
        <f t="shared" si="2"/>
        <v>4</v>
      </c>
      <c r="AG116" t="e">
        <f t="array" ref="AG116">IF(OR(I116&lt;O$3,I116&gt;O$7),I116,#N/A)</f>
        <v>#N/A</v>
      </c>
    </row>
    <row r="117" spans="1:33" x14ac:dyDescent="0.25">
      <c r="A117">
        <v>116</v>
      </c>
      <c r="B117">
        <f ca="1">SMALL(dados!A$23:A$422,A117)</f>
        <v>0.30990357936986479</v>
      </c>
      <c r="C117">
        <f ca="1">VLOOKUP(B117,dados!A$23:E$422,5,0)</f>
        <v>20</v>
      </c>
      <c r="E117">
        <v>114</v>
      </c>
      <c r="F117">
        <v>14.181818181818182</v>
      </c>
      <c r="G117">
        <v>11.95</v>
      </c>
      <c r="H117">
        <v>12.82</v>
      </c>
      <c r="I117">
        <v>13.46</v>
      </c>
      <c r="Z117">
        <v>1</v>
      </c>
      <c r="AA117" t="e">
        <f t="array" ref="AA117">IF(OR(F117&lt;L$3,F117&gt;L$7),F117,#N/A)</f>
        <v>#N/A</v>
      </c>
      <c r="AB117">
        <f t="shared" si="2"/>
        <v>2</v>
      </c>
      <c r="AC117" t="e">
        <f t="array" ref="AC117">IF(OR(G117&lt;M$3,G117&gt;M$7),G117,#N/A)</f>
        <v>#N/A</v>
      </c>
      <c r="AD117">
        <f t="shared" si="2"/>
        <v>3</v>
      </c>
      <c r="AE117" t="e">
        <f t="array" ref="AE117">IF(OR(H117&lt;N$3,H117&gt;N$7),H117,#N/A)</f>
        <v>#N/A</v>
      </c>
      <c r="AF117">
        <f t="shared" si="2"/>
        <v>4</v>
      </c>
      <c r="AG117" t="e">
        <f t="array" ref="AG117">IF(OR(I117&lt;O$3,I117&gt;O$7),I117,#N/A)</f>
        <v>#N/A</v>
      </c>
    </row>
    <row r="118" spans="1:33" x14ac:dyDescent="0.25">
      <c r="A118">
        <v>117</v>
      </c>
      <c r="B118">
        <f ca="1">SMALL(dados!A$23:A$422,A118)</f>
        <v>0.31262628123379888</v>
      </c>
      <c r="C118">
        <f ca="1">VLOOKUP(B118,dados!A$23:E$422,5,0)</f>
        <v>10</v>
      </c>
      <c r="E118">
        <v>115</v>
      </c>
      <c r="F118">
        <v>11.454545454545455</v>
      </c>
      <c r="G118">
        <v>12.75</v>
      </c>
      <c r="H118">
        <v>12.76</v>
      </c>
      <c r="I118">
        <v>13.01</v>
      </c>
      <c r="Z118">
        <v>1</v>
      </c>
      <c r="AA118" t="e">
        <f t="array" ref="AA118">IF(OR(F118&lt;L$3,F118&gt;L$7),F118,#N/A)</f>
        <v>#N/A</v>
      </c>
      <c r="AB118">
        <f t="shared" si="2"/>
        <v>2</v>
      </c>
      <c r="AC118" t="e">
        <f t="array" ref="AC118">IF(OR(G118&lt;M$3,G118&gt;M$7),G118,#N/A)</f>
        <v>#N/A</v>
      </c>
      <c r="AD118">
        <f t="shared" si="2"/>
        <v>3</v>
      </c>
      <c r="AE118" t="e">
        <f t="array" ref="AE118">IF(OR(H118&lt;N$3,H118&gt;N$7),H118,#N/A)</f>
        <v>#N/A</v>
      </c>
      <c r="AF118">
        <f t="shared" si="2"/>
        <v>4</v>
      </c>
      <c r="AG118" t="e">
        <f t="array" ref="AG118">IF(OR(I118&lt;O$3,I118&gt;O$7),I118,#N/A)</f>
        <v>#N/A</v>
      </c>
    </row>
    <row r="119" spans="1:33" x14ac:dyDescent="0.25">
      <c r="A119">
        <v>118</v>
      </c>
      <c r="B119">
        <f ca="1">SMALL(dados!A$23:A$422,A119)</f>
        <v>0.31432863531533217</v>
      </c>
      <c r="C119">
        <f ca="1">VLOOKUP(B119,dados!A$23:E$422,5,0)</f>
        <v>16</v>
      </c>
      <c r="E119">
        <v>116</v>
      </c>
      <c r="F119">
        <v>12.636363636363637</v>
      </c>
      <c r="G119">
        <v>12.9</v>
      </c>
      <c r="H119">
        <v>12.6</v>
      </c>
      <c r="I119">
        <v>12.93</v>
      </c>
      <c r="Z119">
        <v>1</v>
      </c>
      <c r="AA119" t="e">
        <f t="array" ref="AA119">IF(OR(F119&lt;L$3,F119&gt;L$7),F119,#N/A)</f>
        <v>#N/A</v>
      </c>
      <c r="AB119">
        <f t="shared" si="2"/>
        <v>2</v>
      </c>
      <c r="AC119" t="e">
        <f t="array" ref="AC119">IF(OR(G119&lt;M$3,G119&gt;M$7),G119,#N/A)</f>
        <v>#N/A</v>
      </c>
      <c r="AD119">
        <f t="shared" si="2"/>
        <v>3</v>
      </c>
      <c r="AE119" t="e">
        <f t="array" ref="AE119">IF(OR(H119&lt;N$3,H119&gt;N$7),H119,#N/A)</f>
        <v>#N/A</v>
      </c>
      <c r="AF119">
        <f t="shared" si="2"/>
        <v>4</v>
      </c>
      <c r="AG119" t="e">
        <f t="array" ref="AG119">IF(OR(I119&lt;O$3,I119&gt;O$7),I119,#N/A)</f>
        <v>#N/A</v>
      </c>
    </row>
    <row r="120" spans="1:33" x14ac:dyDescent="0.25">
      <c r="A120">
        <v>119</v>
      </c>
      <c r="B120">
        <f ca="1">SMALL(dados!A$23:A$422,A120)</f>
        <v>0.31993638478551178</v>
      </c>
      <c r="C120">
        <f ca="1">VLOOKUP(B120,dados!A$23:E$422,5,0)</f>
        <v>14</v>
      </c>
      <c r="E120">
        <v>117</v>
      </c>
      <c r="F120">
        <v>17.545454545454547</v>
      </c>
      <c r="G120">
        <v>17.399999999999999</v>
      </c>
      <c r="H120">
        <v>14.02</v>
      </c>
      <c r="I120">
        <v>14.33</v>
      </c>
      <c r="Z120">
        <v>1</v>
      </c>
      <c r="AA120" t="e">
        <f t="array" ref="AA120">IF(OR(F120&lt;L$3,F120&gt;L$7),F120,#N/A)</f>
        <v>#N/A</v>
      </c>
      <c r="AB120">
        <f t="shared" si="2"/>
        <v>2</v>
      </c>
      <c r="AC120" t="e">
        <f t="array" ref="AC120">IF(OR(G120&lt;M$3,G120&gt;M$7),G120,#N/A)</f>
        <v>#N/A</v>
      </c>
      <c r="AD120">
        <f t="shared" si="2"/>
        <v>3</v>
      </c>
      <c r="AE120" t="e">
        <f t="array" ref="AE120">IF(OR(H120&lt;N$3,H120&gt;N$7),H120,#N/A)</f>
        <v>#N/A</v>
      </c>
      <c r="AF120">
        <f t="shared" si="2"/>
        <v>4</v>
      </c>
      <c r="AG120" t="e">
        <f t="array" ref="AG120">IF(OR(I120&lt;O$3,I120&gt;O$7),I120,#N/A)</f>
        <v>#N/A</v>
      </c>
    </row>
    <row r="121" spans="1:33" x14ac:dyDescent="0.25">
      <c r="A121">
        <v>120</v>
      </c>
      <c r="B121">
        <f ca="1">SMALL(dados!A$23:A$422,A121)</f>
        <v>0.32678761372296095</v>
      </c>
      <c r="C121">
        <f ca="1">VLOOKUP(B121,dados!A$23:E$422,5,0)</f>
        <v>10</v>
      </c>
      <c r="E121">
        <v>118</v>
      </c>
      <c r="F121">
        <v>15.454545454545455</v>
      </c>
      <c r="G121">
        <v>15.85</v>
      </c>
      <c r="H121">
        <v>15.28</v>
      </c>
      <c r="I121">
        <v>14.84</v>
      </c>
      <c r="Z121">
        <v>1</v>
      </c>
      <c r="AA121" t="e">
        <f t="array" ref="AA121">IF(OR(F121&lt;L$3,F121&gt;L$7),F121,#N/A)</f>
        <v>#N/A</v>
      </c>
      <c r="AB121">
        <f t="shared" si="2"/>
        <v>2</v>
      </c>
      <c r="AC121" t="e">
        <f t="array" ref="AC121">IF(OR(G121&lt;M$3,G121&gt;M$7),G121,#N/A)</f>
        <v>#N/A</v>
      </c>
      <c r="AD121">
        <f t="shared" si="2"/>
        <v>3</v>
      </c>
      <c r="AE121" t="e">
        <f t="array" ref="AE121">IF(OR(H121&lt;N$3,H121&gt;N$7),H121,#N/A)</f>
        <v>#N/A</v>
      </c>
      <c r="AF121">
        <f t="shared" si="2"/>
        <v>4</v>
      </c>
      <c r="AG121" t="e">
        <f t="array" ref="AG121">IF(OR(I121&lt;O$3,I121&gt;O$7),I121,#N/A)</f>
        <v>#N/A</v>
      </c>
    </row>
    <row r="122" spans="1:33" x14ac:dyDescent="0.25">
      <c r="A122">
        <v>121</v>
      </c>
      <c r="B122">
        <f ca="1">SMALL(dados!A$23:A$422,A122)</f>
        <v>0.33195930864590362</v>
      </c>
      <c r="C122">
        <f ca="1">VLOOKUP(B122,dados!A$23:E$422,5,0)</f>
        <v>5</v>
      </c>
      <c r="E122">
        <v>119</v>
      </c>
      <c r="F122">
        <v>14.909090909090908</v>
      </c>
      <c r="G122">
        <v>14.2</v>
      </c>
      <c r="H122">
        <v>12.7</v>
      </c>
      <c r="I122">
        <v>12.86</v>
      </c>
      <c r="Z122">
        <v>1</v>
      </c>
      <c r="AA122" t="e">
        <f t="array" ref="AA122">IF(OR(F122&lt;L$3,F122&gt;L$7),F122,#N/A)</f>
        <v>#N/A</v>
      </c>
      <c r="AB122">
        <f t="shared" si="2"/>
        <v>2</v>
      </c>
      <c r="AC122" t="e">
        <f t="array" ref="AC122">IF(OR(G122&lt;M$3,G122&gt;M$7),G122,#N/A)</f>
        <v>#N/A</v>
      </c>
      <c r="AD122">
        <f t="shared" si="2"/>
        <v>3</v>
      </c>
      <c r="AE122" t="e">
        <f t="array" ref="AE122">IF(OR(H122&lt;N$3,H122&gt;N$7),H122,#N/A)</f>
        <v>#N/A</v>
      </c>
      <c r="AF122">
        <f t="shared" si="2"/>
        <v>4</v>
      </c>
      <c r="AG122" t="e">
        <f t="array" ref="AG122">IF(OR(I122&lt;O$3,I122&gt;O$7),I122,#N/A)</f>
        <v>#N/A</v>
      </c>
    </row>
    <row r="123" spans="1:33" x14ac:dyDescent="0.25">
      <c r="A123">
        <v>122</v>
      </c>
      <c r="B123">
        <f ca="1">SMALL(dados!A$23:A$422,A123)</f>
        <v>0.33253680278529607</v>
      </c>
      <c r="C123">
        <f ca="1">VLOOKUP(B123,dados!A$23:E$422,5,0)</f>
        <v>15</v>
      </c>
      <c r="E123">
        <v>120</v>
      </c>
      <c r="F123">
        <v>12.727272727272727</v>
      </c>
      <c r="G123">
        <v>11.2</v>
      </c>
      <c r="H123">
        <v>13.48</v>
      </c>
      <c r="I123">
        <v>14.86</v>
      </c>
      <c r="Z123">
        <v>1</v>
      </c>
      <c r="AA123" t="e">
        <f t="array" ref="AA123">IF(OR(F123&lt;L$3,F123&gt;L$7),F123,#N/A)</f>
        <v>#N/A</v>
      </c>
      <c r="AB123">
        <f t="shared" si="2"/>
        <v>2</v>
      </c>
      <c r="AC123" t="e">
        <f t="array" ref="AC123">IF(OR(G123&lt;M$3,G123&gt;M$7),G123,#N/A)</f>
        <v>#N/A</v>
      </c>
      <c r="AD123">
        <f t="shared" si="2"/>
        <v>3</v>
      </c>
      <c r="AE123" t="e">
        <f t="array" ref="AE123">IF(OR(H123&lt;N$3,H123&gt;N$7),H123,#N/A)</f>
        <v>#N/A</v>
      </c>
      <c r="AF123">
        <f t="shared" si="2"/>
        <v>4</v>
      </c>
      <c r="AG123" t="e">
        <f t="array" ref="AG123">IF(OR(I123&lt;O$3,I123&gt;O$7),I123,#N/A)</f>
        <v>#N/A</v>
      </c>
    </row>
    <row r="124" spans="1:33" x14ac:dyDescent="0.25">
      <c r="A124">
        <v>123</v>
      </c>
      <c r="B124">
        <f ca="1">SMALL(dados!A$23:A$422,A124)</f>
        <v>0.33670906864164052</v>
      </c>
      <c r="C124">
        <f ca="1">VLOOKUP(B124,dados!A$23:E$422,5,0)</f>
        <v>5</v>
      </c>
      <c r="E124">
        <v>121</v>
      </c>
      <c r="F124">
        <v>15.454545454545455</v>
      </c>
      <c r="G124">
        <v>14.6</v>
      </c>
      <c r="H124">
        <v>13.7</v>
      </c>
      <c r="I124">
        <v>13.37</v>
      </c>
      <c r="Z124">
        <v>1</v>
      </c>
      <c r="AA124" t="e">
        <f t="array" ref="AA124">IF(OR(F124&lt;L$3,F124&gt;L$7),F124,#N/A)</f>
        <v>#N/A</v>
      </c>
      <c r="AB124">
        <f t="shared" si="2"/>
        <v>2</v>
      </c>
      <c r="AC124" t="e">
        <f t="array" ref="AC124">IF(OR(G124&lt;M$3,G124&gt;M$7),G124,#N/A)</f>
        <v>#N/A</v>
      </c>
      <c r="AD124">
        <f t="shared" si="2"/>
        <v>3</v>
      </c>
      <c r="AE124" t="e">
        <f t="array" ref="AE124">IF(OR(H124&lt;N$3,H124&gt;N$7),H124,#N/A)</f>
        <v>#N/A</v>
      </c>
      <c r="AF124">
        <f t="shared" si="2"/>
        <v>4</v>
      </c>
      <c r="AG124" t="e">
        <f t="array" ref="AG124">IF(OR(I124&lt;O$3,I124&gt;O$7),I124,#N/A)</f>
        <v>#N/A</v>
      </c>
    </row>
    <row r="125" spans="1:33" x14ac:dyDescent="0.25">
      <c r="A125">
        <v>124</v>
      </c>
      <c r="B125">
        <f ca="1">SMALL(dados!A$23:A$422,A125)</f>
        <v>0.34293230612562486</v>
      </c>
      <c r="C125">
        <f ca="1">VLOOKUP(B125,dados!A$23:E$422,5,0)</f>
        <v>4</v>
      </c>
      <c r="E125">
        <v>122</v>
      </c>
      <c r="F125">
        <v>18.272727272727273</v>
      </c>
      <c r="G125">
        <v>15.8</v>
      </c>
      <c r="H125">
        <v>13.98</v>
      </c>
      <c r="I125">
        <v>14.28</v>
      </c>
      <c r="Z125">
        <v>1</v>
      </c>
      <c r="AA125" t="e">
        <f t="array" ref="AA125">IF(OR(F125&lt;L$3,F125&gt;L$7),F125,#N/A)</f>
        <v>#N/A</v>
      </c>
      <c r="AB125">
        <f t="shared" si="2"/>
        <v>2</v>
      </c>
      <c r="AC125" t="e">
        <f t="array" ref="AC125">IF(OR(G125&lt;M$3,G125&gt;M$7),G125,#N/A)</f>
        <v>#N/A</v>
      </c>
      <c r="AD125">
        <f t="shared" si="2"/>
        <v>3</v>
      </c>
      <c r="AE125" t="e">
        <f t="array" ref="AE125">IF(OR(H125&lt;N$3,H125&gt;N$7),H125,#N/A)</f>
        <v>#N/A</v>
      </c>
      <c r="AF125">
        <f t="shared" si="2"/>
        <v>4</v>
      </c>
      <c r="AG125" t="e">
        <f t="array" ref="AG125">IF(OR(I125&lt;O$3,I125&gt;O$7),I125,#N/A)</f>
        <v>#N/A</v>
      </c>
    </row>
    <row r="126" spans="1:33" x14ac:dyDescent="0.25">
      <c r="A126">
        <v>125</v>
      </c>
      <c r="B126">
        <f ca="1">SMALL(dados!A$23:A$422,A126)</f>
        <v>0.34309329715543702</v>
      </c>
      <c r="C126">
        <f ca="1">VLOOKUP(B126,dados!A$23:E$422,5,0)</f>
        <v>10</v>
      </c>
      <c r="E126">
        <v>123</v>
      </c>
      <c r="F126">
        <v>12.909090909090908</v>
      </c>
      <c r="G126">
        <v>13.2</v>
      </c>
      <c r="H126">
        <v>13.98</v>
      </c>
      <c r="I126">
        <v>14.23</v>
      </c>
      <c r="Z126">
        <v>1</v>
      </c>
      <c r="AA126" t="e">
        <f t="array" ref="AA126">IF(OR(F126&lt;L$3,F126&gt;L$7),F126,#N/A)</f>
        <v>#N/A</v>
      </c>
      <c r="AB126">
        <f t="shared" si="2"/>
        <v>2</v>
      </c>
      <c r="AC126" t="e">
        <f t="array" ref="AC126">IF(OR(G126&lt;M$3,G126&gt;M$7),G126,#N/A)</f>
        <v>#N/A</v>
      </c>
      <c r="AD126">
        <f t="shared" si="2"/>
        <v>3</v>
      </c>
      <c r="AE126" t="e">
        <f t="array" ref="AE126">IF(OR(H126&lt;N$3,H126&gt;N$7),H126,#N/A)</f>
        <v>#N/A</v>
      </c>
      <c r="AF126">
        <f t="shared" si="2"/>
        <v>4</v>
      </c>
      <c r="AG126" t="e">
        <f t="array" ref="AG126">IF(OR(I126&lt;O$3,I126&gt;O$7),I126,#N/A)</f>
        <v>#N/A</v>
      </c>
    </row>
    <row r="127" spans="1:33" x14ac:dyDescent="0.25">
      <c r="A127">
        <v>126</v>
      </c>
      <c r="B127">
        <f ca="1">SMALL(dados!A$23:A$422,A127)</f>
        <v>0.34389755537688305</v>
      </c>
      <c r="C127">
        <f ca="1">VLOOKUP(B127,dados!A$23:E$422,5,0)</f>
        <v>26</v>
      </c>
      <c r="E127">
        <v>124</v>
      </c>
      <c r="F127">
        <v>13.272727272727273</v>
      </c>
      <c r="G127">
        <v>13.7</v>
      </c>
      <c r="H127">
        <v>16.22</v>
      </c>
      <c r="I127">
        <v>15.24</v>
      </c>
      <c r="Z127">
        <v>1</v>
      </c>
      <c r="AA127" t="e">
        <f t="array" ref="AA127">IF(OR(F127&lt;L$3,F127&gt;L$7),F127,#N/A)</f>
        <v>#N/A</v>
      </c>
      <c r="AB127">
        <f t="shared" si="2"/>
        <v>2</v>
      </c>
      <c r="AC127" t="e">
        <f t="array" ref="AC127">IF(OR(G127&lt;M$3,G127&gt;M$7),G127,#N/A)</f>
        <v>#N/A</v>
      </c>
      <c r="AD127">
        <f t="shared" si="2"/>
        <v>3</v>
      </c>
      <c r="AE127" t="e">
        <f t="array" ref="AE127">IF(OR(H127&lt;N$3,H127&gt;N$7),H127,#N/A)</f>
        <v>#N/A</v>
      </c>
      <c r="AF127">
        <f t="shared" si="2"/>
        <v>4</v>
      </c>
      <c r="AG127" t="e">
        <f t="array" ref="AG127">IF(OR(I127&lt;O$3,I127&gt;O$7),I127,#N/A)</f>
        <v>#N/A</v>
      </c>
    </row>
    <row r="128" spans="1:33" x14ac:dyDescent="0.25">
      <c r="A128">
        <v>127</v>
      </c>
      <c r="B128">
        <f ca="1">SMALL(dados!A$23:A$422,A128)</f>
        <v>0.34522166313131997</v>
      </c>
      <c r="C128">
        <f ca="1">VLOOKUP(B128,dados!A$23:E$422,5,0)</f>
        <v>11</v>
      </c>
      <c r="E128">
        <v>125</v>
      </c>
      <c r="F128">
        <v>14.545454545454545</v>
      </c>
      <c r="G128">
        <v>12.7</v>
      </c>
      <c r="H128">
        <v>13.4</v>
      </c>
      <c r="I128">
        <v>14.27</v>
      </c>
      <c r="Z128">
        <v>1</v>
      </c>
      <c r="AA128" t="e">
        <f t="array" ref="AA128">IF(OR(F128&lt;L$3,F128&gt;L$7),F128,#N/A)</f>
        <v>#N/A</v>
      </c>
      <c r="AB128">
        <f t="shared" si="2"/>
        <v>2</v>
      </c>
      <c r="AC128" t="e">
        <f t="array" ref="AC128">IF(OR(G128&lt;M$3,G128&gt;M$7),G128,#N/A)</f>
        <v>#N/A</v>
      </c>
      <c r="AD128">
        <f t="shared" si="2"/>
        <v>3</v>
      </c>
      <c r="AE128" t="e">
        <f t="array" ref="AE128">IF(OR(H128&lt;N$3,H128&gt;N$7),H128,#N/A)</f>
        <v>#N/A</v>
      </c>
      <c r="AF128">
        <f t="shared" si="2"/>
        <v>4</v>
      </c>
      <c r="AG128" t="e">
        <f t="array" ref="AG128">IF(OR(I128&lt;O$3,I128&gt;O$7),I128,#N/A)</f>
        <v>#N/A</v>
      </c>
    </row>
    <row r="129" spans="1:33" x14ac:dyDescent="0.25">
      <c r="A129">
        <v>128</v>
      </c>
      <c r="B129">
        <f ca="1">SMALL(dados!A$23:A$422,A129)</f>
        <v>0.35312700529055485</v>
      </c>
      <c r="C129">
        <f ca="1">VLOOKUP(B129,dados!A$23:E$422,5,0)</f>
        <v>13</v>
      </c>
      <c r="E129">
        <v>126</v>
      </c>
      <c r="F129">
        <v>18.09090909090909</v>
      </c>
      <c r="G129">
        <v>17.2</v>
      </c>
      <c r="H129">
        <v>14.08</v>
      </c>
      <c r="I129">
        <v>13.6</v>
      </c>
      <c r="Z129">
        <v>1</v>
      </c>
      <c r="AA129" t="e">
        <f t="array" ref="AA129">IF(OR(F129&lt;L$3,F129&gt;L$7),F129,#N/A)</f>
        <v>#N/A</v>
      </c>
      <c r="AB129">
        <f t="shared" si="2"/>
        <v>2</v>
      </c>
      <c r="AC129" t="e">
        <f t="array" ref="AC129">IF(OR(G129&lt;M$3,G129&gt;M$7),G129,#N/A)</f>
        <v>#N/A</v>
      </c>
      <c r="AD129">
        <f t="shared" si="2"/>
        <v>3</v>
      </c>
      <c r="AE129" t="e">
        <f t="array" ref="AE129">IF(OR(H129&lt;N$3,H129&gt;N$7),H129,#N/A)</f>
        <v>#N/A</v>
      </c>
      <c r="AF129">
        <f t="shared" si="2"/>
        <v>4</v>
      </c>
      <c r="AG129" t="e">
        <f t="array" ref="AG129">IF(OR(I129&lt;O$3,I129&gt;O$7),I129,#N/A)</f>
        <v>#N/A</v>
      </c>
    </row>
    <row r="130" spans="1:33" x14ac:dyDescent="0.25">
      <c r="A130">
        <v>129</v>
      </c>
      <c r="B130">
        <f ca="1">SMALL(dados!A$23:A$422,A130)</f>
        <v>0.35551311253163398</v>
      </c>
      <c r="C130">
        <f ca="1">VLOOKUP(B130,dados!A$23:E$422,5,0)</f>
        <v>27</v>
      </c>
      <c r="E130">
        <v>127</v>
      </c>
      <c r="F130">
        <v>19.363636363636363</v>
      </c>
      <c r="G130">
        <v>17.5</v>
      </c>
      <c r="H130">
        <v>15.52</v>
      </c>
      <c r="I130">
        <v>14.34</v>
      </c>
      <c r="Z130">
        <v>1</v>
      </c>
      <c r="AA130" t="e">
        <f t="array" ref="AA130">IF(OR(F130&lt;L$3,F130&gt;L$7),F130,#N/A)</f>
        <v>#N/A</v>
      </c>
      <c r="AB130">
        <f t="shared" si="2"/>
        <v>2</v>
      </c>
      <c r="AC130" t="e">
        <f t="array" ref="AC130">IF(OR(G130&lt;M$3,G130&gt;M$7),G130,#N/A)</f>
        <v>#N/A</v>
      </c>
      <c r="AD130">
        <f t="shared" si="2"/>
        <v>3</v>
      </c>
      <c r="AE130" t="e">
        <f t="array" ref="AE130">IF(OR(H130&lt;N$3,H130&gt;N$7),H130,#N/A)</f>
        <v>#N/A</v>
      </c>
      <c r="AF130">
        <f t="shared" si="2"/>
        <v>4</v>
      </c>
      <c r="AG130" t="e">
        <f t="array" ref="AG130">IF(OR(I130&lt;O$3,I130&gt;O$7),I130,#N/A)</f>
        <v>#N/A</v>
      </c>
    </row>
    <row r="131" spans="1:33" x14ac:dyDescent="0.25">
      <c r="A131">
        <v>130</v>
      </c>
      <c r="B131">
        <f ca="1">SMALL(dados!A$23:A$422,A131)</f>
        <v>0.35578873477218087</v>
      </c>
      <c r="C131">
        <f ca="1">VLOOKUP(B131,dados!A$23:E$422,5,0)</f>
        <v>12</v>
      </c>
      <c r="E131">
        <v>128</v>
      </c>
      <c r="F131">
        <v>16.09090909090909</v>
      </c>
      <c r="G131">
        <v>15.15</v>
      </c>
      <c r="H131">
        <v>14.74</v>
      </c>
      <c r="I131">
        <v>14.12</v>
      </c>
      <c r="Z131">
        <v>1</v>
      </c>
      <c r="AA131" t="e">
        <f t="array" ref="AA131">IF(OR(F131&lt;L$3,F131&gt;L$7),F131,#N/A)</f>
        <v>#N/A</v>
      </c>
      <c r="AB131">
        <f t="shared" si="2"/>
        <v>2</v>
      </c>
      <c r="AC131" t="e">
        <f t="array" ref="AC131">IF(OR(G131&lt;M$3,G131&gt;M$7),G131,#N/A)</f>
        <v>#N/A</v>
      </c>
      <c r="AD131">
        <f t="shared" si="2"/>
        <v>3</v>
      </c>
      <c r="AE131" t="e">
        <f t="array" ref="AE131">IF(OR(H131&lt;N$3,H131&gt;N$7),H131,#N/A)</f>
        <v>#N/A</v>
      </c>
      <c r="AF131">
        <f t="shared" si="2"/>
        <v>4</v>
      </c>
      <c r="AG131" t="e">
        <f t="array" ref="AG131">IF(OR(I131&lt;O$3,I131&gt;O$7),I131,#N/A)</f>
        <v>#N/A</v>
      </c>
    </row>
    <row r="132" spans="1:33" x14ac:dyDescent="0.25">
      <c r="A132">
        <v>131</v>
      </c>
      <c r="B132">
        <f ca="1">SMALL(dados!A$23:A$422,A132)</f>
        <v>0.35784941326795994</v>
      </c>
      <c r="C132">
        <f ca="1">VLOOKUP(B132,dados!A$23:E$422,5,0)</f>
        <v>11</v>
      </c>
      <c r="E132">
        <v>129</v>
      </c>
      <c r="F132">
        <v>14.636363636363637</v>
      </c>
      <c r="G132">
        <v>14.5</v>
      </c>
      <c r="H132">
        <v>15.18</v>
      </c>
      <c r="I132">
        <v>14.3</v>
      </c>
      <c r="Z132">
        <v>1</v>
      </c>
      <c r="AA132" t="e">
        <f t="array" ref="AA132">IF(OR(F132&lt;L$3,F132&gt;L$7),F132,#N/A)</f>
        <v>#N/A</v>
      </c>
      <c r="AB132">
        <f t="shared" si="2"/>
        <v>2</v>
      </c>
      <c r="AC132" t="e">
        <f t="array" ref="AC132">IF(OR(G132&lt;M$3,G132&gt;M$7),G132,#N/A)</f>
        <v>#N/A</v>
      </c>
      <c r="AD132">
        <f t="shared" si="2"/>
        <v>3</v>
      </c>
      <c r="AE132" t="e">
        <f t="array" ref="AE132">IF(OR(H132&lt;N$3,H132&gt;N$7),H132,#N/A)</f>
        <v>#N/A</v>
      </c>
      <c r="AF132">
        <f t="shared" si="2"/>
        <v>4</v>
      </c>
      <c r="AG132" t="e">
        <f t="array" ref="AG132">IF(OR(I132&lt;O$3,I132&gt;O$7),I132,#N/A)</f>
        <v>#N/A</v>
      </c>
    </row>
    <row r="133" spans="1:33" x14ac:dyDescent="0.25">
      <c r="A133">
        <v>132</v>
      </c>
      <c r="B133">
        <f ca="1">SMALL(dados!A$23:A$422,A133)</f>
        <v>0.36173149201754273</v>
      </c>
      <c r="C133">
        <f ca="1">VLOOKUP(B133,dados!A$23:E$422,5,0)</f>
        <v>19</v>
      </c>
      <c r="E133">
        <v>130</v>
      </c>
      <c r="F133">
        <v>13.272727272727273</v>
      </c>
      <c r="G133">
        <v>13.8</v>
      </c>
      <c r="H133">
        <v>14.96</v>
      </c>
      <c r="I133">
        <v>14.13</v>
      </c>
      <c r="Z133">
        <v>1</v>
      </c>
      <c r="AA133" t="e">
        <f t="array" ref="AA133">IF(OR(F133&lt;L$3,F133&gt;L$7),F133,#N/A)</f>
        <v>#N/A</v>
      </c>
      <c r="AB133">
        <f t="shared" ref="AB133:AF196" si="3">Z133+1</f>
        <v>2</v>
      </c>
      <c r="AC133" t="e">
        <f t="array" ref="AC133">IF(OR(G133&lt;M$3,G133&gt;M$7),G133,#N/A)</f>
        <v>#N/A</v>
      </c>
      <c r="AD133">
        <f t="shared" si="3"/>
        <v>3</v>
      </c>
      <c r="AE133" t="e">
        <f t="array" ref="AE133">IF(OR(H133&lt;N$3,H133&gt;N$7),H133,#N/A)</f>
        <v>#N/A</v>
      </c>
      <c r="AF133">
        <f t="shared" si="3"/>
        <v>4</v>
      </c>
      <c r="AG133" t="e">
        <f t="array" ref="AG133">IF(OR(I133&lt;O$3,I133&gt;O$7),I133,#N/A)</f>
        <v>#N/A</v>
      </c>
    </row>
    <row r="134" spans="1:33" x14ac:dyDescent="0.25">
      <c r="A134">
        <v>133</v>
      </c>
      <c r="B134">
        <f ca="1">SMALL(dados!A$23:A$422,A134)</f>
        <v>0.36429447669264059</v>
      </c>
      <c r="C134">
        <f ca="1">VLOOKUP(B134,dados!A$23:E$422,5,0)</f>
        <v>12</v>
      </c>
      <c r="E134">
        <v>131</v>
      </c>
      <c r="F134">
        <v>9.6363636363636367</v>
      </c>
      <c r="G134">
        <v>10.6</v>
      </c>
      <c r="H134">
        <v>12.64</v>
      </c>
      <c r="I134">
        <v>14.06</v>
      </c>
      <c r="Z134">
        <v>1</v>
      </c>
      <c r="AA134" t="e">
        <f t="array" ref="AA134">IF(OR(F134&lt;L$3,F134&gt;L$7),F134,#N/A)</f>
        <v>#N/A</v>
      </c>
      <c r="AB134">
        <f t="shared" si="3"/>
        <v>2</v>
      </c>
      <c r="AC134" t="e">
        <f t="array" ref="AC134">IF(OR(G134&lt;M$3,G134&gt;M$7),G134,#N/A)</f>
        <v>#N/A</v>
      </c>
      <c r="AD134">
        <f t="shared" si="3"/>
        <v>3</v>
      </c>
      <c r="AE134" t="e">
        <f t="array" ref="AE134">IF(OR(H134&lt;N$3,H134&gt;N$7),H134,#N/A)</f>
        <v>#N/A</v>
      </c>
      <c r="AF134">
        <f t="shared" si="3"/>
        <v>4</v>
      </c>
      <c r="AG134" t="e">
        <f t="array" ref="AG134">IF(OR(I134&lt;O$3,I134&gt;O$7),I134,#N/A)</f>
        <v>#N/A</v>
      </c>
    </row>
    <row r="135" spans="1:33" x14ac:dyDescent="0.25">
      <c r="A135">
        <v>134</v>
      </c>
      <c r="B135">
        <f ca="1">SMALL(dados!A$23:A$422,A135)</f>
        <v>0.36563414427563978</v>
      </c>
      <c r="C135">
        <f ca="1">VLOOKUP(B135,dados!A$23:E$422,5,0)</f>
        <v>13</v>
      </c>
      <c r="E135">
        <v>132</v>
      </c>
      <c r="F135">
        <v>15.363636363636363</v>
      </c>
      <c r="G135">
        <v>14.9</v>
      </c>
      <c r="H135">
        <v>14.68</v>
      </c>
      <c r="I135">
        <v>14.74</v>
      </c>
      <c r="Z135">
        <v>1</v>
      </c>
      <c r="AA135" t="e">
        <f t="array" ref="AA135">IF(OR(F135&lt;L$3,F135&gt;L$7),F135,#N/A)</f>
        <v>#N/A</v>
      </c>
      <c r="AB135">
        <f t="shared" si="3"/>
        <v>2</v>
      </c>
      <c r="AC135" t="e">
        <f t="array" ref="AC135">IF(OR(G135&lt;M$3,G135&gt;M$7),G135,#N/A)</f>
        <v>#N/A</v>
      </c>
      <c r="AD135">
        <f t="shared" si="3"/>
        <v>3</v>
      </c>
      <c r="AE135" t="e">
        <f t="array" ref="AE135">IF(OR(H135&lt;N$3,H135&gt;N$7),H135,#N/A)</f>
        <v>#N/A</v>
      </c>
      <c r="AF135">
        <f t="shared" si="3"/>
        <v>4</v>
      </c>
      <c r="AG135" t="e">
        <f t="array" ref="AG135">IF(OR(I135&lt;O$3,I135&gt;O$7),I135,#N/A)</f>
        <v>#N/A</v>
      </c>
    </row>
    <row r="136" spans="1:33" x14ac:dyDescent="0.25">
      <c r="A136">
        <v>135</v>
      </c>
      <c r="B136">
        <f ca="1">SMALL(dados!A$23:A$422,A136)</f>
        <v>0.36595674387103416</v>
      </c>
      <c r="C136">
        <f ca="1">VLOOKUP(B136,dados!A$23:E$422,5,0)</f>
        <v>17</v>
      </c>
      <c r="E136">
        <v>133</v>
      </c>
      <c r="F136">
        <v>17.272727272727273</v>
      </c>
      <c r="G136">
        <v>15.75</v>
      </c>
      <c r="H136">
        <v>14.96</v>
      </c>
      <c r="I136">
        <v>14.14</v>
      </c>
      <c r="Z136">
        <v>1</v>
      </c>
      <c r="AA136" t="e">
        <f t="array" ref="AA136">IF(OR(F136&lt;L$3,F136&gt;L$7),F136,#N/A)</f>
        <v>#N/A</v>
      </c>
      <c r="AB136">
        <f t="shared" si="3"/>
        <v>2</v>
      </c>
      <c r="AC136" t="e">
        <f t="array" ref="AC136">IF(OR(G136&lt;M$3,G136&gt;M$7),G136,#N/A)</f>
        <v>#N/A</v>
      </c>
      <c r="AD136">
        <f t="shared" si="3"/>
        <v>3</v>
      </c>
      <c r="AE136" t="e">
        <f t="array" ref="AE136">IF(OR(H136&lt;N$3,H136&gt;N$7),H136,#N/A)</f>
        <v>#N/A</v>
      </c>
      <c r="AF136">
        <f t="shared" si="3"/>
        <v>4</v>
      </c>
      <c r="AG136" t="e">
        <f t="array" ref="AG136">IF(OR(I136&lt;O$3,I136&gt;O$7),I136,#N/A)</f>
        <v>#N/A</v>
      </c>
    </row>
    <row r="137" spans="1:33" x14ac:dyDescent="0.25">
      <c r="A137">
        <v>136</v>
      </c>
      <c r="B137">
        <f ca="1">SMALL(dados!A$23:A$422,A137)</f>
        <v>0.36703981209352488</v>
      </c>
      <c r="C137">
        <f ca="1">VLOOKUP(B137,dados!A$23:E$422,5,0)</f>
        <v>16</v>
      </c>
      <c r="E137">
        <v>134</v>
      </c>
      <c r="F137">
        <v>13.363636363636363</v>
      </c>
      <c r="G137">
        <v>12.45</v>
      </c>
      <c r="H137">
        <v>13.26</v>
      </c>
      <c r="I137">
        <v>14.22</v>
      </c>
      <c r="Z137">
        <v>1</v>
      </c>
      <c r="AA137" t="e">
        <f t="array" ref="AA137">IF(OR(F137&lt;L$3,F137&gt;L$7),F137,#N/A)</f>
        <v>#N/A</v>
      </c>
      <c r="AB137">
        <f t="shared" si="3"/>
        <v>2</v>
      </c>
      <c r="AC137" t="e">
        <f t="array" ref="AC137">IF(OR(G137&lt;M$3,G137&gt;M$7),G137,#N/A)</f>
        <v>#N/A</v>
      </c>
      <c r="AD137">
        <f t="shared" si="3"/>
        <v>3</v>
      </c>
      <c r="AE137" t="e">
        <f t="array" ref="AE137">IF(OR(H137&lt;N$3,H137&gt;N$7),H137,#N/A)</f>
        <v>#N/A</v>
      </c>
      <c r="AF137">
        <f t="shared" si="3"/>
        <v>4</v>
      </c>
      <c r="AG137" t="e">
        <f t="array" ref="AG137">IF(OR(I137&lt;O$3,I137&gt;O$7),I137,#N/A)</f>
        <v>#N/A</v>
      </c>
    </row>
    <row r="138" spans="1:33" x14ac:dyDescent="0.25">
      <c r="A138">
        <v>137</v>
      </c>
      <c r="B138">
        <f ca="1">SMALL(dados!A$23:A$422,A138)</f>
        <v>0.36726200473697357</v>
      </c>
      <c r="C138">
        <f ca="1">VLOOKUP(B138,dados!A$23:E$422,5,0)</f>
        <v>9</v>
      </c>
      <c r="E138">
        <v>135</v>
      </c>
      <c r="F138">
        <v>11.454545454545455</v>
      </c>
      <c r="G138">
        <v>12.55</v>
      </c>
      <c r="H138">
        <v>11.96</v>
      </c>
      <c r="I138">
        <v>13.24</v>
      </c>
      <c r="Z138">
        <v>1</v>
      </c>
      <c r="AA138" t="e">
        <f t="array" ref="AA138">IF(OR(F138&lt;L$3,F138&gt;L$7),F138,#N/A)</f>
        <v>#N/A</v>
      </c>
      <c r="AB138">
        <f t="shared" si="3"/>
        <v>2</v>
      </c>
      <c r="AC138" t="e">
        <f t="array" ref="AC138">IF(OR(G138&lt;M$3,G138&gt;M$7),G138,#N/A)</f>
        <v>#N/A</v>
      </c>
      <c r="AD138">
        <f t="shared" si="3"/>
        <v>3</v>
      </c>
      <c r="AE138" t="e">
        <f t="array" ref="AE138">IF(OR(H138&lt;N$3,H138&gt;N$7),H138,#N/A)</f>
        <v>#N/A</v>
      </c>
      <c r="AF138">
        <f t="shared" si="3"/>
        <v>4</v>
      </c>
      <c r="AG138" t="e">
        <f t="array" ref="AG138">IF(OR(I138&lt;O$3,I138&gt;O$7),I138,#N/A)</f>
        <v>#N/A</v>
      </c>
    </row>
    <row r="139" spans="1:33" x14ac:dyDescent="0.25">
      <c r="A139">
        <v>138</v>
      </c>
      <c r="B139">
        <f ca="1">SMALL(dados!A$23:A$422,A139)</f>
        <v>0.37172198035162574</v>
      </c>
      <c r="C139">
        <f ca="1">VLOOKUP(B139,dados!A$23:E$422,5,0)</f>
        <v>13</v>
      </c>
      <c r="E139">
        <v>136</v>
      </c>
      <c r="F139">
        <v>11.818181818181818</v>
      </c>
      <c r="G139">
        <v>13.8</v>
      </c>
      <c r="H139">
        <v>12.42</v>
      </c>
      <c r="I139">
        <v>13.95</v>
      </c>
      <c r="Z139">
        <v>1</v>
      </c>
      <c r="AA139" t="e">
        <f t="array" ref="AA139">IF(OR(F139&lt;L$3,F139&gt;L$7),F139,#N/A)</f>
        <v>#N/A</v>
      </c>
      <c r="AB139">
        <f t="shared" si="3"/>
        <v>2</v>
      </c>
      <c r="AC139" t="e">
        <f t="array" ref="AC139">IF(OR(G139&lt;M$3,G139&gt;M$7),G139,#N/A)</f>
        <v>#N/A</v>
      </c>
      <c r="AD139">
        <f t="shared" si="3"/>
        <v>3</v>
      </c>
      <c r="AE139" t="e">
        <f t="array" ref="AE139">IF(OR(H139&lt;N$3,H139&gt;N$7),H139,#N/A)</f>
        <v>#N/A</v>
      </c>
      <c r="AF139">
        <f t="shared" si="3"/>
        <v>4</v>
      </c>
      <c r="AG139" t="e">
        <f t="array" ref="AG139">IF(OR(I139&lt;O$3,I139&gt;O$7),I139,#N/A)</f>
        <v>#N/A</v>
      </c>
    </row>
    <row r="140" spans="1:33" x14ac:dyDescent="0.25">
      <c r="A140">
        <v>139</v>
      </c>
      <c r="B140">
        <f ca="1">SMALL(dados!A$23:A$422,A140)</f>
        <v>0.38050407497966732</v>
      </c>
      <c r="C140">
        <f ca="1">VLOOKUP(B140,dados!A$23:E$422,5,0)</f>
        <v>9</v>
      </c>
      <c r="E140">
        <v>137</v>
      </c>
      <c r="F140">
        <v>14</v>
      </c>
      <c r="G140">
        <v>15.7</v>
      </c>
      <c r="H140">
        <v>14.54</v>
      </c>
      <c r="I140">
        <v>14.4</v>
      </c>
      <c r="Z140">
        <v>1</v>
      </c>
      <c r="AA140" t="e">
        <f t="array" ref="AA140">IF(OR(F140&lt;L$3,F140&gt;L$7),F140,#N/A)</f>
        <v>#N/A</v>
      </c>
      <c r="AB140">
        <f t="shared" si="3"/>
        <v>2</v>
      </c>
      <c r="AC140" t="e">
        <f t="array" ref="AC140">IF(OR(G140&lt;M$3,G140&gt;M$7),G140,#N/A)</f>
        <v>#N/A</v>
      </c>
      <c r="AD140">
        <f t="shared" si="3"/>
        <v>3</v>
      </c>
      <c r="AE140" t="e">
        <f t="array" ref="AE140">IF(OR(H140&lt;N$3,H140&gt;N$7),H140,#N/A)</f>
        <v>#N/A</v>
      </c>
      <c r="AF140">
        <f t="shared" si="3"/>
        <v>4</v>
      </c>
      <c r="AG140" t="e">
        <f t="array" ref="AG140">IF(OR(I140&lt;O$3,I140&gt;O$7),I140,#N/A)</f>
        <v>#N/A</v>
      </c>
    </row>
    <row r="141" spans="1:33" x14ac:dyDescent="0.25">
      <c r="A141">
        <v>140</v>
      </c>
      <c r="B141">
        <f ca="1">SMALL(dados!A$23:A$422,A141)</f>
        <v>0.38221917437167885</v>
      </c>
      <c r="C141">
        <f ca="1">VLOOKUP(B141,dados!A$23:E$422,5,0)</f>
        <v>7</v>
      </c>
      <c r="E141">
        <v>138</v>
      </c>
      <c r="F141">
        <v>13.727272727272727</v>
      </c>
      <c r="G141">
        <v>11.75</v>
      </c>
      <c r="H141">
        <v>13.18</v>
      </c>
      <c r="I141">
        <v>13.94</v>
      </c>
      <c r="Z141">
        <v>1</v>
      </c>
      <c r="AA141" t="e">
        <f t="array" ref="AA141">IF(OR(F141&lt;L$3,F141&gt;L$7),F141,#N/A)</f>
        <v>#N/A</v>
      </c>
      <c r="AB141">
        <f t="shared" si="3"/>
        <v>2</v>
      </c>
      <c r="AC141" t="e">
        <f t="array" ref="AC141">IF(OR(G141&lt;M$3,G141&gt;M$7),G141,#N/A)</f>
        <v>#N/A</v>
      </c>
      <c r="AD141">
        <f t="shared" si="3"/>
        <v>3</v>
      </c>
      <c r="AE141" t="e">
        <f t="array" ref="AE141">IF(OR(H141&lt;N$3,H141&gt;N$7),H141,#N/A)</f>
        <v>#N/A</v>
      </c>
      <c r="AF141">
        <f t="shared" si="3"/>
        <v>4</v>
      </c>
      <c r="AG141" t="e">
        <f t="array" ref="AG141">IF(OR(I141&lt;O$3,I141&gt;O$7),I141,#N/A)</f>
        <v>#N/A</v>
      </c>
    </row>
    <row r="142" spans="1:33" x14ac:dyDescent="0.25">
      <c r="A142">
        <v>141</v>
      </c>
      <c r="B142">
        <f ca="1">SMALL(dados!A$23:A$422,A142)</f>
        <v>0.3827263007616426</v>
      </c>
      <c r="C142">
        <f ca="1">VLOOKUP(B142,dados!A$23:E$422,5,0)</f>
        <v>11</v>
      </c>
      <c r="E142">
        <v>139</v>
      </c>
      <c r="F142">
        <v>15.363636363636363</v>
      </c>
      <c r="G142">
        <v>14.85</v>
      </c>
      <c r="H142">
        <v>14.08</v>
      </c>
      <c r="I142">
        <v>14.84</v>
      </c>
      <c r="Z142">
        <v>1</v>
      </c>
      <c r="AA142" t="e">
        <f t="array" ref="AA142">IF(OR(F142&lt;L$3,F142&gt;L$7),F142,#N/A)</f>
        <v>#N/A</v>
      </c>
      <c r="AB142">
        <f t="shared" si="3"/>
        <v>2</v>
      </c>
      <c r="AC142" t="e">
        <f t="array" ref="AC142">IF(OR(G142&lt;M$3,G142&gt;M$7),G142,#N/A)</f>
        <v>#N/A</v>
      </c>
      <c r="AD142">
        <f t="shared" si="3"/>
        <v>3</v>
      </c>
      <c r="AE142" t="e">
        <f t="array" ref="AE142">IF(OR(H142&lt;N$3,H142&gt;N$7),H142,#N/A)</f>
        <v>#N/A</v>
      </c>
      <c r="AF142">
        <f t="shared" si="3"/>
        <v>4</v>
      </c>
      <c r="AG142" t="e">
        <f t="array" ref="AG142">IF(OR(I142&lt;O$3,I142&gt;O$7),I142,#N/A)</f>
        <v>#N/A</v>
      </c>
    </row>
    <row r="143" spans="1:33" x14ac:dyDescent="0.25">
      <c r="A143">
        <v>142</v>
      </c>
      <c r="B143">
        <f ca="1">SMALL(dados!A$23:A$422,A143)</f>
        <v>0.38591763207101382</v>
      </c>
      <c r="C143">
        <f ca="1">VLOOKUP(B143,dados!A$23:E$422,5,0)</f>
        <v>9</v>
      </c>
      <c r="E143">
        <v>140</v>
      </c>
      <c r="F143">
        <v>18.454545454545453</v>
      </c>
      <c r="G143">
        <v>16.45</v>
      </c>
      <c r="H143">
        <v>16.260000000000002</v>
      </c>
      <c r="I143">
        <v>15.35</v>
      </c>
      <c r="Z143">
        <v>1</v>
      </c>
      <c r="AA143" t="e">
        <f t="array" ref="AA143">IF(OR(F143&lt;L$3,F143&gt;L$7),F143,#N/A)</f>
        <v>#N/A</v>
      </c>
      <c r="AB143">
        <f t="shared" si="3"/>
        <v>2</v>
      </c>
      <c r="AC143" t="e">
        <f t="array" ref="AC143">IF(OR(G143&lt;M$3,G143&gt;M$7),G143,#N/A)</f>
        <v>#N/A</v>
      </c>
      <c r="AD143">
        <f t="shared" si="3"/>
        <v>3</v>
      </c>
      <c r="AE143" t="e">
        <f t="array" ref="AE143">IF(OR(H143&lt;N$3,H143&gt;N$7),H143,#N/A)</f>
        <v>#N/A</v>
      </c>
      <c r="AF143">
        <f t="shared" si="3"/>
        <v>4</v>
      </c>
      <c r="AG143" t="e">
        <f t="array" ref="AG143">IF(OR(I143&lt;O$3,I143&gt;O$7),I143,#N/A)</f>
        <v>#N/A</v>
      </c>
    </row>
    <row r="144" spans="1:33" x14ac:dyDescent="0.25">
      <c r="A144">
        <v>143</v>
      </c>
      <c r="B144">
        <f ca="1">SMALL(dados!A$23:A$422,A144)</f>
        <v>0.38683489092239132</v>
      </c>
      <c r="C144">
        <f ca="1">VLOOKUP(B144,dados!A$23:E$422,5,0)</f>
        <v>10</v>
      </c>
      <c r="E144">
        <v>141</v>
      </c>
      <c r="F144">
        <v>10.272727272727273</v>
      </c>
      <c r="G144">
        <v>14.05</v>
      </c>
      <c r="H144">
        <v>12.98</v>
      </c>
      <c r="I144">
        <v>13.42</v>
      </c>
      <c r="Z144">
        <v>1</v>
      </c>
      <c r="AA144" t="e">
        <f t="array" ref="AA144">IF(OR(F144&lt;L$3,F144&gt;L$7),F144,#N/A)</f>
        <v>#N/A</v>
      </c>
      <c r="AB144">
        <f t="shared" si="3"/>
        <v>2</v>
      </c>
      <c r="AC144" t="e">
        <f t="array" ref="AC144">IF(OR(G144&lt;M$3,G144&gt;M$7),G144,#N/A)</f>
        <v>#N/A</v>
      </c>
      <c r="AD144">
        <f t="shared" si="3"/>
        <v>3</v>
      </c>
      <c r="AE144" t="e">
        <f t="array" ref="AE144">IF(OR(H144&lt;N$3,H144&gt;N$7),H144,#N/A)</f>
        <v>#N/A</v>
      </c>
      <c r="AF144">
        <f t="shared" si="3"/>
        <v>4</v>
      </c>
      <c r="AG144" t="e">
        <f t="array" ref="AG144">IF(OR(I144&lt;O$3,I144&gt;O$7),I144,#N/A)</f>
        <v>#N/A</v>
      </c>
    </row>
    <row r="145" spans="1:33" x14ac:dyDescent="0.25">
      <c r="A145">
        <v>144</v>
      </c>
      <c r="B145">
        <f ca="1">SMALL(dados!A$23:A$422,A145)</f>
        <v>0.39074866532069452</v>
      </c>
      <c r="C145">
        <f ca="1">VLOOKUP(B145,dados!A$23:E$422,5,0)</f>
        <v>13</v>
      </c>
      <c r="E145">
        <v>142</v>
      </c>
      <c r="F145">
        <v>12.090909090909092</v>
      </c>
      <c r="G145">
        <v>12.6</v>
      </c>
      <c r="H145">
        <v>12.46</v>
      </c>
      <c r="I145">
        <v>13.37</v>
      </c>
      <c r="Z145">
        <v>1</v>
      </c>
      <c r="AA145" t="e">
        <f t="array" ref="AA145">IF(OR(F145&lt;L$3,F145&gt;L$7),F145,#N/A)</f>
        <v>#N/A</v>
      </c>
      <c r="AB145">
        <f t="shared" si="3"/>
        <v>2</v>
      </c>
      <c r="AC145" t="e">
        <f t="array" ref="AC145">IF(OR(G145&lt;M$3,G145&gt;M$7),G145,#N/A)</f>
        <v>#N/A</v>
      </c>
      <c r="AD145">
        <f t="shared" si="3"/>
        <v>3</v>
      </c>
      <c r="AE145" t="e">
        <f t="array" ref="AE145">IF(OR(H145&lt;N$3,H145&gt;N$7),H145,#N/A)</f>
        <v>#N/A</v>
      </c>
      <c r="AF145">
        <f t="shared" si="3"/>
        <v>4</v>
      </c>
      <c r="AG145" t="e">
        <f t="array" ref="AG145">IF(OR(I145&lt;O$3,I145&gt;O$7),I145,#N/A)</f>
        <v>#N/A</v>
      </c>
    </row>
    <row r="146" spans="1:33" x14ac:dyDescent="0.25">
      <c r="A146">
        <v>145</v>
      </c>
      <c r="B146">
        <f ca="1">SMALL(dados!A$23:A$422,A146)</f>
        <v>0.39234574809373801</v>
      </c>
      <c r="C146">
        <f ca="1">VLOOKUP(B146,dados!A$23:E$422,5,0)</f>
        <v>14</v>
      </c>
      <c r="E146">
        <v>143</v>
      </c>
      <c r="F146">
        <v>11</v>
      </c>
      <c r="G146">
        <v>13.15</v>
      </c>
      <c r="H146">
        <v>13.38</v>
      </c>
      <c r="I146">
        <v>13.63</v>
      </c>
      <c r="Z146">
        <v>1</v>
      </c>
      <c r="AA146" t="e">
        <f t="array" ref="AA146">IF(OR(F146&lt;L$3,F146&gt;L$7),F146,#N/A)</f>
        <v>#N/A</v>
      </c>
      <c r="AB146">
        <f t="shared" si="3"/>
        <v>2</v>
      </c>
      <c r="AC146" t="e">
        <f t="array" ref="AC146">IF(OR(G146&lt;M$3,G146&gt;M$7),G146,#N/A)</f>
        <v>#N/A</v>
      </c>
      <c r="AD146">
        <f t="shared" si="3"/>
        <v>3</v>
      </c>
      <c r="AE146" t="e">
        <f t="array" ref="AE146">IF(OR(H146&lt;N$3,H146&gt;N$7),H146,#N/A)</f>
        <v>#N/A</v>
      </c>
      <c r="AF146">
        <f t="shared" si="3"/>
        <v>4</v>
      </c>
      <c r="AG146" t="e">
        <f t="array" ref="AG146">IF(OR(I146&lt;O$3,I146&gt;O$7),I146,#N/A)</f>
        <v>#N/A</v>
      </c>
    </row>
    <row r="147" spans="1:33" x14ac:dyDescent="0.25">
      <c r="A147">
        <v>146</v>
      </c>
      <c r="B147">
        <f ca="1">SMALL(dados!A$23:A$422,A147)</f>
        <v>0.39270545020651837</v>
      </c>
      <c r="C147">
        <f ca="1">VLOOKUP(B147,dados!A$23:E$422,5,0)</f>
        <v>10</v>
      </c>
      <c r="E147">
        <v>144</v>
      </c>
      <c r="F147">
        <v>15.727272727272727</v>
      </c>
      <c r="G147">
        <v>14.05</v>
      </c>
      <c r="H147">
        <v>15.02</v>
      </c>
      <c r="I147">
        <v>14.29</v>
      </c>
      <c r="Z147">
        <v>1</v>
      </c>
      <c r="AA147" t="e">
        <f t="array" ref="AA147">IF(OR(F147&lt;L$3,F147&gt;L$7),F147,#N/A)</f>
        <v>#N/A</v>
      </c>
      <c r="AB147">
        <f t="shared" si="3"/>
        <v>2</v>
      </c>
      <c r="AC147" t="e">
        <f t="array" ref="AC147">IF(OR(G147&lt;M$3,G147&gt;M$7),G147,#N/A)</f>
        <v>#N/A</v>
      </c>
      <c r="AD147">
        <f t="shared" si="3"/>
        <v>3</v>
      </c>
      <c r="AE147" t="e">
        <f t="array" ref="AE147">IF(OR(H147&lt;N$3,H147&gt;N$7),H147,#N/A)</f>
        <v>#N/A</v>
      </c>
      <c r="AF147">
        <f t="shared" si="3"/>
        <v>4</v>
      </c>
      <c r="AG147" t="e">
        <f t="array" ref="AG147">IF(OR(I147&lt;O$3,I147&gt;O$7),I147,#N/A)</f>
        <v>#N/A</v>
      </c>
    </row>
    <row r="148" spans="1:33" x14ac:dyDescent="0.25">
      <c r="A148">
        <v>147</v>
      </c>
      <c r="B148">
        <f ca="1">SMALL(dados!A$23:A$422,A148)</f>
        <v>0.39310323712167217</v>
      </c>
      <c r="C148">
        <f ca="1">VLOOKUP(B148,dados!A$23:E$422,5,0)</f>
        <v>13</v>
      </c>
      <c r="E148">
        <v>145</v>
      </c>
      <c r="F148">
        <v>12.909090909090908</v>
      </c>
      <c r="G148">
        <v>13.1</v>
      </c>
      <c r="H148">
        <v>12.44</v>
      </c>
      <c r="I148">
        <v>13.63</v>
      </c>
      <c r="Z148">
        <v>1</v>
      </c>
      <c r="AA148" t="e">
        <f t="array" ref="AA148">IF(OR(F148&lt;L$3,F148&gt;L$7),F148,#N/A)</f>
        <v>#N/A</v>
      </c>
      <c r="AB148">
        <f t="shared" si="3"/>
        <v>2</v>
      </c>
      <c r="AC148" t="e">
        <f t="array" ref="AC148">IF(OR(G148&lt;M$3,G148&gt;M$7),G148,#N/A)</f>
        <v>#N/A</v>
      </c>
      <c r="AD148">
        <f t="shared" si="3"/>
        <v>3</v>
      </c>
      <c r="AE148" t="e">
        <f t="array" ref="AE148">IF(OR(H148&lt;N$3,H148&gt;N$7),H148,#N/A)</f>
        <v>#N/A</v>
      </c>
      <c r="AF148">
        <f t="shared" si="3"/>
        <v>4</v>
      </c>
      <c r="AG148" t="e">
        <f t="array" ref="AG148">IF(OR(I148&lt;O$3,I148&gt;O$7),I148,#N/A)</f>
        <v>#N/A</v>
      </c>
    </row>
    <row r="149" spans="1:33" x14ac:dyDescent="0.25">
      <c r="A149">
        <v>148</v>
      </c>
      <c r="B149">
        <f ca="1">SMALL(dados!A$23:A$422,A149)</f>
        <v>0.39585658182289851</v>
      </c>
      <c r="C149">
        <f ca="1">VLOOKUP(B149,dados!A$23:E$422,5,0)</f>
        <v>11</v>
      </c>
      <c r="E149">
        <v>146</v>
      </c>
      <c r="F149">
        <v>13.545454545454545</v>
      </c>
      <c r="G149">
        <v>13.1</v>
      </c>
      <c r="H149">
        <v>12.78</v>
      </c>
      <c r="I149">
        <v>13.68</v>
      </c>
      <c r="Z149">
        <v>1</v>
      </c>
      <c r="AA149" t="e">
        <f t="array" ref="AA149">IF(OR(F149&lt;L$3,F149&gt;L$7),F149,#N/A)</f>
        <v>#N/A</v>
      </c>
      <c r="AB149">
        <f t="shared" si="3"/>
        <v>2</v>
      </c>
      <c r="AC149" t="e">
        <f t="array" ref="AC149">IF(OR(G149&lt;M$3,G149&gt;M$7),G149,#N/A)</f>
        <v>#N/A</v>
      </c>
      <c r="AD149">
        <f t="shared" si="3"/>
        <v>3</v>
      </c>
      <c r="AE149" t="e">
        <f t="array" ref="AE149">IF(OR(H149&lt;N$3,H149&gt;N$7),H149,#N/A)</f>
        <v>#N/A</v>
      </c>
      <c r="AF149">
        <f t="shared" si="3"/>
        <v>4</v>
      </c>
      <c r="AG149" t="e">
        <f t="array" ref="AG149">IF(OR(I149&lt;O$3,I149&gt;O$7),I149,#N/A)</f>
        <v>#N/A</v>
      </c>
    </row>
    <row r="150" spans="1:33" x14ac:dyDescent="0.25">
      <c r="A150">
        <v>149</v>
      </c>
      <c r="B150">
        <f ca="1">SMALL(dados!A$23:A$422,A150)</f>
        <v>0.39665004847339658</v>
      </c>
      <c r="C150">
        <f ca="1">VLOOKUP(B150,dados!A$23:E$422,5,0)</f>
        <v>21</v>
      </c>
      <c r="E150">
        <v>147</v>
      </c>
      <c r="F150">
        <v>13.454545454545455</v>
      </c>
      <c r="G150">
        <v>14.3</v>
      </c>
      <c r="H150">
        <v>14.62</v>
      </c>
      <c r="I150">
        <v>14.05</v>
      </c>
      <c r="Z150">
        <v>1</v>
      </c>
      <c r="AA150" t="e">
        <f t="array" ref="AA150">IF(OR(F150&lt;L$3,F150&gt;L$7),F150,#N/A)</f>
        <v>#N/A</v>
      </c>
      <c r="AB150">
        <f t="shared" si="3"/>
        <v>2</v>
      </c>
      <c r="AC150" t="e">
        <f t="array" ref="AC150">IF(OR(G150&lt;M$3,G150&gt;M$7),G150,#N/A)</f>
        <v>#N/A</v>
      </c>
      <c r="AD150">
        <f t="shared" si="3"/>
        <v>3</v>
      </c>
      <c r="AE150" t="e">
        <f t="array" ref="AE150">IF(OR(H150&lt;N$3,H150&gt;N$7),H150,#N/A)</f>
        <v>#N/A</v>
      </c>
      <c r="AF150">
        <f t="shared" si="3"/>
        <v>4</v>
      </c>
      <c r="AG150" t="e">
        <f t="array" ref="AG150">IF(OR(I150&lt;O$3,I150&gt;O$7),I150,#N/A)</f>
        <v>#N/A</v>
      </c>
    </row>
    <row r="151" spans="1:33" x14ac:dyDescent="0.25">
      <c r="A151">
        <v>150</v>
      </c>
      <c r="B151">
        <f ca="1">SMALL(dados!A$23:A$422,A151)</f>
        <v>0.39676205341472004</v>
      </c>
      <c r="C151">
        <f ca="1">VLOOKUP(B151,dados!A$23:E$422,5,0)</f>
        <v>8</v>
      </c>
      <c r="E151">
        <v>148</v>
      </c>
      <c r="F151">
        <v>14.727272727272727</v>
      </c>
      <c r="G151">
        <v>14.25</v>
      </c>
      <c r="H151">
        <v>13.44</v>
      </c>
      <c r="I151">
        <v>13.57</v>
      </c>
      <c r="Z151">
        <v>1</v>
      </c>
      <c r="AA151" t="e">
        <f t="array" ref="AA151">IF(OR(F151&lt;L$3,F151&gt;L$7),F151,#N/A)</f>
        <v>#N/A</v>
      </c>
      <c r="AB151">
        <f t="shared" si="3"/>
        <v>2</v>
      </c>
      <c r="AC151" t="e">
        <f t="array" ref="AC151">IF(OR(G151&lt;M$3,G151&gt;M$7),G151,#N/A)</f>
        <v>#N/A</v>
      </c>
      <c r="AD151">
        <f t="shared" si="3"/>
        <v>3</v>
      </c>
      <c r="AE151" t="e">
        <f t="array" ref="AE151">IF(OR(H151&lt;N$3,H151&gt;N$7),H151,#N/A)</f>
        <v>#N/A</v>
      </c>
      <c r="AF151">
        <f t="shared" si="3"/>
        <v>4</v>
      </c>
      <c r="AG151" t="e">
        <f t="array" ref="AG151">IF(OR(I151&lt;O$3,I151&gt;O$7),I151,#N/A)</f>
        <v>#N/A</v>
      </c>
    </row>
    <row r="152" spans="1:33" x14ac:dyDescent="0.25">
      <c r="A152">
        <v>151</v>
      </c>
      <c r="B152">
        <f ca="1">SMALL(dados!A$23:A$422,A152)</f>
        <v>0.39810709085465934</v>
      </c>
      <c r="C152">
        <f ca="1">VLOOKUP(B152,dados!A$23:E$422,5,0)</f>
        <v>18</v>
      </c>
      <c r="E152">
        <v>149</v>
      </c>
      <c r="F152">
        <v>15.090909090909092</v>
      </c>
      <c r="G152">
        <v>15.95</v>
      </c>
      <c r="H152">
        <v>14.94</v>
      </c>
      <c r="I152">
        <v>14.39</v>
      </c>
      <c r="Z152">
        <v>1</v>
      </c>
      <c r="AA152" t="e">
        <f t="array" ref="AA152">IF(OR(F152&lt;L$3,F152&gt;L$7),F152,#N/A)</f>
        <v>#N/A</v>
      </c>
      <c r="AB152">
        <f t="shared" si="3"/>
        <v>2</v>
      </c>
      <c r="AC152" t="e">
        <f t="array" ref="AC152">IF(OR(G152&lt;M$3,G152&gt;M$7),G152,#N/A)</f>
        <v>#N/A</v>
      </c>
      <c r="AD152">
        <f t="shared" si="3"/>
        <v>3</v>
      </c>
      <c r="AE152" t="e">
        <f t="array" ref="AE152">IF(OR(H152&lt;N$3,H152&gt;N$7),H152,#N/A)</f>
        <v>#N/A</v>
      </c>
      <c r="AF152">
        <f t="shared" si="3"/>
        <v>4</v>
      </c>
      <c r="AG152" t="e">
        <f t="array" ref="AG152">IF(OR(I152&lt;O$3,I152&gt;O$7),I152,#N/A)</f>
        <v>#N/A</v>
      </c>
    </row>
    <row r="153" spans="1:33" x14ac:dyDescent="0.25">
      <c r="A153">
        <v>152</v>
      </c>
      <c r="B153">
        <f ca="1">SMALL(dados!A$23:A$422,A153)</f>
        <v>0.39953779642046838</v>
      </c>
      <c r="C153">
        <f ca="1">VLOOKUP(B153,dados!A$23:E$422,5,0)</f>
        <v>15</v>
      </c>
      <c r="E153">
        <v>150</v>
      </c>
      <c r="F153">
        <v>11.454545454545455</v>
      </c>
      <c r="G153">
        <v>12.1</v>
      </c>
      <c r="H153">
        <v>12.76</v>
      </c>
      <c r="I153">
        <v>13.63</v>
      </c>
      <c r="Z153">
        <v>1</v>
      </c>
      <c r="AA153" t="e">
        <f t="array" ref="AA153">IF(OR(F153&lt;L$3,F153&gt;L$7),F153,#N/A)</f>
        <v>#N/A</v>
      </c>
      <c r="AB153">
        <f t="shared" si="3"/>
        <v>2</v>
      </c>
      <c r="AC153" t="e">
        <f t="array" ref="AC153">IF(OR(G153&lt;M$3,G153&gt;M$7),G153,#N/A)</f>
        <v>#N/A</v>
      </c>
      <c r="AD153">
        <f t="shared" si="3"/>
        <v>3</v>
      </c>
      <c r="AE153" t="e">
        <f t="array" ref="AE153">IF(OR(H153&lt;N$3,H153&gt;N$7),H153,#N/A)</f>
        <v>#N/A</v>
      </c>
      <c r="AF153">
        <f t="shared" si="3"/>
        <v>4</v>
      </c>
      <c r="AG153" t="e">
        <f t="array" ref="AG153">IF(OR(I153&lt;O$3,I153&gt;O$7),I153,#N/A)</f>
        <v>#N/A</v>
      </c>
    </row>
    <row r="154" spans="1:33" x14ac:dyDescent="0.25">
      <c r="A154">
        <v>153</v>
      </c>
      <c r="B154">
        <f ca="1">SMALL(dados!A$23:A$422,A154)</f>
        <v>0.40594286491102638</v>
      </c>
      <c r="C154">
        <f ca="1">VLOOKUP(B154,dados!A$23:E$422,5,0)</f>
        <v>5</v>
      </c>
      <c r="E154">
        <v>151</v>
      </c>
      <c r="F154">
        <v>15.363636363636363</v>
      </c>
      <c r="G154">
        <v>14.8</v>
      </c>
      <c r="H154">
        <v>14.12</v>
      </c>
      <c r="I154">
        <v>14.57</v>
      </c>
      <c r="Z154">
        <v>1</v>
      </c>
      <c r="AA154" t="e">
        <f t="array" ref="AA154">IF(OR(F154&lt;L$3,F154&gt;L$7),F154,#N/A)</f>
        <v>#N/A</v>
      </c>
      <c r="AB154">
        <f t="shared" si="3"/>
        <v>2</v>
      </c>
      <c r="AC154" t="e">
        <f t="array" ref="AC154">IF(OR(G154&lt;M$3,G154&gt;M$7),G154,#N/A)</f>
        <v>#N/A</v>
      </c>
      <c r="AD154">
        <f t="shared" si="3"/>
        <v>3</v>
      </c>
      <c r="AE154" t="e">
        <f t="array" ref="AE154">IF(OR(H154&lt;N$3,H154&gt;N$7),H154,#N/A)</f>
        <v>#N/A</v>
      </c>
      <c r="AF154">
        <f t="shared" si="3"/>
        <v>4</v>
      </c>
      <c r="AG154" t="e">
        <f t="array" ref="AG154">IF(OR(I154&lt;O$3,I154&gt;O$7),I154,#N/A)</f>
        <v>#N/A</v>
      </c>
    </row>
    <row r="155" spans="1:33" x14ac:dyDescent="0.25">
      <c r="A155">
        <v>154</v>
      </c>
      <c r="B155">
        <f ca="1">SMALL(dados!A$23:A$422,A155)</f>
        <v>0.40824019813629309</v>
      </c>
      <c r="C155">
        <f ca="1">VLOOKUP(B155,dados!A$23:E$422,5,0)</f>
        <v>8</v>
      </c>
      <c r="E155">
        <v>152</v>
      </c>
      <c r="F155">
        <v>13.181818181818182</v>
      </c>
      <c r="G155">
        <v>15.3</v>
      </c>
      <c r="H155">
        <v>14.88</v>
      </c>
      <c r="I155">
        <v>13.49</v>
      </c>
      <c r="Z155">
        <v>1</v>
      </c>
      <c r="AA155" t="e">
        <f t="array" ref="AA155">IF(OR(F155&lt;L$3,F155&gt;L$7),F155,#N/A)</f>
        <v>#N/A</v>
      </c>
      <c r="AB155">
        <f t="shared" si="3"/>
        <v>2</v>
      </c>
      <c r="AC155" t="e">
        <f t="array" ref="AC155">IF(OR(G155&lt;M$3,G155&gt;M$7),G155,#N/A)</f>
        <v>#N/A</v>
      </c>
      <c r="AD155">
        <f t="shared" si="3"/>
        <v>3</v>
      </c>
      <c r="AE155" t="e">
        <f t="array" ref="AE155">IF(OR(H155&lt;N$3,H155&gt;N$7),H155,#N/A)</f>
        <v>#N/A</v>
      </c>
      <c r="AF155">
        <f t="shared" si="3"/>
        <v>4</v>
      </c>
      <c r="AG155" t="e">
        <f t="array" ref="AG155">IF(OR(I155&lt;O$3,I155&gt;O$7),I155,#N/A)</f>
        <v>#N/A</v>
      </c>
    </row>
    <row r="156" spans="1:33" x14ac:dyDescent="0.25">
      <c r="A156">
        <v>155</v>
      </c>
      <c r="B156">
        <f ca="1">SMALL(dados!A$23:A$422,A156)</f>
        <v>0.41094609560352968</v>
      </c>
      <c r="C156">
        <f ca="1">VLOOKUP(B156,dados!A$23:E$422,5,0)</f>
        <v>7</v>
      </c>
      <c r="E156">
        <v>153</v>
      </c>
      <c r="F156">
        <v>14.545454545454545</v>
      </c>
      <c r="G156">
        <v>15.05</v>
      </c>
      <c r="H156">
        <v>15.18</v>
      </c>
      <c r="I156">
        <v>15.08</v>
      </c>
      <c r="Z156">
        <v>1</v>
      </c>
      <c r="AA156" t="e">
        <f t="array" ref="AA156">IF(OR(F156&lt;L$3,F156&gt;L$7),F156,#N/A)</f>
        <v>#N/A</v>
      </c>
      <c r="AB156">
        <f t="shared" si="3"/>
        <v>2</v>
      </c>
      <c r="AC156" t="e">
        <f t="array" ref="AC156">IF(OR(G156&lt;M$3,G156&gt;M$7),G156,#N/A)</f>
        <v>#N/A</v>
      </c>
      <c r="AD156">
        <f t="shared" si="3"/>
        <v>3</v>
      </c>
      <c r="AE156" t="e">
        <f t="array" ref="AE156">IF(OR(H156&lt;N$3,H156&gt;N$7),H156,#N/A)</f>
        <v>#N/A</v>
      </c>
      <c r="AF156">
        <f t="shared" si="3"/>
        <v>4</v>
      </c>
      <c r="AG156" t="e">
        <f t="array" ref="AG156">IF(OR(I156&lt;O$3,I156&gt;O$7),I156,#N/A)</f>
        <v>#N/A</v>
      </c>
    </row>
    <row r="157" spans="1:33" x14ac:dyDescent="0.25">
      <c r="A157">
        <v>156</v>
      </c>
      <c r="B157">
        <f ca="1">SMALL(dados!A$23:A$422,A157)</f>
        <v>0.41116211714842876</v>
      </c>
      <c r="C157">
        <f ca="1">VLOOKUP(B157,dados!A$23:E$422,5,0)</f>
        <v>7</v>
      </c>
      <c r="E157">
        <v>154</v>
      </c>
      <c r="F157">
        <v>12.636363636363637</v>
      </c>
      <c r="G157">
        <v>11.2</v>
      </c>
      <c r="H157">
        <v>12.36</v>
      </c>
      <c r="I157">
        <v>13.58</v>
      </c>
      <c r="Z157">
        <v>1</v>
      </c>
      <c r="AA157" t="e">
        <f t="array" ref="AA157">IF(OR(F157&lt;L$3,F157&gt;L$7),F157,#N/A)</f>
        <v>#N/A</v>
      </c>
      <c r="AB157">
        <f t="shared" si="3"/>
        <v>2</v>
      </c>
      <c r="AC157" t="e">
        <f t="array" ref="AC157">IF(OR(G157&lt;M$3,G157&gt;M$7),G157,#N/A)</f>
        <v>#N/A</v>
      </c>
      <c r="AD157">
        <f t="shared" si="3"/>
        <v>3</v>
      </c>
      <c r="AE157" t="e">
        <f t="array" ref="AE157">IF(OR(H157&lt;N$3,H157&gt;N$7),H157,#N/A)</f>
        <v>#N/A</v>
      </c>
      <c r="AF157">
        <f t="shared" si="3"/>
        <v>4</v>
      </c>
      <c r="AG157" t="e">
        <f t="array" ref="AG157">IF(OR(I157&lt;O$3,I157&gt;O$7),I157,#N/A)</f>
        <v>#N/A</v>
      </c>
    </row>
    <row r="158" spans="1:33" x14ac:dyDescent="0.25">
      <c r="A158">
        <v>157</v>
      </c>
      <c r="B158">
        <f ca="1">SMALL(dados!A$23:A$422,A158)</f>
        <v>0.41274617747074738</v>
      </c>
      <c r="C158">
        <f ca="1">VLOOKUP(B158,dados!A$23:E$422,5,0)</f>
        <v>11</v>
      </c>
      <c r="E158">
        <v>155</v>
      </c>
      <c r="F158">
        <v>12.181818181818182</v>
      </c>
      <c r="G158">
        <v>11.5</v>
      </c>
      <c r="H158">
        <v>13.08</v>
      </c>
      <c r="I158">
        <v>13.09</v>
      </c>
      <c r="Z158">
        <v>1</v>
      </c>
      <c r="AA158" t="e">
        <f t="array" ref="AA158">IF(OR(F158&lt;L$3,F158&gt;L$7),F158,#N/A)</f>
        <v>#N/A</v>
      </c>
      <c r="AB158">
        <f t="shared" si="3"/>
        <v>2</v>
      </c>
      <c r="AC158" t="e">
        <f t="array" ref="AC158">IF(OR(G158&lt;M$3,G158&gt;M$7),G158,#N/A)</f>
        <v>#N/A</v>
      </c>
      <c r="AD158">
        <f t="shared" si="3"/>
        <v>3</v>
      </c>
      <c r="AE158" t="e">
        <f t="array" ref="AE158">IF(OR(H158&lt;N$3,H158&gt;N$7),H158,#N/A)</f>
        <v>#N/A</v>
      </c>
      <c r="AF158">
        <f t="shared" si="3"/>
        <v>4</v>
      </c>
      <c r="AG158" t="e">
        <f t="array" ref="AG158">IF(OR(I158&lt;O$3,I158&gt;O$7),I158,#N/A)</f>
        <v>#N/A</v>
      </c>
    </row>
    <row r="159" spans="1:33" x14ac:dyDescent="0.25">
      <c r="A159">
        <v>158</v>
      </c>
      <c r="B159">
        <f ca="1">SMALL(dados!A$23:A$422,A159)</f>
        <v>0.41553760081792412</v>
      </c>
      <c r="C159">
        <f ca="1">VLOOKUP(B159,dados!A$23:E$422,5,0)</f>
        <v>8</v>
      </c>
      <c r="E159">
        <v>156</v>
      </c>
      <c r="F159">
        <v>10.636363636363637</v>
      </c>
      <c r="G159">
        <v>12.25</v>
      </c>
      <c r="H159">
        <v>12.96</v>
      </c>
      <c r="I159">
        <v>13.25</v>
      </c>
      <c r="Z159">
        <v>1</v>
      </c>
      <c r="AA159" t="e">
        <f t="array" ref="AA159">IF(OR(F159&lt;L$3,F159&gt;L$7),F159,#N/A)</f>
        <v>#N/A</v>
      </c>
      <c r="AB159">
        <f t="shared" si="3"/>
        <v>2</v>
      </c>
      <c r="AC159" t="e">
        <f t="array" ref="AC159">IF(OR(G159&lt;M$3,G159&gt;M$7),G159,#N/A)</f>
        <v>#N/A</v>
      </c>
      <c r="AD159">
        <f t="shared" si="3"/>
        <v>3</v>
      </c>
      <c r="AE159" t="e">
        <f t="array" ref="AE159">IF(OR(H159&lt;N$3,H159&gt;N$7),H159,#N/A)</f>
        <v>#N/A</v>
      </c>
      <c r="AF159">
        <f t="shared" si="3"/>
        <v>4</v>
      </c>
      <c r="AG159" t="e">
        <f t="array" ref="AG159">IF(OR(I159&lt;O$3,I159&gt;O$7),I159,#N/A)</f>
        <v>#N/A</v>
      </c>
    </row>
    <row r="160" spans="1:33" x14ac:dyDescent="0.25">
      <c r="A160">
        <v>159</v>
      </c>
      <c r="B160">
        <f ca="1">SMALL(dados!A$23:A$422,A160)</f>
        <v>0.41642024565453883</v>
      </c>
      <c r="C160">
        <f ca="1">VLOOKUP(B160,dados!A$23:E$422,5,0)</f>
        <v>29</v>
      </c>
      <c r="E160">
        <v>157</v>
      </c>
      <c r="F160">
        <v>16.272727272727273</v>
      </c>
      <c r="G160">
        <v>14.3</v>
      </c>
      <c r="H160">
        <v>14.16</v>
      </c>
      <c r="I160">
        <v>13.9</v>
      </c>
      <c r="Z160">
        <v>1</v>
      </c>
      <c r="AA160" t="e">
        <f t="array" ref="AA160">IF(OR(F160&lt;L$3,F160&gt;L$7),F160,#N/A)</f>
        <v>#N/A</v>
      </c>
      <c r="AB160">
        <f t="shared" si="3"/>
        <v>2</v>
      </c>
      <c r="AC160" t="e">
        <f t="array" ref="AC160">IF(OR(G160&lt;M$3,G160&gt;M$7),G160,#N/A)</f>
        <v>#N/A</v>
      </c>
      <c r="AD160">
        <f t="shared" si="3"/>
        <v>3</v>
      </c>
      <c r="AE160" t="e">
        <f t="array" ref="AE160">IF(OR(H160&lt;N$3,H160&gt;N$7),H160,#N/A)</f>
        <v>#N/A</v>
      </c>
      <c r="AF160">
        <f t="shared" si="3"/>
        <v>4</v>
      </c>
      <c r="AG160" t="e">
        <f t="array" ref="AG160">IF(OR(I160&lt;O$3,I160&gt;O$7),I160,#N/A)</f>
        <v>#N/A</v>
      </c>
    </row>
    <row r="161" spans="1:33" x14ac:dyDescent="0.25">
      <c r="A161">
        <v>160</v>
      </c>
      <c r="B161">
        <f ca="1">SMALL(dados!A$23:A$422,A161)</f>
        <v>0.42019037046824115</v>
      </c>
      <c r="C161">
        <f ca="1">VLOOKUP(B161,dados!A$23:E$422,5,0)</f>
        <v>14</v>
      </c>
      <c r="E161">
        <v>158</v>
      </c>
      <c r="F161">
        <v>9.9090909090909083</v>
      </c>
      <c r="G161">
        <v>12.2</v>
      </c>
      <c r="H161">
        <v>13.28</v>
      </c>
      <c r="I161">
        <v>13.66</v>
      </c>
      <c r="Z161">
        <v>1</v>
      </c>
      <c r="AA161" t="e">
        <f t="array" ref="AA161">IF(OR(F161&lt;L$3,F161&gt;L$7),F161,#N/A)</f>
        <v>#N/A</v>
      </c>
      <c r="AB161">
        <f t="shared" si="3"/>
        <v>2</v>
      </c>
      <c r="AC161" t="e">
        <f t="array" ref="AC161">IF(OR(G161&lt;M$3,G161&gt;M$7),G161,#N/A)</f>
        <v>#N/A</v>
      </c>
      <c r="AD161">
        <f t="shared" si="3"/>
        <v>3</v>
      </c>
      <c r="AE161" t="e">
        <f t="array" ref="AE161">IF(OR(H161&lt;N$3,H161&gt;N$7),H161,#N/A)</f>
        <v>#N/A</v>
      </c>
      <c r="AF161">
        <f t="shared" si="3"/>
        <v>4</v>
      </c>
      <c r="AG161" t="e">
        <f t="array" ref="AG161">IF(OR(I161&lt;O$3,I161&gt;O$7),I161,#N/A)</f>
        <v>#N/A</v>
      </c>
    </row>
    <row r="162" spans="1:33" x14ac:dyDescent="0.25">
      <c r="A162">
        <v>161</v>
      </c>
      <c r="B162">
        <f ca="1">SMALL(dados!A$23:A$422,A162)</f>
        <v>0.42162128492344708</v>
      </c>
      <c r="C162">
        <f ca="1">VLOOKUP(B162,dados!A$23:E$422,5,0)</f>
        <v>30</v>
      </c>
      <c r="E162">
        <v>159</v>
      </c>
      <c r="F162">
        <v>12.545454545454545</v>
      </c>
      <c r="G162">
        <v>13.7</v>
      </c>
      <c r="H162">
        <v>13.66</v>
      </c>
      <c r="I162">
        <v>13.59</v>
      </c>
      <c r="Z162">
        <v>1</v>
      </c>
      <c r="AA162" t="e">
        <f t="array" ref="AA162">IF(OR(F162&lt;L$3,F162&gt;L$7),F162,#N/A)</f>
        <v>#N/A</v>
      </c>
      <c r="AB162">
        <f t="shared" si="3"/>
        <v>2</v>
      </c>
      <c r="AC162" t="e">
        <f t="array" ref="AC162">IF(OR(G162&lt;M$3,G162&gt;M$7),G162,#N/A)</f>
        <v>#N/A</v>
      </c>
      <c r="AD162">
        <f t="shared" si="3"/>
        <v>3</v>
      </c>
      <c r="AE162" t="e">
        <f t="array" ref="AE162">IF(OR(H162&lt;N$3,H162&gt;N$7),H162,#N/A)</f>
        <v>#N/A</v>
      </c>
      <c r="AF162">
        <f t="shared" si="3"/>
        <v>4</v>
      </c>
      <c r="AG162" t="e">
        <f t="array" ref="AG162">IF(OR(I162&lt;O$3,I162&gt;O$7),I162,#N/A)</f>
        <v>#N/A</v>
      </c>
    </row>
    <row r="163" spans="1:33" x14ac:dyDescent="0.25">
      <c r="A163">
        <v>162</v>
      </c>
      <c r="B163">
        <f ca="1">SMALL(dados!A$23:A$422,A163)</f>
        <v>0.42508144568225292</v>
      </c>
      <c r="C163">
        <f ca="1">VLOOKUP(B163,dados!A$23:E$422,5,0)</f>
        <v>9</v>
      </c>
      <c r="E163">
        <v>160</v>
      </c>
      <c r="F163">
        <v>11.818181818181818</v>
      </c>
      <c r="G163">
        <v>11.25</v>
      </c>
      <c r="H163">
        <v>12.76</v>
      </c>
      <c r="I163">
        <v>13.31</v>
      </c>
      <c r="Z163">
        <v>1</v>
      </c>
      <c r="AA163" t="e">
        <f t="array" ref="AA163">IF(OR(F163&lt;L$3,F163&gt;L$7),F163,#N/A)</f>
        <v>#N/A</v>
      </c>
      <c r="AB163">
        <f t="shared" si="3"/>
        <v>2</v>
      </c>
      <c r="AC163" t="e">
        <f t="array" ref="AC163">IF(OR(G163&lt;M$3,G163&gt;M$7),G163,#N/A)</f>
        <v>#N/A</v>
      </c>
      <c r="AD163">
        <f t="shared" si="3"/>
        <v>3</v>
      </c>
      <c r="AE163" t="e">
        <f t="array" ref="AE163">IF(OR(H163&lt;N$3,H163&gt;N$7),H163,#N/A)</f>
        <v>#N/A</v>
      </c>
      <c r="AF163">
        <f t="shared" si="3"/>
        <v>4</v>
      </c>
      <c r="AG163" t="e">
        <f t="array" ref="AG163">IF(OR(I163&lt;O$3,I163&gt;O$7),I163,#N/A)</f>
        <v>#N/A</v>
      </c>
    </row>
    <row r="164" spans="1:33" x14ac:dyDescent="0.25">
      <c r="A164">
        <v>163</v>
      </c>
      <c r="B164">
        <f ca="1">SMALL(dados!A$23:A$422,A164)</f>
        <v>0.4252353865437758</v>
      </c>
      <c r="C164">
        <f ca="1">VLOOKUP(B164,dados!A$23:E$422,5,0)</f>
        <v>30</v>
      </c>
      <c r="E164">
        <v>161</v>
      </c>
      <c r="F164">
        <v>11.636363636363637</v>
      </c>
      <c r="G164">
        <v>11.45</v>
      </c>
      <c r="H164">
        <v>13.18</v>
      </c>
      <c r="I164">
        <v>13.7</v>
      </c>
      <c r="Z164">
        <v>1</v>
      </c>
      <c r="AA164" t="e">
        <f t="array" ref="AA164">IF(OR(F164&lt;L$3,F164&gt;L$7),F164,#N/A)</f>
        <v>#N/A</v>
      </c>
      <c r="AB164">
        <f t="shared" si="3"/>
        <v>2</v>
      </c>
      <c r="AC164" t="e">
        <f t="array" ref="AC164">IF(OR(G164&lt;M$3,G164&gt;M$7),G164,#N/A)</f>
        <v>#N/A</v>
      </c>
      <c r="AD164">
        <f t="shared" si="3"/>
        <v>3</v>
      </c>
      <c r="AE164" t="e">
        <f t="array" ref="AE164">IF(OR(H164&lt;N$3,H164&gt;N$7),H164,#N/A)</f>
        <v>#N/A</v>
      </c>
      <c r="AF164">
        <f t="shared" si="3"/>
        <v>4</v>
      </c>
      <c r="AG164" t="e">
        <f t="array" ref="AG164">IF(OR(I164&lt;O$3,I164&gt;O$7),I164,#N/A)</f>
        <v>#N/A</v>
      </c>
    </row>
    <row r="165" spans="1:33" x14ac:dyDescent="0.25">
      <c r="A165">
        <v>164</v>
      </c>
      <c r="B165">
        <f ca="1">SMALL(dados!A$23:A$422,A165)</f>
        <v>0.42752464591931394</v>
      </c>
      <c r="C165">
        <f ca="1">VLOOKUP(B165,dados!A$23:E$422,5,0)</f>
        <v>21</v>
      </c>
      <c r="E165">
        <v>162</v>
      </c>
      <c r="F165">
        <v>16.818181818181817</v>
      </c>
      <c r="G165">
        <v>14.65</v>
      </c>
      <c r="H165">
        <v>14.42</v>
      </c>
      <c r="I165">
        <v>14.59</v>
      </c>
      <c r="Z165">
        <v>1</v>
      </c>
      <c r="AA165" t="e">
        <f t="array" ref="AA165">IF(OR(F165&lt;L$3,F165&gt;L$7),F165,#N/A)</f>
        <v>#N/A</v>
      </c>
      <c r="AB165">
        <f t="shared" si="3"/>
        <v>2</v>
      </c>
      <c r="AC165" t="e">
        <f t="array" ref="AC165">IF(OR(G165&lt;M$3,G165&gt;M$7),G165,#N/A)</f>
        <v>#N/A</v>
      </c>
      <c r="AD165">
        <f t="shared" si="3"/>
        <v>3</v>
      </c>
      <c r="AE165" t="e">
        <f t="array" ref="AE165">IF(OR(H165&lt;N$3,H165&gt;N$7),H165,#N/A)</f>
        <v>#N/A</v>
      </c>
      <c r="AF165">
        <f t="shared" si="3"/>
        <v>4</v>
      </c>
      <c r="AG165" t="e">
        <f t="array" ref="AG165">IF(OR(I165&lt;O$3,I165&gt;O$7),I165,#N/A)</f>
        <v>#N/A</v>
      </c>
    </row>
    <row r="166" spans="1:33" x14ac:dyDescent="0.25">
      <c r="A166">
        <v>165</v>
      </c>
      <c r="B166">
        <f ca="1">SMALL(dados!A$23:A$422,A166)</f>
        <v>0.4280344137000206</v>
      </c>
      <c r="C166">
        <f ca="1">VLOOKUP(B166,dados!A$23:E$422,5,0)</f>
        <v>9</v>
      </c>
      <c r="E166">
        <v>163</v>
      </c>
      <c r="F166">
        <v>12.818181818181818</v>
      </c>
      <c r="G166">
        <v>12</v>
      </c>
      <c r="H166">
        <v>13.12</v>
      </c>
      <c r="I166">
        <v>13.23</v>
      </c>
      <c r="Z166">
        <v>1</v>
      </c>
      <c r="AA166" t="e">
        <f t="array" ref="AA166">IF(OR(F166&lt;L$3,F166&gt;L$7),F166,#N/A)</f>
        <v>#N/A</v>
      </c>
      <c r="AB166">
        <f t="shared" si="3"/>
        <v>2</v>
      </c>
      <c r="AC166" t="e">
        <f t="array" ref="AC166">IF(OR(G166&lt;M$3,G166&gt;M$7),G166,#N/A)</f>
        <v>#N/A</v>
      </c>
      <c r="AD166">
        <f t="shared" si="3"/>
        <v>3</v>
      </c>
      <c r="AE166" t="e">
        <f t="array" ref="AE166">IF(OR(H166&lt;N$3,H166&gt;N$7),H166,#N/A)</f>
        <v>#N/A</v>
      </c>
      <c r="AF166">
        <f t="shared" si="3"/>
        <v>4</v>
      </c>
      <c r="AG166" t="e">
        <f t="array" ref="AG166">IF(OR(I166&lt;O$3,I166&gt;O$7),I166,#N/A)</f>
        <v>#N/A</v>
      </c>
    </row>
    <row r="167" spans="1:33" x14ac:dyDescent="0.25">
      <c r="A167">
        <v>166</v>
      </c>
      <c r="B167">
        <f ca="1">SMALL(dados!A$23:A$422,A167)</f>
        <v>0.42890111617468185</v>
      </c>
      <c r="C167">
        <f ca="1">VLOOKUP(B167,dados!A$23:E$422,5,0)</f>
        <v>9</v>
      </c>
      <c r="E167">
        <v>164</v>
      </c>
      <c r="F167">
        <v>10.727272727272727</v>
      </c>
      <c r="G167">
        <v>12.2</v>
      </c>
      <c r="H167">
        <v>13.74</v>
      </c>
      <c r="I167">
        <v>14.82</v>
      </c>
      <c r="Z167">
        <v>1</v>
      </c>
      <c r="AA167" t="e">
        <f t="array" ref="AA167">IF(OR(F167&lt;L$3,F167&gt;L$7),F167,#N/A)</f>
        <v>#N/A</v>
      </c>
      <c r="AB167">
        <f t="shared" si="3"/>
        <v>2</v>
      </c>
      <c r="AC167" t="e">
        <f t="array" ref="AC167">IF(OR(G167&lt;M$3,G167&gt;M$7),G167,#N/A)</f>
        <v>#N/A</v>
      </c>
      <c r="AD167">
        <f t="shared" si="3"/>
        <v>3</v>
      </c>
      <c r="AE167" t="e">
        <f t="array" ref="AE167">IF(OR(H167&lt;N$3,H167&gt;N$7),H167,#N/A)</f>
        <v>#N/A</v>
      </c>
      <c r="AF167">
        <f t="shared" si="3"/>
        <v>4</v>
      </c>
      <c r="AG167" t="e">
        <f t="array" ref="AG167">IF(OR(I167&lt;O$3,I167&gt;O$7),I167,#N/A)</f>
        <v>#N/A</v>
      </c>
    </row>
    <row r="168" spans="1:33" x14ac:dyDescent="0.25">
      <c r="A168">
        <v>167</v>
      </c>
      <c r="B168">
        <f ca="1">SMALL(dados!A$23:A$422,A168)</f>
        <v>0.43215820784540171</v>
      </c>
      <c r="C168">
        <f ca="1">VLOOKUP(B168,dados!A$23:E$422,5,0)</f>
        <v>6</v>
      </c>
      <c r="E168">
        <v>165</v>
      </c>
      <c r="F168">
        <v>18.636363636363637</v>
      </c>
      <c r="G168">
        <v>15.7</v>
      </c>
      <c r="H168">
        <v>13.42</v>
      </c>
      <c r="I168">
        <v>13.98</v>
      </c>
      <c r="Z168">
        <v>1</v>
      </c>
      <c r="AA168" t="e">
        <f t="array" ref="AA168">IF(OR(F168&lt;L$3,F168&gt;L$7),F168,#N/A)</f>
        <v>#N/A</v>
      </c>
      <c r="AB168">
        <f t="shared" si="3"/>
        <v>2</v>
      </c>
      <c r="AC168" t="e">
        <f t="array" ref="AC168">IF(OR(G168&lt;M$3,G168&gt;M$7),G168,#N/A)</f>
        <v>#N/A</v>
      </c>
      <c r="AD168">
        <f t="shared" si="3"/>
        <v>3</v>
      </c>
      <c r="AE168" t="e">
        <f t="array" ref="AE168">IF(OR(H168&lt;N$3,H168&gt;N$7),H168,#N/A)</f>
        <v>#N/A</v>
      </c>
      <c r="AF168">
        <f t="shared" si="3"/>
        <v>4</v>
      </c>
      <c r="AG168" t="e">
        <f t="array" ref="AG168">IF(OR(I168&lt;O$3,I168&gt;O$7),I168,#N/A)</f>
        <v>#N/A</v>
      </c>
    </row>
    <row r="169" spans="1:33" x14ac:dyDescent="0.25">
      <c r="A169">
        <v>168</v>
      </c>
      <c r="B169">
        <f ca="1">SMALL(dados!A$23:A$422,A169)</f>
        <v>0.434739865566108</v>
      </c>
      <c r="C169">
        <f ca="1">VLOOKUP(B169,dados!A$23:E$422,5,0)</f>
        <v>29</v>
      </c>
      <c r="E169">
        <v>166</v>
      </c>
      <c r="F169">
        <v>13.636363636363637</v>
      </c>
      <c r="G169">
        <v>13.95</v>
      </c>
      <c r="H169">
        <v>13.3</v>
      </c>
      <c r="I169">
        <v>13.35</v>
      </c>
      <c r="Z169">
        <v>1</v>
      </c>
      <c r="AA169" t="e">
        <f t="array" ref="AA169">IF(OR(F169&lt;L$3,F169&gt;L$7),F169,#N/A)</f>
        <v>#N/A</v>
      </c>
      <c r="AB169">
        <f t="shared" si="3"/>
        <v>2</v>
      </c>
      <c r="AC169" t="e">
        <f t="array" ref="AC169">IF(OR(G169&lt;M$3,G169&gt;M$7),G169,#N/A)</f>
        <v>#N/A</v>
      </c>
      <c r="AD169">
        <f t="shared" si="3"/>
        <v>3</v>
      </c>
      <c r="AE169" t="e">
        <f t="array" ref="AE169">IF(OR(H169&lt;N$3,H169&gt;N$7),H169,#N/A)</f>
        <v>#N/A</v>
      </c>
      <c r="AF169">
        <f t="shared" si="3"/>
        <v>4</v>
      </c>
      <c r="AG169" t="e">
        <f t="array" ref="AG169">IF(OR(I169&lt;O$3,I169&gt;O$7),I169,#N/A)</f>
        <v>#N/A</v>
      </c>
    </row>
    <row r="170" spans="1:33" x14ac:dyDescent="0.25">
      <c r="A170">
        <v>169</v>
      </c>
      <c r="B170">
        <f ca="1">SMALL(dados!A$23:A$422,A170)</f>
        <v>0.43617365968357924</v>
      </c>
      <c r="C170">
        <f ca="1">VLOOKUP(B170,dados!A$23:E$422,5,0)</f>
        <v>18</v>
      </c>
      <c r="E170">
        <v>167</v>
      </c>
      <c r="F170">
        <v>11.454545454545455</v>
      </c>
      <c r="G170">
        <v>11.75</v>
      </c>
      <c r="H170">
        <v>12.84</v>
      </c>
      <c r="I170">
        <v>13.5</v>
      </c>
      <c r="Z170">
        <v>1</v>
      </c>
      <c r="AA170" t="e">
        <f t="array" ref="AA170">IF(OR(F170&lt;L$3,F170&gt;L$7),F170,#N/A)</f>
        <v>#N/A</v>
      </c>
      <c r="AB170">
        <f t="shared" si="3"/>
        <v>2</v>
      </c>
      <c r="AC170" t="e">
        <f t="array" ref="AC170">IF(OR(G170&lt;M$3,G170&gt;M$7),G170,#N/A)</f>
        <v>#N/A</v>
      </c>
      <c r="AD170">
        <f t="shared" si="3"/>
        <v>3</v>
      </c>
      <c r="AE170" t="e">
        <f t="array" ref="AE170">IF(OR(H170&lt;N$3,H170&gt;N$7),H170,#N/A)</f>
        <v>#N/A</v>
      </c>
      <c r="AF170">
        <f t="shared" si="3"/>
        <v>4</v>
      </c>
      <c r="AG170" t="e">
        <f t="array" ref="AG170">IF(OR(I170&lt;O$3,I170&gt;O$7),I170,#N/A)</f>
        <v>#N/A</v>
      </c>
    </row>
    <row r="171" spans="1:33" x14ac:dyDescent="0.25">
      <c r="A171">
        <v>170</v>
      </c>
      <c r="B171">
        <f ca="1">SMALL(dados!A$23:A$422,A171)</f>
        <v>0.43879401145621755</v>
      </c>
      <c r="C171">
        <f ca="1">VLOOKUP(B171,dados!A$23:E$422,5,0)</f>
        <v>8</v>
      </c>
      <c r="E171">
        <v>168</v>
      </c>
      <c r="F171">
        <v>12.818181818181818</v>
      </c>
      <c r="G171">
        <v>12.05</v>
      </c>
      <c r="H171">
        <v>12.84</v>
      </c>
      <c r="I171">
        <v>13.62</v>
      </c>
      <c r="Z171">
        <v>1</v>
      </c>
      <c r="AA171" t="e">
        <f t="array" ref="AA171">IF(OR(F171&lt;L$3,F171&gt;L$7),F171,#N/A)</f>
        <v>#N/A</v>
      </c>
      <c r="AB171">
        <f t="shared" si="3"/>
        <v>2</v>
      </c>
      <c r="AC171" t="e">
        <f t="array" ref="AC171">IF(OR(G171&lt;M$3,G171&gt;M$7),G171,#N/A)</f>
        <v>#N/A</v>
      </c>
      <c r="AD171">
        <f t="shared" si="3"/>
        <v>3</v>
      </c>
      <c r="AE171" t="e">
        <f t="array" ref="AE171">IF(OR(H171&lt;N$3,H171&gt;N$7),H171,#N/A)</f>
        <v>#N/A</v>
      </c>
      <c r="AF171">
        <f t="shared" si="3"/>
        <v>4</v>
      </c>
      <c r="AG171" t="e">
        <f t="array" ref="AG171">IF(OR(I171&lt;O$3,I171&gt;O$7),I171,#N/A)</f>
        <v>#N/A</v>
      </c>
    </row>
    <row r="172" spans="1:33" x14ac:dyDescent="0.25">
      <c r="A172">
        <v>171</v>
      </c>
      <c r="B172">
        <f ca="1">SMALL(dados!A$23:A$422,A172)</f>
        <v>0.44196628116644199</v>
      </c>
      <c r="C172">
        <f ca="1">VLOOKUP(B172,dados!A$23:E$422,5,0)</f>
        <v>14</v>
      </c>
      <c r="E172">
        <v>169</v>
      </c>
      <c r="F172">
        <v>11.818181818181818</v>
      </c>
      <c r="G172">
        <v>12.45</v>
      </c>
      <c r="H172">
        <v>15.68</v>
      </c>
      <c r="I172">
        <v>14.76</v>
      </c>
      <c r="Z172">
        <v>1</v>
      </c>
      <c r="AA172" t="e">
        <f t="array" ref="AA172">IF(OR(F172&lt;L$3,F172&gt;L$7),F172,#N/A)</f>
        <v>#N/A</v>
      </c>
      <c r="AB172">
        <f t="shared" si="3"/>
        <v>2</v>
      </c>
      <c r="AC172" t="e">
        <f t="array" ref="AC172">IF(OR(G172&lt;M$3,G172&gt;M$7),G172,#N/A)</f>
        <v>#N/A</v>
      </c>
      <c r="AD172">
        <f t="shared" si="3"/>
        <v>3</v>
      </c>
      <c r="AE172" t="e">
        <f t="array" ref="AE172">IF(OR(H172&lt;N$3,H172&gt;N$7),H172,#N/A)</f>
        <v>#N/A</v>
      </c>
      <c r="AF172">
        <f t="shared" si="3"/>
        <v>4</v>
      </c>
      <c r="AG172" t="e">
        <f t="array" ref="AG172">IF(OR(I172&lt;O$3,I172&gt;O$7),I172,#N/A)</f>
        <v>#N/A</v>
      </c>
    </row>
    <row r="173" spans="1:33" x14ac:dyDescent="0.25">
      <c r="A173">
        <v>172</v>
      </c>
      <c r="B173">
        <f ca="1">SMALL(dados!A$23:A$422,A173)</f>
        <v>0.44653797909778192</v>
      </c>
      <c r="C173">
        <f ca="1">VLOOKUP(B173,dados!A$23:E$422,5,0)</f>
        <v>24</v>
      </c>
      <c r="E173">
        <v>170</v>
      </c>
      <c r="F173">
        <v>10.727272727272727</v>
      </c>
      <c r="G173">
        <v>12.55</v>
      </c>
      <c r="H173">
        <v>14.24</v>
      </c>
      <c r="I173">
        <v>13.97</v>
      </c>
      <c r="Z173">
        <v>1</v>
      </c>
      <c r="AA173" t="e">
        <f t="array" ref="AA173">IF(OR(F173&lt;L$3,F173&gt;L$7),F173,#N/A)</f>
        <v>#N/A</v>
      </c>
      <c r="AB173">
        <f t="shared" si="3"/>
        <v>2</v>
      </c>
      <c r="AC173" t="e">
        <f t="array" ref="AC173">IF(OR(G173&lt;M$3,G173&gt;M$7),G173,#N/A)</f>
        <v>#N/A</v>
      </c>
      <c r="AD173">
        <f t="shared" si="3"/>
        <v>3</v>
      </c>
      <c r="AE173" t="e">
        <f t="array" ref="AE173">IF(OR(H173&lt;N$3,H173&gt;N$7),H173,#N/A)</f>
        <v>#N/A</v>
      </c>
      <c r="AF173">
        <f t="shared" si="3"/>
        <v>4</v>
      </c>
      <c r="AG173" t="e">
        <f t="array" ref="AG173">IF(OR(I173&lt;O$3,I173&gt;O$7),I173,#N/A)</f>
        <v>#N/A</v>
      </c>
    </row>
    <row r="174" spans="1:33" x14ac:dyDescent="0.25">
      <c r="A174">
        <v>173</v>
      </c>
      <c r="B174">
        <f ca="1">SMALL(dados!A$23:A$422,A174)</f>
        <v>0.44711805946394023</v>
      </c>
      <c r="C174">
        <f ca="1">VLOOKUP(B174,dados!A$23:E$422,5,0)</f>
        <v>21</v>
      </c>
      <c r="E174">
        <v>171</v>
      </c>
      <c r="F174">
        <v>15.545454545454545</v>
      </c>
      <c r="G174">
        <v>16.7</v>
      </c>
      <c r="H174">
        <v>14.12</v>
      </c>
      <c r="I174">
        <v>13.98</v>
      </c>
      <c r="Z174">
        <v>1</v>
      </c>
      <c r="AA174" t="e">
        <f t="array" ref="AA174">IF(OR(F174&lt;L$3,F174&gt;L$7),F174,#N/A)</f>
        <v>#N/A</v>
      </c>
      <c r="AB174">
        <f t="shared" si="3"/>
        <v>2</v>
      </c>
      <c r="AC174" t="e">
        <f t="array" ref="AC174">IF(OR(G174&lt;M$3,G174&gt;M$7),G174,#N/A)</f>
        <v>#N/A</v>
      </c>
      <c r="AD174">
        <f t="shared" si="3"/>
        <v>3</v>
      </c>
      <c r="AE174" t="e">
        <f t="array" ref="AE174">IF(OR(H174&lt;N$3,H174&gt;N$7),H174,#N/A)</f>
        <v>#N/A</v>
      </c>
      <c r="AF174">
        <f t="shared" si="3"/>
        <v>4</v>
      </c>
      <c r="AG174" t="e">
        <f t="array" ref="AG174">IF(OR(I174&lt;O$3,I174&gt;O$7),I174,#N/A)</f>
        <v>#N/A</v>
      </c>
    </row>
    <row r="175" spans="1:33" x14ac:dyDescent="0.25">
      <c r="A175">
        <v>174</v>
      </c>
      <c r="B175">
        <f ca="1">SMALL(dados!A$23:A$422,A175)</f>
        <v>0.4492410480217689</v>
      </c>
      <c r="C175">
        <f ca="1">VLOOKUP(B175,dados!A$23:E$422,5,0)</f>
        <v>16</v>
      </c>
      <c r="E175">
        <v>172</v>
      </c>
      <c r="F175">
        <v>20.818181818181817</v>
      </c>
      <c r="G175">
        <v>17.600000000000001</v>
      </c>
      <c r="H175">
        <v>14.76</v>
      </c>
      <c r="I175">
        <v>13.44</v>
      </c>
      <c r="Z175">
        <v>1</v>
      </c>
      <c r="AA175">
        <f t="array" ref="AA175">IF(OR(F175&lt;L$3,F175&gt;L$7),F175,#N/A)</f>
        <v>20.818181818181817</v>
      </c>
      <c r="AB175">
        <f t="shared" si="3"/>
        <v>2</v>
      </c>
      <c r="AC175" t="e">
        <f t="array" ref="AC175">IF(OR(G175&lt;M$3,G175&gt;M$7),G175,#N/A)</f>
        <v>#N/A</v>
      </c>
      <c r="AD175">
        <f t="shared" si="3"/>
        <v>3</v>
      </c>
      <c r="AE175" t="e">
        <f t="array" ref="AE175">IF(OR(H175&lt;N$3,H175&gt;N$7),H175,#N/A)</f>
        <v>#N/A</v>
      </c>
      <c r="AF175">
        <f t="shared" si="3"/>
        <v>4</v>
      </c>
      <c r="AG175" t="e">
        <f t="array" ref="AG175">IF(OR(I175&lt;O$3,I175&gt;O$7),I175,#N/A)</f>
        <v>#N/A</v>
      </c>
    </row>
    <row r="176" spans="1:33" x14ac:dyDescent="0.25">
      <c r="A176">
        <v>175</v>
      </c>
      <c r="B176">
        <f ca="1">SMALL(dados!A$23:A$422,A176)</f>
        <v>0.45308171021818788</v>
      </c>
      <c r="C176">
        <f ca="1">VLOOKUP(B176,dados!A$23:E$422,5,0)</f>
        <v>4</v>
      </c>
      <c r="E176">
        <v>173</v>
      </c>
      <c r="F176">
        <v>12.454545454545455</v>
      </c>
      <c r="G176">
        <v>11.85</v>
      </c>
      <c r="H176">
        <v>13.44</v>
      </c>
      <c r="I176">
        <v>13.6</v>
      </c>
      <c r="Z176">
        <v>1</v>
      </c>
      <c r="AA176" t="e">
        <f t="array" ref="AA176">IF(OR(F176&lt;L$3,F176&gt;L$7),F176,#N/A)</f>
        <v>#N/A</v>
      </c>
      <c r="AB176">
        <f t="shared" si="3"/>
        <v>2</v>
      </c>
      <c r="AC176" t="e">
        <f t="array" ref="AC176">IF(OR(G176&lt;M$3,G176&gt;M$7),G176,#N/A)</f>
        <v>#N/A</v>
      </c>
      <c r="AD176">
        <f t="shared" si="3"/>
        <v>3</v>
      </c>
      <c r="AE176" t="e">
        <f t="array" ref="AE176">IF(OR(H176&lt;N$3,H176&gt;N$7),H176,#N/A)</f>
        <v>#N/A</v>
      </c>
      <c r="AF176">
        <f t="shared" si="3"/>
        <v>4</v>
      </c>
      <c r="AG176" t="e">
        <f t="array" ref="AG176">IF(OR(I176&lt;O$3,I176&gt;O$7),I176,#N/A)</f>
        <v>#N/A</v>
      </c>
    </row>
    <row r="177" spans="1:33" x14ac:dyDescent="0.25">
      <c r="A177">
        <v>176</v>
      </c>
      <c r="B177">
        <f ca="1">SMALL(dados!A$23:A$422,A177)</f>
        <v>0.45338633183800803</v>
      </c>
      <c r="C177">
        <f ca="1">VLOOKUP(B177,dados!A$23:E$422,5,0)</f>
        <v>6</v>
      </c>
      <c r="E177">
        <v>174</v>
      </c>
      <c r="F177">
        <v>16.181818181818183</v>
      </c>
      <c r="G177">
        <v>16.600000000000001</v>
      </c>
      <c r="H177">
        <v>12.98</v>
      </c>
      <c r="I177">
        <v>14.61</v>
      </c>
      <c r="Z177">
        <v>1</v>
      </c>
      <c r="AA177" t="e">
        <f t="array" ref="AA177">IF(OR(F177&lt;L$3,F177&gt;L$7),F177,#N/A)</f>
        <v>#N/A</v>
      </c>
      <c r="AB177">
        <f t="shared" si="3"/>
        <v>2</v>
      </c>
      <c r="AC177" t="e">
        <f t="array" ref="AC177">IF(OR(G177&lt;M$3,G177&gt;M$7),G177,#N/A)</f>
        <v>#N/A</v>
      </c>
      <c r="AD177">
        <f t="shared" si="3"/>
        <v>3</v>
      </c>
      <c r="AE177" t="e">
        <f t="array" ref="AE177">IF(OR(H177&lt;N$3,H177&gt;N$7),H177,#N/A)</f>
        <v>#N/A</v>
      </c>
      <c r="AF177">
        <f t="shared" si="3"/>
        <v>4</v>
      </c>
      <c r="AG177" t="e">
        <f t="array" ref="AG177">IF(OR(I177&lt;O$3,I177&gt;O$7),I177,#N/A)</f>
        <v>#N/A</v>
      </c>
    </row>
    <row r="178" spans="1:33" x14ac:dyDescent="0.25">
      <c r="A178">
        <v>177</v>
      </c>
      <c r="B178">
        <f ca="1">SMALL(dados!A$23:A$422,A178)</f>
        <v>0.45701984683823471</v>
      </c>
      <c r="C178">
        <f ca="1">VLOOKUP(B178,dados!A$23:E$422,5,0)</f>
        <v>7</v>
      </c>
      <c r="E178">
        <v>175</v>
      </c>
      <c r="F178">
        <v>12.181818181818182</v>
      </c>
      <c r="G178">
        <v>11.2</v>
      </c>
      <c r="H178">
        <v>13.1</v>
      </c>
      <c r="I178">
        <v>13.87</v>
      </c>
      <c r="Z178">
        <v>1</v>
      </c>
      <c r="AA178" t="e">
        <f t="array" ref="AA178">IF(OR(F178&lt;L$3,F178&gt;L$7),F178,#N/A)</f>
        <v>#N/A</v>
      </c>
      <c r="AB178">
        <f t="shared" si="3"/>
        <v>2</v>
      </c>
      <c r="AC178" t="e">
        <f t="array" ref="AC178">IF(OR(G178&lt;M$3,G178&gt;M$7),G178,#N/A)</f>
        <v>#N/A</v>
      </c>
      <c r="AD178">
        <f t="shared" si="3"/>
        <v>3</v>
      </c>
      <c r="AE178" t="e">
        <f t="array" ref="AE178">IF(OR(H178&lt;N$3,H178&gt;N$7),H178,#N/A)</f>
        <v>#N/A</v>
      </c>
      <c r="AF178">
        <f t="shared" si="3"/>
        <v>4</v>
      </c>
      <c r="AG178" t="e">
        <f t="array" ref="AG178">IF(OR(I178&lt;O$3,I178&gt;O$7),I178,#N/A)</f>
        <v>#N/A</v>
      </c>
    </row>
    <row r="179" spans="1:33" x14ac:dyDescent="0.25">
      <c r="A179">
        <v>178</v>
      </c>
      <c r="B179">
        <f ca="1">SMALL(dados!A$23:A$422,A179)</f>
        <v>0.45949000934892992</v>
      </c>
      <c r="C179">
        <f ca="1">VLOOKUP(B179,dados!A$23:E$422,5,0)</f>
        <v>9</v>
      </c>
      <c r="E179">
        <v>176</v>
      </c>
      <c r="F179">
        <v>16.818181818181817</v>
      </c>
      <c r="G179">
        <v>13.4</v>
      </c>
      <c r="H179">
        <v>13.08</v>
      </c>
      <c r="I179">
        <v>13.71</v>
      </c>
      <c r="Z179">
        <v>1</v>
      </c>
      <c r="AA179" t="e">
        <f t="array" ref="AA179">IF(OR(F179&lt;L$3,F179&gt;L$7),F179,#N/A)</f>
        <v>#N/A</v>
      </c>
      <c r="AB179">
        <f t="shared" si="3"/>
        <v>2</v>
      </c>
      <c r="AC179" t="e">
        <f t="array" ref="AC179">IF(OR(G179&lt;M$3,G179&gt;M$7),G179,#N/A)</f>
        <v>#N/A</v>
      </c>
      <c r="AD179">
        <f t="shared" si="3"/>
        <v>3</v>
      </c>
      <c r="AE179" t="e">
        <f t="array" ref="AE179">IF(OR(H179&lt;N$3,H179&gt;N$7),H179,#N/A)</f>
        <v>#N/A</v>
      </c>
      <c r="AF179">
        <f t="shared" si="3"/>
        <v>4</v>
      </c>
      <c r="AG179" t="e">
        <f t="array" ref="AG179">IF(OR(I179&lt;O$3,I179&gt;O$7),I179,#N/A)</f>
        <v>#N/A</v>
      </c>
    </row>
    <row r="180" spans="1:33" x14ac:dyDescent="0.25">
      <c r="A180">
        <v>179</v>
      </c>
      <c r="B180">
        <f ca="1">SMALL(dados!A$23:A$422,A180)</f>
        <v>0.46398445620372086</v>
      </c>
      <c r="C180">
        <f ca="1">VLOOKUP(B180,dados!A$23:E$422,5,0)</f>
        <v>7</v>
      </c>
      <c r="E180">
        <v>177</v>
      </c>
      <c r="F180">
        <v>13.545454545454545</v>
      </c>
      <c r="G180">
        <v>13.55</v>
      </c>
      <c r="H180">
        <v>13.9</v>
      </c>
      <c r="I180">
        <v>14.74</v>
      </c>
      <c r="Z180">
        <v>1</v>
      </c>
      <c r="AA180" t="e">
        <f t="array" ref="AA180">IF(OR(F180&lt;L$3,F180&gt;L$7),F180,#N/A)</f>
        <v>#N/A</v>
      </c>
      <c r="AB180">
        <f t="shared" si="3"/>
        <v>2</v>
      </c>
      <c r="AC180" t="e">
        <f t="array" ref="AC180">IF(OR(G180&lt;M$3,G180&gt;M$7),G180,#N/A)</f>
        <v>#N/A</v>
      </c>
      <c r="AD180">
        <f t="shared" si="3"/>
        <v>3</v>
      </c>
      <c r="AE180" t="e">
        <f t="array" ref="AE180">IF(OR(H180&lt;N$3,H180&gt;N$7),H180,#N/A)</f>
        <v>#N/A</v>
      </c>
      <c r="AF180">
        <f t="shared" si="3"/>
        <v>4</v>
      </c>
      <c r="AG180" t="e">
        <f t="array" ref="AG180">IF(OR(I180&lt;O$3,I180&gt;O$7),I180,#N/A)</f>
        <v>#N/A</v>
      </c>
    </row>
    <row r="181" spans="1:33" x14ac:dyDescent="0.25">
      <c r="A181">
        <v>180</v>
      </c>
      <c r="B181">
        <f ca="1">SMALL(dados!A$23:A$422,A181)</f>
        <v>0.46585030075713685</v>
      </c>
      <c r="C181">
        <f ca="1">VLOOKUP(B181,dados!A$23:E$422,5,0)</f>
        <v>13</v>
      </c>
      <c r="E181">
        <v>178</v>
      </c>
      <c r="F181">
        <v>13.363636363636363</v>
      </c>
      <c r="G181">
        <v>12.75</v>
      </c>
      <c r="H181">
        <v>13.36</v>
      </c>
      <c r="I181">
        <v>14.21</v>
      </c>
      <c r="Z181">
        <v>1</v>
      </c>
      <c r="AA181" t="e">
        <f t="array" ref="AA181">IF(OR(F181&lt;L$3,F181&gt;L$7),F181,#N/A)</f>
        <v>#N/A</v>
      </c>
      <c r="AB181">
        <f t="shared" si="3"/>
        <v>2</v>
      </c>
      <c r="AC181" t="e">
        <f t="array" ref="AC181">IF(OR(G181&lt;M$3,G181&gt;M$7),G181,#N/A)</f>
        <v>#N/A</v>
      </c>
      <c r="AD181">
        <f t="shared" si="3"/>
        <v>3</v>
      </c>
      <c r="AE181" t="e">
        <f t="array" ref="AE181">IF(OR(H181&lt;N$3,H181&gt;N$7),H181,#N/A)</f>
        <v>#N/A</v>
      </c>
      <c r="AF181">
        <f t="shared" si="3"/>
        <v>4</v>
      </c>
      <c r="AG181" t="e">
        <f t="array" ref="AG181">IF(OR(I181&lt;O$3,I181&gt;O$7),I181,#N/A)</f>
        <v>#N/A</v>
      </c>
    </row>
    <row r="182" spans="1:33" x14ac:dyDescent="0.25">
      <c r="A182">
        <v>181</v>
      </c>
      <c r="B182">
        <f ca="1">SMALL(dados!A$23:A$422,A182)</f>
        <v>0.46639055272370555</v>
      </c>
      <c r="C182">
        <f ca="1">VLOOKUP(B182,dados!A$23:E$422,5,0)</f>
        <v>15</v>
      </c>
      <c r="E182">
        <v>179</v>
      </c>
      <c r="F182">
        <v>13.727272727272727</v>
      </c>
      <c r="G182">
        <v>17.25</v>
      </c>
      <c r="H182">
        <v>14.16</v>
      </c>
      <c r="I182">
        <v>13.75</v>
      </c>
      <c r="Z182">
        <v>1</v>
      </c>
      <c r="AA182" t="e">
        <f t="array" ref="AA182">IF(OR(F182&lt;L$3,F182&gt;L$7),F182,#N/A)</f>
        <v>#N/A</v>
      </c>
      <c r="AB182">
        <f t="shared" si="3"/>
        <v>2</v>
      </c>
      <c r="AC182" t="e">
        <f t="array" ref="AC182">IF(OR(G182&lt;M$3,G182&gt;M$7),G182,#N/A)</f>
        <v>#N/A</v>
      </c>
      <c r="AD182">
        <f t="shared" si="3"/>
        <v>3</v>
      </c>
      <c r="AE182" t="e">
        <f t="array" ref="AE182">IF(OR(H182&lt;N$3,H182&gt;N$7),H182,#N/A)</f>
        <v>#N/A</v>
      </c>
      <c r="AF182">
        <f t="shared" si="3"/>
        <v>4</v>
      </c>
      <c r="AG182" t="e">
        <f t="array" ref="AG182">IF(OR(I182&lt;O$3,I182&gt;O$7),I182,#N/A)</f>
        <v>#N/A</v>
      </c>
    </row>
    <row r="183" spans="1:33" x14ac:dyDescent="0.25">
      <c r="A183">
        <v>182</v>
      </c>
      <c r="B183">
        <f ca="1">SMALL(dados!A$23:A$422,A183)</f>
        <v>0.47055929791966267</v>
      </c>
      <c r="C183">
        <f ca="1">VLOOKUP(B183,dados!A$23:E$422,5,0)</f>
        <v>12</v>
      </c>
      <c r="E183">
        <v>180</v>
      </c>
      <c r="F183">
        <v>12.181818181818182</v>
      </c>
      <c r="G183">
        <v>12.35</v>
      </c>
      <c r="H183">
        <v>14.36</v>
      </c>
      <c r="I183">
        <v>14.24</v>
      </c>
      <c r="Z183">
        <v>1</v>
      </c>
      <c r="AA183" t="e">
        <f t="array" ref="AA183">IF(OR(F183&lt;L$3,F183&gt;L$7),F183,#N/A)</f>
        <v>#N/A</v>
      </c>
      <c r="AB183">
        <f t="shared" si="3"/>
        <v>2</v>
      </c>
      <c r="AC183" t="e">
        <f t="array" ref="AC183">IF(OR(G183&lt;M$3,G183&gt;M$7),G183,#N/A)</f>
        <v>#N/A</v>
      </c>
      <c r="AD183">
        <f t="shared" si="3"/>
        <v>3</v>
      </c>
      <c r="AE183" t="e">
        <f t="array" ref="AE183">IF(OR(H183&lt;N$3,H183&gt;N$7),H183,#N/A)</f>
        <v>#N/A</v>
      </c>
      <c r="AF183">
        <f t="shared" si="3"/>
        <v>4</v>
      </c>
      <c r="AG183" t="e">
        <f t="array" ref="AG183">IF(OR(I183&lt;O$3,I183&gt;O$7),I183,#N/A)</f>
        <v>#N/A</v>
      </c>
    </row>
    <row r="184" spans="1:33" x14ac:dyDescent="0.25">
      <c r="A184">
        <v>183</v>
      </c>
      <c r="B184">
        <f ca="1">SMALL(dados!A$23:A$422,A184)</f>
        <v>0.47214770731705891</v>
      </c>
      <c r="C184">
        <f ca="1">VLOOKUP(B184,dados!A$23:E$422,5,0)</f>
        <v>14</v>
      </c>
      <c r="E184">
        <v>181</v>
      </c>
      <c r="F184">
        <v>14.363636363636363</v>
      </c>
      <c r="G184">
        <v>13.05</v>
      </c>
      <c r="H184">
        <v>14.8</v>
      </c>
      <c r="I184">
        <v>14.59</v>
      </c>
      <c r="Z184">
        <v>1</v>
      </c>
      <c r="AA184" t="e">
        <f t="array" ref="AA184">IF(OR(F184&lt;L$3,F184&gt;L$7),F184,#N/A)</f>
        <v>#N/A</v>
      </c>
      <c r="AB184">
        <f t="shared" si="3"/>
        <v>2</v>
      </c>
      <c r="AC184" t="e">
        <f t="array" ref="AC184">IF(OR(G184&lt;M$3,G184&gt;M$7),G184,#N/A)</f>
        <v>#N/A</v>
      </c>
      <c r="AD184">
        <f t="shared" si="3"/>
        <v>3</v>
      </c>
      <c r="AE184" t="e">
        <f t="array" ref="AE184">IF(OR(H184&lt;N$3,H184&gt;N$7),H184,#N/A)</f>
        <v>#N/A</v>
      </c>
      <c r="AF184">
        <f t="shared" si="3"/>
        <v>4</v>
      </c>
      <c r="AG184" t="e">
        <f t="array" ref="AG184">IF(OR(I184&lt;O$3,I184&gt;O$7),I184,#N/A)</f>
        <v>#N/A</v>
      </c>
    </row>
    <row r="185" spans="1:33" x14ac:dyDescent="0.25">
      <c r="A185">
        <v>184</v>
      </c>
      <c r="B185">
        <f ca="1">SMALL(dados!A$23:A$422,A185)</f>
        <v>0.47228147544301147</v>
      </c>
      <c r="C185">
        <f ca="1">VLOOKUP(B185,dados!A$23:E$422,5,0)</f>
        <v>29</v>
      </c>
      <c r="E185">
        <v>182</v>
      </c>
      <c r="F185">
        <v>16</v>
      </c>
      <c r="G185">
        <v>15.95</v>
      </c>
      <c r="H185">
        <v>14.72</v>
      </c>
      <c r="I185">
        <v>14.36</v>
      </c>
      <c r="Z185">
        <v>1</v>
      </c>
      <c r="AA185" t="e">
        <f t="array" ref="AA185">IF(OR(F185&lt;L$3,F185&gt;L$7),F185,#N/A)</f>
        <v>#N/A</v>
      </c>
      <c r="AB185">
        <f t="shared" si="3"/>
        <v>2</v>
      </c>
      <c r="AC185" t="e">
        <f t="array" ref="AC185">IF(OR(G185&lt;M$3,G185&gt;M$7),G185,#N/A)</f>
        <v>#N/A</v>
      </c>
      <c r="AD185">
        <f t="shared" si="3"/>
        <v>3</v>
      </c>
      <c r="AE185" t="e">
        <f t="array" ref="AE185">IF(OR(H185&lt;N$3,H185&gt;N$7),H185,#N/A)</f>
        <v>#N/A</v>
      </c>
      <c r="AF185">
        <f t="shared" si="3"/>
        <v>4</v>
      </c>
      <c r="AG185" t="e">
        <f t="array" ref="AG185">IF(OR(I185&lt;O$3,I185&gt;O$7),I185,#N/A)</f>
        <v>#N/A</v>
      </c>
    </row>
    <row r="186" spans="1:33" x14ac:dyDescent="0.25">
      <c r="A186">
        <v>185</v>
      </c>
      <c r="B186">
        <f ca="1">SMALL(dados!A$23:A$422,A186)</f>
        <v>0.48020959634150262</v>
      </c>
      <c r="C186">
        <f ca="1">VLOOKUP(B186,dados!A$23:E$422,5,0)</f>
        <v>7</v>
      </c>
      <c r="E186">
        <v>183</v>
      </c>
      <c r="F186">
        <v>14.545454545454545</v>
      </c>
      <c r="G186">
        <v>14.75</v>
      </c>
      <c r="H186">
        <v>14.88</v>
      </c>
      <c r="I186">
        <v>14.06</v>
      </c>
      <c r="Z186">
        <v>1</v>
      </c>
      <c r="AA186" t="e">
        <f t="array" ref="AA186">IF(OR(F186&lt;L$3,F186&gt;L$7),F186,#N/A)</f>
        <v>#N/A</v>
      </c>
      <c r="AB186">
        <f t="shared" si="3"/>
        <v>2</v>
      </c>
      <c r="AC186" t="e">
        <f t="array" ref="AC186">IF(OR(G186&lt;M$3,G186&gt;M$7),G186,#N/A)</f>
        <v>#N/A</v>
      </c>
      <c r="AD186">
        <f t="shared" si="3"/>
        <v>3</v>
      </c>
      <c r="AE186" t="e">
        <f t="array" ref="AE186">IF(OR(H186&lt;N$3,H186&gt;N$7),H186,#N/A)</f>
        <v>#N/A</v>
      </c>
      <c r="AF186">
        <f t="shared" si="3"/>
        <v>4</v>
      </c>
      <c r="AG186" t="e">
        <f t="array" ref="AG186">IF(OR(I186&lt;O$3,I186&gt;O$7),I186,#N/A)</f>
        <v>#N/A</v>
      </c>
    </row>
    <row r="187" spans="1:33" x14ac:dyDescent="0.25">
      <c r="A187">
        <v>186</v>
      </c>
      <c r="B187">
        <f ca="1">SMALL(dados!A$23:A$422,A187)</f>
        <v>0.48291549558703273</v>
      </c>
      <c r="C187">
        <f ca="1">VLOOKUP(B187,dados!A$23:E$422,5,0)</f>
        <v>5</v>
      </c>
      <c r="E187">
        <v>184</v>
      </c>
      <c r="F187">
        <v>16.818181818181817</v>
      </c>
      <c r="G187">
        <v>15.6</v>
      </c>
      <c r="H187">
        <v>13.88</v>
      </c>
      <c r="I187">
        <v>13.2</v>
      </c>
      <c r="Z187">
        <v>1</v>
      </c>
      <c r="AA187" t="e">
        <f t="array" ref="AA187">IF(OR(F187&lt;L$3,F187&gt;L$7),F187,#N/A)</f>
        <v>#N/A</v>
      </c>
      <c r="AB187">
        <f t="shared" si="3"/>
        <v>2</v>
      </c>
      <c r="AC187" t="e">
        <f t="array" ref="AC187">IF(OR(G187&lt;M$3,G187&gt;M$7),G187,#N/A)</f>
        <v>#N/A</v>
      </c>
      <c r="AD187">
        <f t="shared" si="3"/>
        <v>3</v>
      </c>
      <c r="AE187" t="e">
        <f t="array" ref="AE187">IF(OR(H187&lt;N$3,H187&gt;N$7),H187,#N/A)</f>
        <v>#N/A</v>
      </c>
      <c r="AF187">
        <f t="shared" si="3"/>
        <v>4</v>
      </c>
      <c r="AG187" t="e">
        <f t="array" ref="AG187">IF(OR(I187&lt;O$3,I187&gt;O$7),I187,#N/A)</f>
        <v>#N/A</v>
      </c>
    </row>
    <row r="188" spans="1:33" x14ac:dyDescent="0.25">
      <c r="A188">
        <v>187</v>
      </c>
      <c r="B188">
        <f ca="1">SMALL(dados!A$23:A$422,A188)</f>
        <v>0.48690544933359747</v>
      </c>
      <c r="C188">
        <f ca="1">VLOOKUP(B188,dados!A$23:E$422,5,0)</f>
        <v>22</v>
      </c>
      <c r="E188">
        <v>185</v>
      </c>
      <c r="F188">
        <v>16.545454545454547</v>
      </c>
      <c r="G188">
        <v>15.8</v>
      </c>
      <c r="H188">
        <v>14.92</v>
      </c>
      <c r="I188">
        <v>15.1</v>
      </c>
      <c r="Z188">
        <v>1</v>
      </c>
      <c r="AA188" t="e">
        <f t="array" ref="AA188">IF(OR(F188&lt;L$3,F188&gt;L$7),F188,#N/A)</f>
        <v>#N/A</v>
      </c>
      <c r="AB188">
        <f t="shared" si="3"/>
        <v>2</v>
      </c>
      <c r="AC188" t="e">
        <f t="array" ref="AC188">IF(OR(G188&lt;M$3,G188&gt;M$7),G188,#N/A)</f>
        <v>#N/A</v>
      </c>
      <c r="AD188">
        <f t="shared" si="3"/>
        <v>3</v>
      </c>
      <c r="AE188" t="e">
        <f t="array" ref="AE188">IF(OR(H188&lt;N$3,H188&gt;N$7),H188,#N/A)</f>
        <v>#N/A</v>
      </c>
      <c r="AF188">
        <f t="shared" si="3"/>
        <v>4</v>
      </c>
      <c r="AG188" t="e">
        <f t="array" ref="AG188">IF(OR(I188&lt;O$3,I188&gt;O$7),I188,#N/A)</f>
        <v>#N/A</v>
      </c>
    </row>
    <row r="189" spans="1:33" x14ac:dyDescent="0.25">
      <c r="A189">
        <v>188</v>
      </c>
      <c r="B189">
        <f ca="1">SMALL(dados!A$23:A$422,A189)</f>
        <v>0.49073526812512958</v>
      </c>
      <c r="C189">
        <f ca="1">VLOOKUP(B189,dados!A$23:E$422,5,0)</f>
        <v>20</v>
      </c>
      <c r="E189">
        <v>186</v>
      </c>
      <c r="F189">
        <v>11.545454545454545</v>
      </c>
      <c r="G189">
        <v>12</v>
      </c>
      <c r="H189">
        <v>13.48</v>
      </c>
      <c r="I189">
        <v>13.27</v>
      </c>
      <c r="Z189">
        <v>1</v>
      </c>
      <c r="AA189" t="e">
        <f t="array" ref="AA189">IF(OR(F189&lt;L$3,F189&gt;L$7),F189,#N/A)</f>
        <v>#N/A</v>
      </c>
      <c r="AB189">
        <f t="shared" si="3"/>
        <v>2</v>
      </c>
      <c r="AC189" t="e">
        <f t="array" ref="AC189">IF(OR(G189&lt;M$3,G189&gt;M$7),G189,#N/A)</f>
        <v>#N/A</v>
      </c>
      <c r="AD189">
        <f t="shared" si="3"/>
        <v>3</v>
      </c>
      <c r="AE189" t="e">
        <f t="array" ref="AE189">IF(OR(H189&lt;N$3,H189&gt;N$7),H189,#N/A)</f>
        <v>#N/A</v>
      </c>
      <c r="AF189">
        <f t="shared" si="3"/>
        <v>4</v>
      </c>
      <c r="AG189" t="e">
        <f t="array" ref="AG189">IF(OR(I189&lt;O$3,I189&gt;O$7),I189,#N/A)</f>
        <v>#N/A</v>
      </c>
    </row>
    <row r="190" spans="1:33" x14ac:dyDescent="0.25">
      <c r="A190">
        <v>189</v>
      </c>
      <c r="B190">
        <f ca="1">SMALL(dados!A$23:A$422,A190)</f>
        <v>0.49209561187117223</v>
      </c>
      <c r="C190">
        <f ca="1">VLOOKUP(B190,dados!A$23:E$422,5,0)</f>
        <v>22</v>
      </c>
      <c r="E190">
        <v>187</v>
      </c>
      <c r="F190">
        <v>15.545454545454545</v>
      </c>
      <c r="G190">
        <v>13.7</v>
      </c>
      <c r="H190">
        <v>14.06</v>
      </c>
      <c r="I190">
        <v>15.14</v>
      </c>
      <c r="Z190">
        <v>1</v>
      </c>
      <c r="AA190" t="e">
        <f t="array" ref="AA190">IF(OR(F190&lt;L$3,F190&gt;L$7),F190,#N/A)</f>
        <v>#N/A</v>
      </c>
      <c r="AB190">
        <f t="shared" si="3"/>
        <v>2</v>
      </c>
      <c r="AC190" t="e">
        <f t="array" ref="AC190">IF(OR(G190&lt;M$3,G190&gt;M$7),G190,#N/A)</f>
        <v>#N/A</v>
      </c>
      <c r="AD190">
        <f t="shared" si="3"/>
        <v>3</v>
      </c>
      <c r="AE190" t="e">
        <f t="array" ref="AE190">IF(OR(H190&lt;N$3,H190&gt;N$7),H190,#N/A)</f>
        <v>#N/A</v>
      </c>
      <c r="AF190">
        <f t="shared" si="3"/>
        <v>4</v>
      </c>
      <c r="AG190" t="e">
        <f t="array" ref="AG190">IF(OR(I190&lt;O$3,I190&gt;O$7),I190,#N/A)</f>
        <v>#N/A</v>
      </c>
    </row>
    <row r="191" spans="1:33" x14ac:dyDescent="0.25">
      <c r="A191">
        <v>190</v>
      </c>
      <c r="B191">
        <f ca="1">SMALL(dados!A$23:A$422,A191)</f>
        <v>0.50043443209574523</v>
      </c>
      <c r="C191">
        <f ca="1">VLOOKUP(B191,dados!A$23:E$422,5,0)</f>
        <v>13</v>
      </c>
      <c r="E191">
        <v>188</v>
      </c>
      <c r="F191">
        <v>15.363636363636363</v>
      </c>
      <c r="G191">
        <v>14.85</v>
      </c>
      <c r="H191">
        <v>14.48</v>
      </c>
      <c r="I191">
        <v>13.05</v>
      </c>
      <c r="Z191">
        <v>1</v>
      </c>
      <c r="AA191" t="e">
        <f t="array" ref="AA191">IF(OR(F191&lt;L$3,F191&gt;L$7),F191,#N/A)</f>
        <v>#N/A</v>
      </c>
      <c r="AB191">
        <f t="shared" si="3"/>
        <v>2</v>
      </c>
      <c r="AC191" t="e">
        <f t="array" ref="AC191">IF(OR(G191&lt;M$3,G191&gt;M$7),G191,#N/A)</f>
        <v>#N/A</v>
      </c>
      <c r="AD191">
        <f t="shared" si="3"/>
        <v>3</v>
      </c>
      <c r="AE191" t="e">
        <f t="array" ref="AE191">IF(OR(H191&lt;N$3,H191&gt;N$7),H191,#N/A)</f>
        <v>#N/A</v>
      </c>
      <c r="AF191">
        <f t="shared" si="3"/>
        <v>4</v>
      </c>
      <c r="AG191" t="e">
        <f t="array" ref="AG191">IF(OR(I191&lt;O$3,I191&gt;O$7),I191,#N/A)</f>
        <v>#N/A</v>
      </c>
    </row>
    <row r="192" spans="1:33" x14ac:dyDescent="0.25">
      <c r="A192">
        <v>191</v>
      </c>
      <c r="B192">
        <f ca="1">SMALL(dados!A$23:A$422,A192)</f>
        <v>0.50081885497938461</v>
      </c>
      <c r="C192">
        <f ca="1">VLOOKUP(B192,dados!A$23:E$422,5,0)</f>
        <v>7</v>
      </c>
      <c r="E192">
        <v>189</v>
      </c>
      <c r="F192">
        <v>14.454545454545455</v>
      </c>
      <c r="G192">
        <v>14.3</v>
      </c>
      <c r="H192">
        <v>13.64</v>
      </c>
      <c r="I192">
        <v>13.31</v>
      </c>
      <c r="Z192">
        <v>1</v>
      </c>
      <c r="AA192" t="e">
        <f t="array" ref="AA192">IF(OR(F192&lt;L$3,F192&gt;L$7),F192,#N/A)</f>
        <v>#N/A</v>
      </c>
      <c r="AB192">
        <f t="shared" si="3"/>
        <v>2</v>
      </c>
      <c r="AC192" t="e">
        <f t="array" ref="AC192">IF(OR(G192&lt;M$3,G192&gt;M$7),G192,#N/A)</f>
        <v>#N/A</v>
      </c>
      <c r="AD192">
        <f t="shared" si="3"/>
        <v>3</v>
      </c>
      <c r="AE192" t="e">
        <f t="array" ref="AE192">IF(OR(H192&lt;N$3,H192&gt;N$7),H192,#N/A)</f>
        <v>#N/A</v>
      </c>
      <c r="AF192">
        <f t="shared" si="3"/>
        <v>4</v>
      </c>
      <c r="AG192" t="e">
        <f t="array" ref="AG192">IF(OR(I192&lt;O$3,I192&gt;O$7),I192,#N/A)</f>
        <v>#N/A</v>
      </c>
    </row>
    <row r="193" spans="1:33" x14ac:dyDescent="0.25">
      <c r="A193">
        <v>192</v>
      </c>
      <c r="B193">
        <f ca="1">SMALL(dados!A$23:A$422,A193)</f>
        <v>0.5028014839252225</v>
      </c>
      <c r="C193">
        <f ca="1">VLOOKUP(B193,dados!A$23:E$422,5,0)</f>
        <v>31</v>
      </c>
      <c r="E193">
        <v>190</v>
      </c>
      <c r="F193">
        <v>16.90909090909091</v>
      </c>
      <c r="G193">
        <v>14</v>
      </c>
      <c r="H193">
        <v>14.62</v>
      </c>
      <c r="I193">
        <v>14.53</v>
      </c>
      <c r="Z193">
        <v>1</v>
      </c>
      <c r="AA193" t="e">
        <f t="array" ref="AA193">IF(OR(F193&lt;L$3,F193&gt;L$7),F193,#N/A)</f>
        <v>#N/A</v>
      </c>
      <c r="AB193">
        <f t="shared" si="3"/>
        <v>2</v>
      </c>
      <c r="AC193" t="e">
        <f t="array" ref="AC193">IF(OR(G193&lt;M$3,G193&gt;M$7),G193,#N/A)</f>
        <v>#N/A</v>
      </c>
      <c r="AD193">
        <f t="shared" si="3"/>
        <v>3</v>
      </c>
      <c r="AE193" t="e">
        <f t="array" ref="AE193">IF(OR(H193&lt;N$3,H193&gt;N$7),H193,#N/A)</f>
        <v>#N/A</v>
      </c>
      <c r="AF193">
        <f t="shared" si="3"/>
        <v>4</v>
      </c>
      <c r="AG193" t="e">
        <f t="array" ref="AG193">IF(OR(I193&lt;O$3,I193&gt;O$7),I193,#N/A)</f>
        <v>#N/A</v>
      </c>
    </row>
    <row r="194" spans="1:33" x14ac:dyDescent="0.25">
      <c r="A194">
        <v>193</v>
      </c>
      <c r="B194">
        <f ca="1">SMALL(dados!A$23:A$422,A194)</f>
        <v>0.50593772337177623</v>
      </c>
      <c r="C194">
        <f ca="1">VLOOKUP(B194,dados!A$23:E$422,5,0)</f>
        <v>13</v>
      </c>
      <c r="E194">
        <v>191</v>
      </c>
      <c r="F194">
        <v>15.454545454545455</v>
      </c>
      <c r="G194">
        <v>14.8</v>
      </c>
      <c r="H194">
        <v>15.26</v>
      </c>
      <c r="I194">
        <v>14.54</v>
      </c>
      <c r="Z194">
        <v>1</v>
      </c>
      <c r="AA194" t="e">
        <f t="array" ref="AA194">IF(OR(F194&lt;L$3,F194&gt;L$7),F194,#N/A)</f>
        <v>#N/A</v>
      </c>
      <c r="AB194">
        <f t="shared" si="3"/>
        <v>2</v>
      </c>
      <c r="AC194" t="e">
        <f t="array" ref="AC194">IF(OR(G194&lt;M$3,G194&gt;M$7),G194,#N/A)</f>
        <v>#N/A</v>
      </c>
      <c r="AD194">
        <f t="shared" si="3"/>
        <v>3</v>
      </c>
      <c r="AE194" t="e">
        <f t="array" ref="AE194">IF(OR(H194&lt;N$3,H194&gt;N$7),H194,#N/A)</f>
        <v>#N/A</v>
      </c>
      <c r="AF194">
        <f t="shared" si="3"/>
        <v>4</v>
      </c>
      <c r="AG194" t="e">
        <f t="array" ref="AG194">IF(OR(I194&lt;O$3,I194&gt;O$7),I194,#N/A)</f>
        <v>#N/A</v>
      </c>
    </row>
    <row r="195" spans="1:33" x14ac:dyDescent="0.25">
      <c r="A195">
        <v>194</v>
      </c>
      <c r="B195">
        <f ca="1">SMALL(dados!A$23:A$422,A195)</f>
        <v>0.50626355860621153</v>
      </c>
      <c r="C195">
        <f ca="1">VLOOKUP(B195,dados!A$23:E$422,5,0)</f>
        <v>7</v>
      </c>
      <c r="E195">
        <v>192</v>
      </c>
      <c r="F195">
        <v>16</v>
      </c>
      <c r="G195">
        <v>16.25</v>
      </c>
      <c r="H195">
        <v>14.78</v>
      </c>
      <c r="I195">
        <v>14.1</v>
      </c>
      <c r="Z195">
        <v>1</v>
      </c>
      <c r="AA195" t="e">
        <f t="array" ref="AA195">IF(OR(F195&lt;L$3,F195&gt;L$7),F195,#N/A)</f>
        <v>#N/A</v>
      </c>
      <c r="AB195">
        <f t="shared" si="3"/>
        <v>2</v>
      </c>
      <c r="AC195" t="e">
        <f t="array" ref="AC195">IF(OR(G195&lt;M$3,G195&gt;M$7),G195,#N/A)</f>
        <v>#N/A</v>
      </c>
      <c r="AD195">
        <f t="shared" si="3"/>
        <v>3</v>
      </c>
      <c r="AE195" t="e">
        <f t="array" ref="AE195">IF(OR(H195&lt;N$3,H195&gt;N$7),H195,#N/A)</f>
        <v>#N/A</v>
      </c>
      <c r="AF195">
        <f t="shared" si="3"/>
        <v>4</v>
      </c>
      <c r="AG195" t="e">
        <f t="array" ref="AG195">IF(OR(I195&lt;O$3,I195&gt;O$7),I195,#N/A)</f>
        <v>#N/A</v>
      </c>
    </row>
    <row r="196" spans="1:33" x14ac:dyDescent="0.25">
      <c r="A196">
        <v>195</v>
      </c>
      <c r="B196">
        <f ca="1">SMALL(dados!A$23:A$422,A196)</f>
        <v>0.50666281291912318</v>
      </c>
      <c r="C196">
        <f ca="1">VLOOKUP(B196,dados!A$23:E$422,5,0)</f>
        <v>13</v>
      </c>
      <c r="E196">
        <v>193</v>
      </c>
      <c r="F196">
        <v>14.818181818181818</v>
      </c>
      <c r="G196">
        <v>12.85</v>
      </c>
      <c r="H196">
        <v>13.8</v>
      </c>
      <c r="I196">
        <v>14.03</v>
      </c>
      <c r="Z196">
        <v>1</v>
      </c>
      <c r="AA196" t="e">
        <f t="array" ref="AA196">IF(OR(F196&lt;L$3,F196&gt;L$7),F196,#N/A)</f>
        <v>#N/A</v>
      </c>
      <c r="AB196">
        <f t="shared" si="3"/>
        <v>2</v>
      </c>
      <c r="AC196" t="e">
        <f t="array" ref="AC196">IF(OR(G196&lt;M$3,G196&gt;M$7),G196,#N/A)</f>
        <v>#N/A</v>
      </c>
      <c r="AD196">
        <f t="shared" si="3"/>
        <v>3</v>
      </c>
      <c r="AE196" t="e">
        <f t="array" ref="AE196">IF(OR(H196&lt;N$3,H196&gt;N$7),H196,#N/A)</f>
        <v>#N/A</v>
      </c>
      <c r="AF196">
        <f t="shared" si="3"/>
        <v>4</v>
      </c>
      <c r="AG196" t="e">
        <f t="array" ref="AG196">IF(OR(I196&lt;O$3,I196&gt;O$7),I196,#N/A)</f>
        <v>#N/A</v>
      </c>
    </row>
    <row r="197" spans="1:33" x14ac:dyDescent="0.25">
      <c r="A197">
        <v>196</v>
      </c>
      <c r="B197">
        <f ca="1">SMALL(dados!A$23:A$422,A197)</f>
        <v>0.50749886518061538</v>
      </c>
      <c r="C197">
        <f ca="1">VLOOKUP(B197,dados!A$23:E$422,5,0)</f>
        <v>8</v>
      </c>
      <c r="E197">
        <v>194</v>
      </c>
      <c r="F197">
        <v>16.636363636363637</v>
      </c>
      <c r="G197">
        <v>17</v>
      </c>
      <c r="H197">
        <v>14.82</v>
      </c>
      <c r="I197">
        <v>13.83</v>
      </c>
      <c r="Z197">
        <v>1</v>
      </c>
      <c r="AA197" t="e">
        <f t="array" ref="AA197">IF(OR(F197&lt;L$3,F197&gt;L$7),F197,#N/A)</f>
        <v>#N/A</v>
      </c>
      <c r="AB197">
        <f t="shared" ref="AB197:AF260" si="4">Z197+1</f>
        <v>2</v>
      </c>
      <c r="AC197" t="e">
        <f t="array" ref="AC197">IF(OR(G197&lt;M$3,G197&gt;M$7),G197,#N/A)</f>
        <v>#N/A</v>
      </c>
      <c r="AD197">
        <f t="shared" si="4"/>
        <v>3</v>
      </c>
      <c r="AE197" t="e">
        <f t="array" ref="AE197">IF(OR(H197&lt;N$3,H197&gt;N$7),H197,#N/A)</f>
        <v>#N/A</v>
      </c>
      <c r="AF197">
        <f t="shared" si="4"/>
        <v>4</v>
      </c>
      <c r="AG197" t="e">
        <f t="array" ref="AG197">IF(OR(I197&lt;O$3,I197&gt;O$7),I197,#N/A)</f>
        <v>#N/A</v>
      </c>
    </row>
    <row r="198" spans="1:33" x14ac:dyDescent="0.25">
      <c r="A198">
        <v>197</v>
      </c>
      <c r="B198">
        <f ca="1">SMALL(dados!A$23:A$422,A198)</f>
        <v>0.50770301711619459</v>
      </c>
      <c r="C198">
        <f ca="1">VLOOKUP(B198,dados!A$23:E$422,5,0)</f>
        <v>9</v>
      </c>
      <c r="E198">
        <v>195</v>
      </c>
      <c r="F198">
        <v>14.272727272727273</v>
      </c>
      <c r="G198">
        <v>13.2</v>
      </c>
      <c r="H198">
        <v>15.22</v>
      </c>
      <c r="I198">
        <v>14.29</v>
      </c>
      <c r="Z198">
        <v>1</v>
      </c>
      <c r="AA198" t="e">
        <f t="array" ref="AA198">IF(OR(F198&lt;L$3,F198&gt;L$7),F198,#N/A)</f>
        <v>#N/A</v>
      </c>
      <c r="AB198">
        <f t="shared" si="4"/>
        <v>2</v>
      </c>
      <c r="AC198" t="e">
        <f t="array" ref="AC198">IF(OR(G198&lt;M$3,G198&gt;M$7),G198,#N/A)</f>
        <v>#N/A</v>
      </c>
      <c r="AD198">
        <f t="shared" si="4"/>
        <v>3</v>
      </c>
      <c r="AE198" t="e">
        <f t="array" ref="AE198">IF(OR(H198&lt;N$3,H198&gt;N$7),H198,#N/A)</f>
        <v>#N/A</v>
      </c>
      <c r="AF198">
        <f t="shared" si="4"/>
        <v>4</v>
      </c>
      <c r="AG198" t="e">
        <f t="array" ref="AG198">IF(OR(I198&lt;O$3,I198&gt;O$7),I198,#N/A)</f>
        <v>#N/A</v>
      </c>
    </row>
    <row r="199" spans="1:33" x14ac:dyDescent="0.25">
      <c r="A199">
        <v>198</v>
      </c>
      <c r="B199">
        <f ca="1">SMALL(dados!A$23:A$422,A199)</f>
        <v>0.5110951573887913</v>
      </c>
      <c r="C199">
        <f ca="1">VLOOKUP(B199,dados!A$23:E$422,5,0)</f>
        <v>11</v>
      </c>
      <c r="E199">
        <v>196</v>
      </c>
      <c r="F199">
        <v>13.090909090909092</v>
      </c>
      <c r="G199">
        <v>12.7</v>
      </c>
      <c r="H199">
        <v>13.24</v>
      </c>
      <c r="I199">
        <v>13.9</v>
      </c>
      <c r="Z199">
        <v>1</v>
      </c>
      <c r="AA199" t="e">
        <f t="array" ref="AA199">IF(OR(F199&lt;L$3,F199&gt;L$7),F199,#N/A)</f>
        <v>#N/A</v>
      </c>
      <c r="AB199">
        <f t="shared" si="4"/>
        <v>2</v>
      </c>
      <c r="AC199" t="e">
        <f t="array" ref="AC199">IF(OR(G199&lt;M$3,G199&gt;M$7),G199,#N/A)</f>
        <v>#N/A</v>
      </c>
      <c r="AD199">
        <f t="shared" si="4"/>
        <v>3</v>
      </c>
      <c r="AE199" t="e">
        <f t="array" ref="AE199">IF(OR(H199&lt;N$3,H199&gt;N$7),H199,#N/A)</f>
        <v>#N/A</v>
      </c>
      <c r="AF199">
        <f t="shared" si="4"/>
        <v>4</v>
      </c>
      <c r="AG199" t="e">
        <f t="array" ref="AG199">IF(OR(I199&lt;O$3,I199&gt;O$7),I199,#N/A)</f>
        <v>#N/A</v>
      </c>
    </row>
    <row r="200" spans="1:33" x14ac:dyDescent="0.25">
      <c r="A200">
        <v>199</v>
      </c>
      <c r="B200">
        <f ca="1">SMALL(dados!A$23:A$422,A200)</f>
        <v>0.51112036894845281</v>
      </c>
      <c r="C200">
        <f ca="1">VLOOKUP(B200,dados!A$23:E$422,5,0)</f>
        <v>15</v>
      </c>
      <c r="E200">
        <v>197</v>
      </c>
      <c r="F200">
        <v>18.181818181818183</v>
      </c>
      <c r="G200">
        <v>16.05</v>
      </c>
      <c r="H200">
        <v>15.62</v>
      </c>
      <c r="I200">
        <v>14.82</v>
      </c>
      <c r="Z200">
        <v>1</v>
      </c>
      <c r="AA200" t="e">
        <f t="array" ref="AA200">IF(OR(F200&lt;L$3,F200&gt;L$7),F200,#N/A)</f>
        <v>#N/A</v>
      </c>
      <c r="AB200">
        <f t="shared" si="4"/>
        <v>2</v>
      </c>
      <c r="AC200" t="e">
        <f t="array" ref="AC200">IF(OR(G200&lt;M$3,G200&gt;M$7),G200,#N/A)</f>
        <v>#N/A</v>
      </c>
      <c r="AD200">
        <f t="shared" si="4"/>
        <v>3</v>
      </c>
      <c r="AE200" t="e">
        <f t="array" ref="AE200">IF(OR(H200&lt;N$3,H200&gt;N$7),H200,#N/A)</f>
        <v>#N/A</v>
      </c>
      <c r="AF200">
        <f t="shared" si="4"/>
        <v>4</v>
      </c>
      <c r="AG200" t="e">
        <f t="array" ref="AG200">IF(OR(I200&lt;O$3,I200&gt;O$7),I200,#N/A)</f>
        <v>#N/A</v>
      </c>
    </row>
    <row r="201" spans="1:33" x14ac:dyDescent="0.25">
      <c r="A201">
        <v>200</v>
      </c>
      <c r="B201">
        <f ca="1">SMALL(dados!A$23:A$422,A201)</f>
        <v>0.51250792766934838</v>
      </c>
      <c r="C201">
        <f ca="1">VLOOKUP(B201,dados!A$23:E$422,5,0)</f>
        <v>8</v>
      </c>
      <c r="E201">
        <v>198</v>
      </c>
      <c r="F201">
        <v>17.90909090909091</v>
      </c>
      <c r="G201">
        <v>17.5</v>
      </c>
      <c r="H201">
        <v>13.84</v>
      </c>
      <c r="I201">
        <v>14.42</v>
      </c>
      <c r="Z201">
        <v>1</v>
      </c>
      <c r="AA201" t="e">
        <f t="array" ref="AA201">IF(OR(F201&lt;L$3,F201&gt;L$7),F201,#N/A)</f>
        <v>#N/A</v>
      </c>
      <c r="AB201">
        <f t="shared" si="4"/>
        <v>2</v>
      </c>
      <c r="AC201" t="e">
        <f t="array" ref="AC201">IF(OR(G201&lt;M$3,G201&gt;M$7),G201,#N/A)</f>
        <v>#N/A</v>
      </c>
      <c r="AD201">
        <f t="shared" si="4"/>
        <v>3</v>
      </c>
      <c r="AE201" t="e">
        <f t="array" ref="AE201">IF(OR(H201&lt;N$3,H201&gt;N$7),H201,#N/A)</f>
        <v>#N/A</v>
      </c>
      <c r="AF201">
        <f t="shared" si="4"/>
        <v>4</v>
      </c>
      <c r="AG201" t="e">
        <f t="array" ref="AG201">IF(OR(I201&lt;O$3,I201&gt;O$7),I201,#N/A)</f>
        <v>#N/A</v>
      </c>
    </row>
    <row r="202" spans="1:33" x14ac:dyDescent="0.25">
      <c r="A202">
        <v>201</v>
      </c>
      <c r="B202">
        <f ca="1">SMALL(dados!A$23:A$422,A202)</f>
        <v>0.51297962761020532</v>
      </c>
      <c r="E202">
        <v>199</v>
      </c>
      <c r="F202">
        <v>13.181818181818182</v>
      </c>
      <c r="G202">
        <v>12.75</v>
      </c>
      <c r="H202">
        <v>13.32</v>
      </c>
      <c r="I202">
        <v>13.26</v>
      </c>
      <c r="Z202">
        <v>1</v>
      </c>
      <c r="AA202" t="e">
        <f t="array" ref="AA202">IF(OR(F202&lt;L$3,F202&gt;L$7),F202,#N/A)</f>
        <v>#N/A</v>
      </c>
      <c r="AB202">
        <f t="shared" si="4"/>
        <v>2</v>
      </c>
      <c r="AC202" t="e">
        <f t="array" ref="AC202">IF(OR(G202&lt;M$3,G202&gt;M$7),G202,#N/A)</f>
        <v>#N/A</v>
      </c>
      <c r="AD202">
        <f t="shared" si="4"/>
        <v>3</v>
      </c>
      <c r="AE202" t="e">
        <f t="array" ref="AE202">IF(OR(H202&lt;N$3,H202&gt;N$7),H202,#N/A)</f>
        <v>#N/A</v>
      </c>
      <c r="AF202">
        <f t="shared" si="4"/>
        <v>4</v>
      </c>
      <c r="AG202" t="e">
        <f t="array" ref="AG202">IF(OR(I202&lt;O$3,I202&gt;O$7),I202,#N/A)</f>
        <v>#N/A</v>
      </c>
    </row>
    <row r="203" spans="1:33" x14ac:dyDescent="0.25">
      <c r="A203">
        <v>202</v>
      </c>
      <c r="B203">
        <f ca="1">SMALL(dados!A$23:A$422,A203)</f>
        <v>0.51347887144394788</v>
      </c>
      <c r="E203">
        <v>200</v>
      </c>
      <c r="F203">
        <v>15.454545454545455</v>
      </c>
      <c r="G203">
        <v>14.85</v>
      </c>
      <c r="H203">
        <v>14.3</v>
      </c>
      <c r="I203">
        <v>13.63</v>
      </c>
      <c r="Z203">
        <v>1</v>
      </c>
      <c r="AA203" t="e">
        <f t="array" ref="AA203">IF(OR(F203&lt;L$3,F203&gt;L$7),F203,#N/A)</f>
        <v>#N/A</v>
      </c>
      <c r="AB203">
        <f t="shared" si="4"/>
        <v>2</v>
      </c>
      <c r="AC203" t="e">
        <f t="array" ref="AC203">IF(OR(G203&lt;M$3,G203&gt;M$7),G203,#N/A)</f>
        <v>#N/A</v>
      </c>
      <c r="AD203">
        <f t="shared" si="4"/>
        <v>3</v>
      </c>
      <c r="AE203" t="e">
        <f t="array" ref="AE203">IF(OR(H203&lt;N$3,H203&gt;N$7),H203,#N/A)</f>
        <v>#N/A</v>
      </c>
      <c r="AF203">
        <f t="shared" si="4"/>
        <v>4</v>
      </c>
      <c r="AG203" t="e">
        <f t="array" ref="AG203">IF(OR(I203&lt;O$3,I203&gt;O$7),I203,#N/A)</f>
        <v>#N/A</v>
      </c>
    </row>
    <row r="204" spans="1:33" x14ac:dyDescent="0.25">
      <c r="A204">
        <v>203</v>
      </c>
      <c r="B204">
        <f ca="1">SMALL(dados!A$23:A$422,A204)</f>
        <v>0.51480361028587973</v>
      </c>
      <c r="E204">
        <v>201</v>
      </c>
      <c r="F204">
        <v>17.09090909090909</v>
      </c>
      <c r="G204">
        <v>15.05</v>
      </c>
      <c r="H204">
        <v>14.98</v>
      </c>
      <c r="I204">
        <v>14.83</v>
      </c>
      <c r="Z204">
        <v>1</v>
      </c>
      <c r="AA204" t="e">
        <f t="array" ref="AA204">IF(OR(F204&lt;L$3,F204&gt;L$7),F204,#N/A)</f>
        <v>#N/A</v>
      </c>
      <c r="AB204">
        <f t="shared" si="4"/>
        <v>2</v>
      </c>
      <c r="AC204" t="e">
        <f t="array" ref="AC204">IF(OR(G204&lt;M$3,G204&gt;M$7),G204,#N/A)</f>
        <v>#N/A</v>
      </c>
      <c r="AD204">
        <f t="shared" si="4"/>
        <v>3</v>
      </c>
      <c r="AE204" t="e">
        <f t="array" ref="AE204">IF(OR(H204&lt;N$3,H204&gt;N$7),H204,#N/A)</f>
        <v>#N/A</v>
      </c>
      <c r="AF204">
        <f t="shared" si="4"/>
        <v>4</v>
      </c>
      <c r="AG204" t="e">
        <f t="array" ref="AG204">IF(OR(I204&lt;O$3,I204&gt;O$7),I204,#N/A)</f>
        <v>#N/A</v>
      </c>
    </row>
    <row r="205" spans="1:33" x14ac:dyDescent="0.25">
      <c r="A205">
        <v>204</v>
      </c>
      <c r="B205">
        <f ca="1">SMALL(dados!A$23:A$422,A205)</f>
        <v>0.51492721165240707</v>
      </c>
      <c r="E205">
        <v>202</v>
      </c>
      <c r="F205">
        <v>11</v>
      </c>
      <c r="G205">
        <v>12.9</v>
      </c>
      <c r="H205">
        <v>12.66</v>
      </c>
      <c r="I205">
        <v>13.43</v>
      </c>
      <c r="Z205">
        <v>1</v>
      </c>
      <c r="AA205" t="e">
        <f t="array" ref="AA205">IF(OR(F205&lt;L$3,F205&gt;L$7),F205,#N/A)</f>
        <v>#N/A</v>
      </c>
      <c r="AB205">
        <f t="shared" si="4"/>
        <v>2</v>
      </c>
      <c r="AC205" t="e">
        <f t="array" ref="AC205">IF(OR(G205&lt;M$3,G205&gt;M$7),G205,#N/A)</f>
        <v>#N/A</v>
      </c>
      <c r="AD205">
        <f t="shared" si="4"/>
        <v>3</v>
      </c>
      <c r="AE205" t="e">
        <f t="array" ref="AE205">IF(OR(H205&lt;N$3,H205&gt;N$7),H205,#N/A)</f>
        <v>#N/A</v>
      </c>
      <c r="AF205">
        <f t="shared" si="4"/>
        <v>4</v>
      </c>
      <c r="AG205" t="e">
        <f t="array" ref="AG205">IF(OR(I205&lt;O$3,I205&gt;O$7),I205,#N/A)</f>
        <v>#N/A</v>
      </c>
    </row>
    <row r="206" spans="1:33" x14ac:dyDescent="0.25">
      <c r="A206">
        <v>205</v>
      </c>
      <c r="B206">
        <f ca="1">SMALL(dados!A$23:A$422,A206)</f>
        <v>0.51693942563801665</v>
      </c>
      <c r="E206">
        <v>203</v>
      </c>
      <c r="F206">
        <v>16.636363636363637</v>
      </c>
      <c r="G206">
        <v>15.5</v>
      </c>
      <c r="H206">
        <v>15.16</v>
      </c>
      <c r="I206">
        <v>14.09</v>
      </c>
      <c r="Z206">
        <v>1</v>
      </c>
      <c r="AA206" t="e">
        <f t="array" ref="AA206">IF(OR(F206&lt;L$3,F206&gt;L$7),F206,#N/A)</f>
        <v>#N/A</v>
      </c>
      <c r="AB206">
        <f t="shared" si="4"/>
        <v>2</v>
      </c>
      <c r="AC206" t="e">
        <f t="array" ref="AC206">IF(OR(G206&lt;M$3,G206&gt;M$7),G206,#N/A)</f>
        <v>#N/A</v>
      </c>
      <c r="AD206">
        <f t="shared" si="4"/>
        <v>3</v>
      </c>
      <c r="AE206" t="e">
        <f t="array" ref="AE206">IF(OR(H206&lt;N$3,H206&gt;N$7),H206,#N/A)</f>
        <v>#N/A</v>
      </c>
      <c r="AF206">
        <f t="shared" si="4"/>
        <v>4</v>
      </c>
      <c r="AG206" t="e">
        <f t="array" ref="AG206">IF(OR(I206&lt;O$3,I206&gt;O$7),I206,#N/A)</f>
        <v>#N/A</v>
      </c>
    </row>
    <row r="207" spans="1:33" x14ac:dyDescent="0.25">
      <c r="A207">
        <v>206</v>
      </c>
      <c r="B207">
        <f ca="1">SMALL(dados!A$23:A$422,A207)</f>
        <v>0.51917050779180107</v>
      </c>
      <c r="E207">
        <v>204</v>
      </c>
      <c r="F207">
        <v>17.636363636363637</v>
      </c>
      <c r="G207">
        <v>15.25</v>
      </c>
      <c r="H207">
        <v>15.3</v>
      </c>
      <c r="I207">
        <v>14.49</v>
      </c>
      <c r="Z207">
        <v>1</v>
      </c>
      <c r="AA207" t="e">
        <f t="array" ref="AA207">IF(OR(F207&lt;L$3,F207&gt;L$7),F207,#N/A)</f>
        <v>#N/A</v>
      </c>
      <c r="AB207">
        <f t="shared" si="4"/>
        <v>2</v>
      </c>
      <c r="AC207" t="e">
        <f t="array" ref="AC207">IF(OR(G207&lt;M$3,G207&gt;M$7),G207,#N/A)</f>
        <v>#N/A</v>
      </c>
      <c r="AD207">
        <f t="shared" si="4"/>
        <v>3</v>
      </c>
      <c r="AE207" t="e">
        <f t="array" ref="AE207">IF(OR(H207&lt;N$3,H207&gt;N$7),H207,#N/A)</f>
        <v>#N/A</v>
      </c>
      <c r="AF207">
        <f t="shared" si="4"/>
        <v>4</v>
      </c>
      <c r="AG207" t="e">
        <f t="array" ref="AG207">IF(OR(I207&lt;O$3,I207&gt;O$7),I207,#N/A)</f>
        <v>#N/A</v>
      </c>
    </row>
    <row r="208" spans="1:33" x14ac:dyDescent="0.25">
      <c r="A208">
        <v>207</v>
      </c>
      <c r="B208">
        <f ca="1">SMALL(dados!A$23:A$422,A208)</f>
        <v>0.51938581891085045</v>
      </c>
      <c r="E208">
        <v>205</v>
      </c>
      <c r="F208">
        <v>15</v>
      </c>
      <c r="G208">
        <v>13.05</v>
      </c>
      <c r="H208">
        <v>14.14</v>
      </c>
      <c r="I208">
        <v>13.05</v>
      </c>
      <c r="Z208">
        <v>1</v>
      </c>
      <c r="AA208" t="e">
        <f t="array" ref="AA208">IF(OR(F208&lt;L$3,F208&gt;L$7),F208,#N/A)</f>
        <v>#N/A</v>
      </c>
      <c r="AB208">
        <f t="shared" si="4"/>
        <v>2</v>
      </c>
      <c r="AC208" t="e">
        <f t="array" ref="AC208">IF(OR(G208&lt;M$3,G208&gt;M$7),G208,#N/A)</f>
        <v>#N/A</v>
      </c>
      <c r="AD208">
        <f t="shared" si="4"/>
        <v>3</v>
      </c>
      <c r="AE208" t="e">
        <f t="array" ref="AE208">IF(OR(H208&lt;N$3,H208&gt;N$7),H208,#N/A)</f>
        <v>#N/A</v>
      </c>
      <c r="AF208">
        <f t="shared" si="4"/>
        <v>4</v>
      </c>
      <c r="AG208" t="e">
        <f t="array" ref="AG208">IF(OR(I208&lt;O$3,I208&gt;O$7),I208,#N/A)</f>
        <v>#N/A</v>
      </c>
    </row>
    <row r="209" spans="1:33" x14ac:dyDescent="0.25">
      <c r="A209">
        <v>208</v>
      </c>
      <c r="B209">
        <f ca="1">SMALL(dados!A$23:A$422,A209)</f>
        <v>0.51950388514616141</v>
      </c>
      <c r="E209">
        <v>206</v>
      </c>
      <c r="F209">
        <v>14.727272727272727</v>
      </c>
      <c r="G209">
        <v>14.1</v>
      </c>
      <c r="H209">
        <v>14.54</v>
      </c>
      <c r="I209">
        <v>14.32</v>
      </c>
      <c r="Z209">
        <v>1</v>
      </c>
      <c r="AA209" t="e">
        <f t="array" ref="AA209">IF(OR(F209&lt;L$3,F209&gt;L$7),F209,#N/A)</f>
        <v>#N/A</v>
      </c>
      <c r="AB209">
        <f t="shared" si="4"/>
        <v>2</v>
      </c>
      <c r="AC209" t="e">
        <f t="array" ref="AC209">IF(OR(G209&lt;M$3,G209&gt;M$7),G209,#N/A)</f>
        <v>#N/A</v>
      </c>
      <c r="AD209">
        <f t="shared" si="4"/>
        <v>3</v>
      </c>
      <c r="AE209" t="e">
        <f t="array" ref="AE209">IF(OR(H209&lt;N$3,H209&gt;N$7),H209,#N/A)</f>
        <v>#N/A</v>
      </c>
      <c r="AF209">
        <f t="shared" si="4"/>
        <v>4</v>
      </c>
      <c r="AG209" t="e">
        <f t="array" ref="AG209">IF(OR(I209&lt;O$3,I209&gt;O$7),I209,#N/A)</f>
        <v>#N/A</v>
      </c>
    </row>
    <row r="210" spans="1:33" x14ac:dyDescent="0.25">
      <c r="A210">
        <v>209</v>
      </c>
      <c r="B210">
        <f ca="1">SMALL(dados!A$23:A$422,A210)</f>
        <v>0.52186108450867552</v>
      </c>
      <c r="E210">
        <v>207</v>
      </c>
      <c r="F210">
        <v>18.545454545454547</v>
      </c>
      <c r="G210">
        <v>13.9</v>
      </c>
      <c r="H210">
        <v>14.4</v>
      </c>
      <c r="I210">
        <v>14.01</v>
      </c>
      <c r="Z210">
        <v>1</v>
      </c>
      <c r="AA210" t="e">
        <f t="array" ref="AA210">IF(OR(F210&lt;L$3,F210&gt;L$7),F210,#N/A)</f>
        <v>#N/A</v>
      </c>
      <c r="AB210">
        <f t="shared" si="4"/>
        <v>2</v>
      </c>
      <c r="AC210" t="e">
        <f t="array" ref="AC210">IF(OR(G210&lt;M$3,G210&gt;M$7),G210,#N/A)</f>
        <v>#N/A</v>
      </c>
      <c r="AD210">
        <f t="shared" si="4"/>
        <v>3</v>
      </c>
      <c r="AE210" t="e">
        <f t="array" ref="AE210">IF(OR(H210&lt;N$3,H210&gt;N$7),H210,#N/A)</f>
        <v>#N/A</v>
      </c>
      <c r="AF210">
        <f t="shared" si="4"/>
        <v>4</v>
      </c>
      <c r="AG210" t="e">
        <f t="array" ref="AG210">IF(OR(I210&lt;O$3,I210&gt;O$7),I210,#N/A)</f>
        <v>#N/A</v>
      </c>
    </row>
    <row r="211" spans="1:33" x14ac:dyDescent="0.25">
      <c r="A211">
        <v>210</v>
      </c>
      <c r="B211">
        <f ca="1">SMALL(dados!A$23:A$422,A211)</f>
        <v>0.52279274821263677</v>
      </c>
      <c r="E211">
        <v>208</v>
      </c>
      <c r="F211">
        <v>16</v>
      </c>
      <c r="G211">
        <v>15.95</v>
      </c>
      <c r="H211">
        <v>13.56</v>
      </c>
      <c r="I211">
        <v>14.36</v>
      </c>
      <c r="Z211">
        <v>1</v>
      </c>
      <c r="AA211" t="e">
        <f t="array" ref="AA211">IF(OR(F211&lt;L$3,F211&gt;L$7),F211,#N/A)</f>
        <v>#N/A</v>
      </c>
      <c r="AB211">
        <f t="shared" si="4"/>
        <v>2</v>
      </c>
      <c r="AC211" t="e">
        <f t="array" ref="AC211">IF(OR(G211&lt;M$3,G211&gt;M$7),G211,#N/A)</f>
        <v>#N/A</v>
      </c>
      <c r="AD211">
        <f t="shared" si="4"/>
        <v>3</v>
      </c>
      <c r="AE211" t="e">
        <f t="array" ref="AE211">IF(OR(H211&lt;N$3,H211&gt;N$7),H211,#N/A)</f>
        <v>#N/A</v>
      </c>
      <c r="AF211">
        <f t="shared" si="4"/>
        <v>4</v>
      </c>
      <c r="AG211" t="e">
        <f t="array" ref="AG211">IF(OR(I211&lt;O$3,I211&gt;O$7),I211,#N/A)</f>
        <v>#N/A</v>
      </c>
    </row>
    <row r="212" spans="1:33" x14ac:dyDescent="0.25">
      <c r="A212">
        <v>211</v>
      </c>
      <c r="B212">
        <f ca="1">SMALL(dados!A$23:A$422,A212)</f>
        <v>0.52704182517905573</v>
      </c>
      <c r="E212">
        <v>209</v>
      </c>
      <c r="F212">
        <v>15</v>
      </c>
      <c r="G212">
        <v>13.65</v>
      </c>
      <c r="H212">
        <v>13.24</v>
      </c>
      <c r="I212">
        <v>14.3</v>
      </c>
      <c r="Z212">
        <v>1</v>
      </c>
      <c r="AA212" t="e">
        <f t="array" ref="AA212">IF(OR(F212&lt;L$3,F212&gt;L$7),F212,#N/A)</f>
        <v>#N/A</v>
      </c>
      <c r="AB212">
        <f t="shared" si="4"/>
        <v>2</v>
      </c>
      <c r="AC212" t="e">
        <f t="array" ref="AC212">IF(OR(G212&lt;M$3,G212&gt;M$7),G212,#N/A)</f>
        <v>#N/A</v>
      </c>
      <c r="AD212">
        <f t="shared" si="4"/>
        <v>3</v>
      </c>
      <c r="AE212" t="e">
        <f t="array" ref="AE212">IF(OR(H212&lt;N$3,H212&gt;N$7),H212,#N/A)</f>
        <v>#N/A</v>
      </c>
      <c r="AF212">
        <f t="shared" si="4"/>
        <v>4</v>
      </c>
      <c r="AG212" t="e">
        <f t="array" ref="AG212">IF(OR(I212&lt;O$3,I212&gt;O$7),I212,#N/A)</f>
        <v>#N/A</v>
      </c>
    </row>
    <row r="213" spans="1:33" x14ac:dyDescent="0.25">
      <c r="A213">
        <v>212</v>
      </c>
      <c r="B213">
        <f ca="1">SMALL(dados!A$23:A$422,A213)</f>
        <v>0.52960018250392704</v>
      </c>
      <c r="E213">
        <v>210</v>
      </c>
      <c r="F213">
        <v>14.636363636363637</v>
      </c>
      <c r="G213">
        <v>14.85</v>
      </c>
      <c r="H213">
        <v>15.42</v>
      </c>
      <c r="I213">
        <v>14.6</v>
      </c>
      <c r="Z213">
        <v>1</v>
      </c>
      <c r="AA213" t="e">
        <f t="array" ref="AA213">IF(OR(F213&lt;L$3,F213&gt;L$7),F213,#N/A)</f>
        <v>#N/A</v>
      </c>
      <c r="AB213">
        <f t="shared" si="4"/>
        <v>2</v>
      </c>
      <c r="AC213" t="e">
        <f t="array" ref="AC213">IF(OR(G213&lt;M$3,G213&gt;M$7),G213,#N/A)</f>
        <v>#N/A</v>
      </c>
      <c r="AD213">
        <f t="shared" si="4"/>
        <v>3</v>
      </c>
      <c r="AE213" t="e">
        <f t="array" ref="AE213">IF(OR(H213&lt;N$3,H213&gt;N$7),H213,#N/A)</f>
        <v>#N/A</v>
      </c>
      <c r="AF213">
        <f t="shared" si="4"/>
        <v>4</v>
      </c>
      <c r="AG213" t="e">
        <f t="array" ref="AG213">IF(OR(I213&lt;O$3,I213&gt;O$7),I213,#N/A)</f>
        <v>#N/A</v>
      </c>
    </row>
    <row r="214" spans="1:33" x14ac:dyDescent="0.25">
      <c r="A214">
        <v>213</v>
      </c>
      <c r="B214">
        <f ca="1">SMALL(dados!A$23:A$422,A214)</f>
        <v>0.53121963752121781</v>
      </c>
      <c r="E214">
        <v>211</v>
      </c>
      <c r="F214">
        <v>12.727272727272727</v>
      </c>
      <c r="G214">
        <v>14.75</v>
      </c>
      <c r="H214">
        <v>14.96</v>
      </c>
      <c r="I214">
        <v>14.1</v>
      </c>
      <c r="Z214">
        <v>1</v>
      </c>
      <c r="AA214" t="e">
        <f t="array" ref="AA214">IF(OR(F214&lt;L$3,F214&gt;L$7),F214,#N/A)</f>
        <v>#N/A</v>
      </c>
      <c r="AB214">
        <f t="shared" si="4"/>
        <v>2</v>
      </c>
      <c r="AC214" t="e">
        <f t="array" ref="AC214">IF(OR(G214&lt;M$3,G214&gt;M$7),G214,#N/A)</f>
        <v>#N/A</v>
      </c>
      <c r="AD214">
        <f t="shared" si="4"/>
        <v>3</v>
      </c>
      <c r="AE214" t="e">
        <f t="array" ref="AE214">IF(OR(H214&lt;N$3,H214&gt;N$7),H214,#N/A)</f>
        <v>#N/A</v>
      </c>
      <c r="AF214">
        <f t="shared" si="4"/>
        <v>4</v>
      </c>
      <c r="AG214" t="e">
        <f t="array" ref="AG214">IF(OR(I214&lt;O$3,I214&gt;O$7),I214,#N/A)</f>
        <v>#N/A</v>
      </c>
    </row>
    <row r="215" spans="1:33" x14ac:dyDescent="0.25">
      <c r="A215">
        <v>214</v>
      </c>
      <c r="B215">
        <f ca="1">SMALL(dados!A$23:A$422,A215)</f>
        <v>0.53155151687157431</v>
      </c>
      <c r="E215">
        <v>212</v>
      </c>
      <c r="F215">
        <v>15.454545454545455</v>
      </c>
      <c r="G215">
        <v>16.2</v>
      </c>
      <c r="H215">
        <v>14.72</v>
      </c>
      <c r="I215">
        <v>13.47</v>
      </c>
      <c r="Z215">
        <v>1</v>
      </c>
      <c r="AA215" t="e">
        <f t="array" ref="AA215">IF(OR(F215&lt;L$3,F215&gt;L$7),F215,#N/A)</f>
        <v>#N/A</v>
      </c>
      <c r="AB215">
        <f t="shared" si="4"/>
        <v>2</v>
      </c>
      <c r="AC215" t="e">
        <f t="array" ref="AC215">IF(OR(G215&lt;M$3,G215&gt;M$7),G215,#N/A)</f>
        <v>#N/A</v>
      </c>
      <c r="AD215">
        <f t="shared" si="4"/>
        <v>3</v>
      </c>
      <c r="AE215" t="e">
        <f t="array" ref="AE215">IF(OR(H215&lt;N$3,H215&gt;N$7),H215,#N/A)</f>
        <v>#N/A</v>
      </c>
      <c r="AF215">
        <f t="shared" si="4"/>
        <v>4</v>
      </c>
      <c r="AG215" t="e">
        <f t="array" ref="AG215">IF(OR(I215&lt;O$3,I215&gt;O$7),I215,#N/A)</f>
        <v>#N/A</v>
      </c>
    </row>
    <row r="216" spans="1:33" x14ac:dyDescent="0.25">
      <c r="A216">
        <v>215</v>
      </c>
      <c r="B216">
        <f ca="1">SMALL(dados!A$23:A$422,A216)</f>
        <v>0.53343150597707478</v>
      </c>
      <c r="E216">
        <v>213</v>
      </c>
      <c r="F216">
        <v>13.181818181818182</v>
      </c>
      <c r="G216">
        <v>13.5</v>
      </c>
      <c r="H216">
        <v>13.34</v>
      </c>
      <c r="I216">
        <v>13.89</v>
      </c>
      <c r="Z216">
        <v>1</v>
      </c>
      <c r="AA216" t="e">
        <f t="array" ref="AA216">IF(OR(F216&lt;L$3,F216&gt;L$7),F216,#N/A)</f>
        <v>#N/A</v>
      </c>
      <c r="AB216">
        <f t="shared" si="4"/>
        <v>2</v>
      </c>
      <c r="AC216" t="e">
        <f t="array" ref="AC216">IF(OR(G216&lt;M$3,G216&gt;M$7),G216,#N/A)</f>
        <v>#N/A</v>
      </c>
      <c r="AD216">
        <f t="shared" si="4"/>
        <v>3</v>
      </c>
      <c r="AE216" t="e">
        <f t="array" ref="AE216">IF(OR(H216&lt;N$3,H216&gt;N$7),H216,#N/A)</f>
        <v>#N/A</v>
      </c>
      <c r="AF216">
        <f t="shared" si="4"/>
        <v>4</v>
      </c>
      <c r="AG216" t="e">
        <f t="array" ref="AG216">IF(OR(I216&lt;O$3,I216&gt;O$7),I216,#N/A)</f>
        <v>#N/A</v>
      </c>
    </row>
    <row r="217" spans="1:33" x14ac:dyDescent="0.25">
      <c r="A217">
        <v>216</v>
      </c>
      <c r="B217">
        <f ca="1">SMALL(dados!A$23:A$422,A217)</f>
        <v>0.53937025461592836</v>
      </c>
      <c r="E217">
        <v>214</v>
      </c>
      <c r="F217">
        <v>13.454545454545455</v>
      </c>
      <c r="G217">
        <v>12.85</v>
      </c>
      <c r="H217">
        <v>14.24</v>
      </c>
      <c r="I217">
        <v>13.85</v>
      </c>
      <c r="Z217">
        <v>1</v>
      </c>
      <c r="AA217" t="e">
        <f t="array" ref="AA217">IF(OR(F217&lt;L$3,F217&gt;L$7),F217,#N/A)</f>
        <v>#N/A</v>
      </c>
      <c r="AB217">
        <f t="shared" si="4"/>
        <v>2</v>
      </c>
      <c r="AC217" t="e">
        <f t="array" ref="AC217">IF(OR(G217&lt;M$3,G217&gt;M$7),G217,#N/A)</f>
        <v>#N/A</v>
      </c>
      <c r="AD217">
        <f t="shared" si="4"/>
        <v>3</v>
      </c>
      <c r="AE217" t="e">
        <f t="array" ref="AE217">IF(OR(H217&lt;N$3,H217&gt;N$7),H217,#N/A)</f>
        <v>#N/A</v>
      </c>
      <c r="AF217">
        <f t="shared" si="4"/>
        <v>4</v>
      </c>
      <c r="AG217" t="e">
        <f t="array" ref="AG217">IF(OR(I217&lt;O$3,I217&gt;O$7),I217,#N/A)</f>
        <v>#N/A</v>
      </c>
    </row>
    <row r="218" spans="1:33" x14ac:dyDescent="0.25">
      <c r="A218">
        <v>217</v>
      </c>
      <c r="B218">
        <f ca="1">SMALL(dados!A$23:A$422,A218)</f>
        <v>0.54112745601627488</v>
      </c>
      <c r="E218">
        <v>215</v>
      </c>
      <c r="F218">
        <v>11.090909090909092</v>
      </c>
      <c r="G218">
        <v>10.6</v>
      </c>
      <c r="H218">
        <v>13.32</v>
      </c>
      <c r="I218">
        <v>13.15</v>
      </c>
      <c r="Z218">
        <v>1</v>
      </c>
      <c r="AA218" t="e">
        <f t="array" ref="AA218">IF(OR(F218&lt;L$3,F218&gt;L$7),F218,#N/A)</f>
        <v>#N/A</v>
      </c>
      <c r="AB218">
        <f t="shared" si="4"/>
        <v>2</v>
      </c>
      <c r="AC218" t="e">
        <f t="array" ref="AC218">IF(OR(G218&lt;M$3,G218&gt;M$7),G218,#N/A)</f>
        <v>#N/A</v>
      </c>
      <c r="AD218">
        <f t="shared" si="4"/>
        <v>3</v>
      </c>
      <c r="AE218" t="e">
        <f t="array" ref="AE218">IF(OR(H218&lt;N$3,H218&gt;N$7),H218,#N/A)</f>
        <v>#N/A</v>
      </c>
      <c r="AF218">
        <f t="shared" si="4"/>
        <v>4</v>
      </c>
      <c r="AG218" t="e">
        <f t="array" ref="AG218">IF(OR(I218&lt;O$3,I218&gt;O$7),I218,#N/A)</f>
        <v>#N/A</v>
      </c>
    </row>
    <row r="219" spans="1:33" x14ac:dyDescent="0.25">
      <c r="A219">
        <v>218</v>
      </c>
      <c r="B219">
        <f ca="1">SMALL(dados!A$23:A$422,A219)</f>
        <v>0.54163665753694901</v>
      </c>
      <c r="E219">
        <v>216</v>
      </c>
      <c r="F219">
        <v>14.636363636363637</v>
      </c>
      <c r="G219">
        <v>13.5</v>
      </c>
      <c r="H219">
        <v>14.04</v>
      </c>
      <c r="I219">
        <v>13.57</v>
      </c>
      <c r="Z219">
        <v>1</v>
      </c>
      <c r="AA219" t="e">
        <f t="array" ref="AA219">IF(OR(F219&lt;L$3,F219&gt;L$7),F219,#N/A)</f>
        <v>#N/A</v>
      </c>
      <c r="AB219">
        <f t="shared" si="4"/>
        <v>2</v>
      </c>
      <c r="AC219" t="e">
        <f t="array" ref="AC219">IF(OR(G219&lt;M$3,G219&gt;M$7),G219,#N/A)</f>
        <v>#N/A</v>
      </c>
      <c r="AD219">
        <f t="shared" si="4"/>
        <v>3</v>
      </c>
      <c r="AE219" t="e">
        <f t="array" ref="AE219">IF(OR(H219&lt;N$3,H219&gt;N$7),H219,#N/A)</f>
        <v>#N/A</v>
      </c>
      <c r="AF219">
        <f t="shared" si="4"/>
        <v>4</v>
      </c>
      <c r="AG219" t="e">
        <f t="array" ref="AG219">IF(OR(I219&lt;O$3,I219&gt;O$7),I219,#N/A)</f>
        <v>#N/A</v>
      </c>
    </row>
    <row r="220" spans="1:33" x14ac:dyDescent="0.25">
      <c r="A220">
        <v>219</v>
      </c>
      <c r="B220">
        <f ca="1">SMALL(dados!A$23:A$422,A220)</f>
        <v>0.54761375255332279</v>
      </c>
      <c r="E220">
        <v>217</v>
      </c>
      <c r="F220">
        <v>13.909090909090908</v>
      </c>
      <c r="G220">
        <v>14.55</v>
      </c>
      <c r="H220">
        <v>13.5</v>
      </c>
      <c r="I220">
        <v>14.09</v>
      </c>
      <c r="Z220">
        <v>1</v>
      </c>
      <c r="AA220" t="e">
        <f t="array" ref="AA220">IF(OR(F220&lt;L$3,F220&gt;L$7),F220,#N/A)</f>
        <v>#N/A</v>
      </c>
      <c r="AB220">
        <f t="shared" si="4"/>
        <v>2</v>
      </c>
      <c r="AC220" t="e">
        <f t="array" ref="AC220">IF(OR(G220&lt;M$3,G220&gt;M$7),G220,#N/A)</f>
        <v>#N/A</v>
      </c>
      <c r="AD220">
        <f t="shared" si="4"/>
        <v>3</v>
      </c>
      <c r="AE220" t="e">
        <f t="array" ref="AE220">IF(OR(H220&lt;N$3,H220&gt;N$7),H220,#N/A)</f>
        <v>#N/A</v>
      </c>
      <c r="AF220">
        <f t="shared" si="4"/>
        <v>4</v>
      </c>
      <c r="AG220" t="e">
        <f t="array" ref="AG220">IF(OR(I220&lt;O$3,I220&gt;O$7),I220,#N/A)</f>
        <v>#N/A</v>
      </c>
    </row>
    <row r="221" spans="1:33" x14ac:dyDescent="0.25">
      <c r="A221">
        <v>220</v>
      </c>
      <c r="B221">
        <f ca="1">SMALL(dados!A$23:A$422,A221)</f>
        <v>0.55076178243813156</v>
      </c>
      <c r="E221">
        <v>218</v>
      </c>
      <c r="F221">
        <v>15.181818181818182</v>
      </c>
      <c r="G221">
        <v>14.45</v>
      </c>
      <c r="H221">
        <v>14.8</v>
      </c>
      <c r="I221">
        <v>14.6</v>
      </c>
      <c r="Z221">
        <v>1</v>
      </c>
      <c r="AA221" t="e">
        <f t="array" ref="AA221">IF(OR(F221&lt;L$3,F221&gt;L$7),F221,#N/A)</f>
        <v>#N/A</v>
      </c>
      <c r="AB221">
        <f t="shared" si="4"/>
        <v>2</v>
      </c>
      <c r="AC221" t="e">
        <f t="array" ref="AC221">IF(OR(G221&lt;M$3,G221&gt;M$7),G221,#N/A)</f>
        <v>#N/A</v>
      </c>
      <c r="AD221">
        <f t="shared" si="4"/>
        <v>3</v>
      </c>
      <c r="AE221" t="e">
        <f t="array" ref="AE221">IF(OR(H221&lt;N$3,H221&gt;N$7),H221,#N/A)</f>
        <v>#N/A</v>
      </c>
      <c r="AF221">
        <f t="shared" si="4"/>
        <v>4</v>
      </c>
      <c r="AG221" t="e">
        <f t="array" ref="AG221">IF(OR(I221&lt;O$3,I221&gt;O$7),I221,#N/A)</f>
        <v>#N/A</v>
      </c>
    </row>
    <row r="222" spans="1:33" x14ac:dyDescent="0.25">
      <c r="A222">
        <v>221</v>
      </c>
      <c r="B222">
        <f ca="1">SMALL(dados!A$23:A$422,A222)</f>
        <v>0.55087220688848282</v>
      </c>
      <c r="E222">
        <v>219</v>
      </c>
      <c r="F222">
        <v>10.818181818181818</v>
      </c>
      <c r="G222">
        <v>13</v>
      </c>
      <c r="H222">
        <v>13.12</v>
      </c>
      <c r="I222">
        <v>13.81</v>
      </c>
      <c r="Z222">
        <v>1</v>
      </c>
      <c r="AA222" t="e">
        <f t="array" ref="AA222">IF(OR(F222&lt;L$3,F222&gt;L$7),F222,#N/A)</f>
        <v>#N/A</v>
      </c>
      <c r="AB222">
        <f t="shared" si="4"/>
        <v>2</v>
      </c>
      <c r="AC222" t="e">
        <f t="array" ref="AC222">IF(OR(G222&lt;M$3,G222&gt;M$7),G222,#N/A)</f>
        <v>#N/A</v>
      </c>
      <c r="AD222">
        <f t="shared" si="4"/>
        <v>3</v>
      </c>
      <c r="AE222" t="e">
        <f t="array" ref="AE222">IF(OR(H222&lt;N$3,H222&gt;N$7),H222,#N/A)</f>
        <v>#N/A</v>
      </c>
      <c r="AF222">
        <f t="shared" si="4"/>
        <v>4</v>
      </c>
      <c r="AG222" t="e">
        <f t="array" ref="AG222">IF(OR(I222&lt;O$3,I222&gt;O$7),I222,#N/A)</f>
        <v>#N/A</v>
      </c>
    </row>
    <row r="223" spans="1:33" x14ac:dyDescent="0.25">
      <c r="A223">
        <v>222</v>
      </c>
      <c r="B223">
        <f ca="1">SMALL(dados!A$23:A$422,A223)</f>
        <v>0.5561716833222935</v>
      </c>
      <c r="E223">
        <v>220</v>
      </c>
      <c r="F223">
        <v>10.454545454545455</v>
      </c>
      <c r="G223">
        <v>10.55</v>
      </c>
      <c r="H223">
        <v>13.68</v>
      </c>
      <c r="I223">
        <v>13.59</v>
      </c>
      <c r="Z223">
        <v>1</v>
      </c>
      <c r="AA223" t="e">
        <f t="array" ref="AA223">IF(OR(F223&lt;L$3,F223&gt;L$7),F223,#N/A)</f>
        <v>#N/A</v>
      </c>
      <c r="AB223">
        <f t="shared" si="4"/>
        <v>2</v>
      </c>
      <c r="AC223" t="e">
        <f t="array" ref="AC223">IF(OR(G223&lt;M$3,G223&gt;M$7),G223,#N/A)</f>
        <v>#N/A</v>
      </c>
      <c r="AD223">
        <f t="shared" si="4"/>
        <v>3</v>
      </c>
      <c r="AE223" t="e">
        <f t="array" ref="AE223">IF(OR(H223&lt;N$3,H223&gt;N$7),H223,#N/A)</f>
        <v>#N/A</v>
      </c>
      <c r="AF223">
        <f t="shared" si="4"/>
        <v>4</v>
      </c>
      <c r="AG223" t="e">
        <f t="array" ref="AG223">IF(OR(I223&lt;O$3,I223&gt;O$7),I223,#N/A)</f>
        <v>#N/A</v>
      </c>
    </row>
    <row r="224" spans="1:33" x14ac:dyDescent="0.25">
      <c r="A224">
        <v>223</v>
      </c>
      <c r="B224">
        <f ca="1">SMALL(dados!A$23:A$422,A224)</f>
        <v>0.55665586173305381</v>
      </c>
      <c r="E224">
        <v>221</v>
      </c>
      <c r="F224">
        <v>14.181818181818182</v>
      </c>
      <c r="G224">
        <v>13.35</v>
      </c>
      <c r="H224">
        <v>13.86</v>
      </c>
      <c r="I224">
        <v>14.02</v>
      </c>
      <c r="Z224">
        <v>1</v>
      </c>
      <c r="AA224" t="e">
        <f t="array" ref="AA224">IF(OR(F224&lt;L$3,F224&gt;L$7),F224,#N/A)</f>
        <v>#N/A</v>
      </c>
      <c r="AB224">
        <f t="shared" si="4"/>
        <v>2</v>
      </c>
      <c r="AC224" t="e">
        <f t="array" ref="AC224">IF(OR(G224&lt;M$3,G224&gt;M$7),G224,#N/A)</f>
        <v>#N/A</v>
      </c>
      <c r="AD224">
        <f t="shared" si="4"/>
        <v>3</v>
      </c>
      <c r="AE224" t="e">
        <f t="array" ref="AE224">IF(OR(H224&lt;N$3,H224&gt;N$7),H224,#N/A)</f>
        <v>#N/A</v>
      </c>
      <c r="AF224">
        <f t="shared" si="4"/>
        <v>4</v>
      </c>
      <c r="AG224" t="e">
        <f t="array" ref="AG224">IF(OR(I224&lt;O$3,I224&gt;O$7),I224,#N/A)</f>
        <v>#N/A</v>
      </c>
    </row>
    <row r="225" spans="1:33" x14ac:dyDescent="0.25">
      <c r="A225">
        <v>224</v>
      </c>
      <c r="B225">
        <f ca="1">SMALL(dados!A$23:A$422,A225)</f>
        <v>0.56135480385853476</v>
      </c>
      <c r="E225">
        <v>222</v>
      </c>
      <c r="F225">
        <v>16.363636363636363</v>
      </c>
      <c r="G225">
        <v>13.7</v>
      </c>
      <c r="H225">
        <v>14.84</v>
      </c>
      <c r="I225">
        <v>14.52</v>
      </c>
      <c r="Z225">
        <v>1</v>
      </c>
      <c r="AA225" t="e">
        <f t="array" ref="AA225">IF(OR(F225&lt;L$3,F225&gt;L$7),F225,#N/A)</f>
        <v>#N/A</v>
      </c>
      <c r="AB225">
        <f t="shared" si="4"/>
        <v>2</v>
      </c>
      <c r="AC225" t="e">
        <f t="array" ref="AC225">IF(OR(G225&lt;M$3,G225&gt;M$7),G225,#N/A)</f>
        <v>#N/A</v>
      </c>
      <c r="AD225">
        <f t="shared" si="4"/>
        <v>3</v>
      </c>
      <c r="AE225" t="e">
        <f t="array" ref="AE225">IF(OR(H225&lt;N$3,H225&gt;N$7),H225,#N/A)</f>
        <v>#N/A</v>
      </c>
      <c r="AF225">
        <f t="shared" si="4"/>
        <v>4</v>
      </c>
      <c r="AG225" t="e">
        <f t="array" ref="AG225">IF(OR(I225&lt;O$3,I225&gt;O$7),I225,#N/A)</f>
        <v>#N/A</v>
      </c>
    </row>
    <row r="226" spans="1:33" x14ac:dyDescent="0.25">
      <c r="A226">
        <v>225</v>
      </c>
      <c r="B226">
        <f ca="1">SMALL(dados!A$23:A$422,A226)</f>
        <v>0.56237348907760465</v>
      </c>
      <c r="E226">
        <v>223</v>
      </c>
      <c r="F226">
        <v>12.909090909090908</v>
      </c>
      <c r="G226">
        <v>12.7</v>
      </c>
      <c r="H226">
        <v>12.18</v>
      </c>
      <c r="I226">
        <v>13.25</v>
      </c>
      <c r="Z226">
        <v>1</v>
      </c>
      <c r="AA226" t="e">
        <f t="array" ref="AA226">IF(OR(F226&lt;L$3,F226&gt;L$7),F226,#N/A)</f>
        <v>#N/A</v>
      </c>
      <c r="AB226">
        <f t="shared" si="4"/>
        <v>2</v>
      </c>
      <c r="AC226" t="e">
        <f t="array" ref="AC226">IF(OR(G226&lt;M$3,G226&gt;M$7),G226,#N/A)</f>
        <v>#N/A</v>
      </c>
      <c r="AD226">
        <f t="shared" si="4"/>
        <v>3</v>
      </c>
      <c r="AE226" t="e">
        <f t="array" ref="AE226">IF(OR(H226&lt;N$3,H226&gt;N$7),H226,#N/A)</f>
        <v>#N/A</v>
      </c>
      <c r="AF226">
        <f t="shared" si="4"/>
        <v>4</v>
      </c>
      <c r="AG226" t="e">
        <f t="array" ref="AG226">IF(OR(I226&lt;O$3,I226&gt;O$7),I226,#N/A)</f>
        <v>#N/A</v>
      </c>
    </row>
    <row r="227" spans="1:33" x14ac:dyDescent="0.25">
      <c r="A227">
        <v>226</v>
      </c>
      <c r="B227">
        <f ca="1">SMALL(dados!A$23:A$422,A227)</f>
        <v>0.57141376731653881</v>
      </c>
      <c r="E227">
        <v>224</v>
      </c>
      <c r="F227">
        <v>13.363636363636363</v>
      </c>
      <c r="G227">
        <v>14</v>
      </c>
      <c r="H227">
        <v>14.04</v>
      </c>
      <c r="I227">
        <v>13.34</v>
      </c>
      <c r="Z227">
        <v>1</v>
      </c>
      <c r="AA227" t="e">
        <f t="array" ref="AA227">IF(OR(F227&lt;L$3,F227&gt;L$7),F227,#N/A)</f>
        <v>#N/A</v>
      </c>
      <c r="AB227">
        <f t="shared" si="4"/>
        <v>2</v>
      </c>
      <c r="AC227" t="e">
        <f t="array" ref="AC227">IF(OR(G227&lt;M$3,G227&gt;M$7),G227,#N/A)</f>
        <v>#N/A</v>
      </c>
      <c r="AD227">
        <f t="shared" si="4"/>
        <v>3</v>
      </c>
      <c r="AE227" t="e">
        <f t="array" ref="AE227">IF(OR(H227&lt;N$3,H227&gt;N$7),H227,#N/A)</f>
        <v>#N/A</v>
      </c>
      <c r="AF227">
        <f t="shared" si="4"/>
        <v>4</v>
      </c>
      <c r="AG227" t="e">
        <f t="array" ref="AG227">IF(OR(I227&lt;O$3,I227&gt;O$7),I227,#N/A)</f>
        <v>#N/A</v>
      </c>
    </row>
    <row r="228" spans="1:33" x14ac:dyDescent="0.25">
      <c r="A228">
        <v>227</v>
      </c>
      <c r="B228">
        <f ca="1">SMALL(dados!A$23:A$422,A228)</f>
        <v>0.5768447959284283</v>
      </c>
      <c r="E228">
        <v>225</v>
      </c>
      <c r="F228">
        <v>11.909090909090908</v>
      </c>
      <c r="G228">
        <v>12.25</v>
      </c>
      <c r="H228">
        <v>12.94</v>
      </c>
      <c r="I228">
        <v>13.43</v>
      </c>
      <c r="Z228">
        <v>1</v>
      </c>
      <c r="AA228" t="e">
        <f t="array" ref="AA228">IF(OR(F228&lt;L$3,F228&gt;L$7),F228,#N/A)</f>
        <v>#N/A</v>
      </c>
      <c r="AB228">
        <f t="shared" si="4"/>
        <v>2</v>
      </c>
      <c r="AC228" t="e">
        <f t="array" ref="AC228">IF(OR(G228&lt;M$3,G228&gt;M$7),G228,#N/A)</f>
        <v>#N/A</v>
      </c>
      <c r="AD228">
        <f t="shared" si="4"/>
        <v>3</v>
      </c>
      <c r="AE228" t="e">
        <f t="array" ref="AE228">IF(OR(H228&lt;N$3,H228&gt;N$7),H228,#N/A)</f>
        <v>#N/A</v>
      </c>
      <c r="AF228">
        <f t="shared" si="4"/>
        <v>4</v>
      </c>
      <c r="AG228" t="e">
        <f t="array" ref="AG228">IF(OR(I228&lt;O$3,I228&gt;O$7),I228,#N/A)</f>
        <v>#N/A</v>
      </c>
    </row>
    <row r="229" spans="1:33" x14ac:dyDescent="0.25">
      <c r="A229">
        <v>228</v>
      </c>
      <c r="B229">
        <f ca="1">SMALL(dados!A$23:A$422,A229)</f>
        <v>0.57789800372226408</v>
      </c>
      <c r="E229">
        <v>226</v>
      </c>
      <c r="F229">
        <v>13.727272727272727</v>
      </c>
      <c r="G229">
        <v>12.15</v>
      </c>
      <c r="H229">
        <v>13.1</v>
      </c>
      <c r="I229">
        <v>13.39</v>
      </c>
      <c r="Z229">
        <v>1</v>
      </c>
      <c r="AA229" t="e">
        <f t="array" ref="AA229">IF(OR(F229&lt;L$3,F229&gt;L$7),F229,#N/A)</f>
        <v>#N/A</v>
      </c>
      <c r="AB229">
        <f t="shared" si="4"/>
        <v>2</v>
      </c>
      <c r="AC229" t="e">
        <f t="array" ref="AC229">IF(OR(G229&lt;M$3,G229&gt;M$7),G229,#N/A)</f>
        <v>#N/A</v>
      </c>
      <c r="AD229">
        <f t="shared" si="4"/>
        <v>3</v>
      </c>
      <c r="AE229" t="e">
        <f t="array" ref="AE229">IF(OR(H229&lt;N$3,H229&gt;N$7),H229,#N/A)</f>
        <v>#N/A</v>
      </c>
      <c r="AF229">
        <f t="shared" si="4"/>
        <v>4</v>
      </c>
      <c r="AG229" t="e">
        <f t="array" ref="AG229">IF(OR(I229&lt;O$3,I229&gt;O$7),I229,#N/A)</f>
        <v>#N/A</v>
      </c>
    </row>
    <row r="230" spans="1:33" x14ac:dyDescent="0.25">
      <c r="A230">
        <v>229</v>
      </c>
      <c r="B230">
        <f ca="1">SMALL(dados!A$23:A$422,A230)</f>
        <v>0.58208388342116046</v>
      </c>
      <c r="E230">
        <v>227</v>
      </c>
      <c r="F230">
        <v>13</v>
      </c>
      <c r="G230">
        <v>15.2</v>
      </c>
      <c r="H230">
        <v>13.32</v>
      </c>
      <c r="I230">
        <v>14.43</v>
      </c>
      <c r="Z230">
        <v>1</v>
      </c>
      <c r="AA230" t="e">
        <f t="array" ref="AA230">IF(OR(F230&lt;L$3,F230&gt;L$7),F230,#N/A)</f>
        <v>#N/A</v>
      </c>
      <c r="AB230">
        <f t="shared" si="4"/>
        <v>2</v>
      </c>
      <c r="AC230" t="e">
        <f t="array" ref="AC230">IF(OR(G230&lt;M$3,G230&gt;M$7),G230,#N/A)</f>
        <v>#N/A</v>
      </c>
      <c r="AD230">
        <f t="shared" si="4"/>
        <v>3</v>
      </c>
      <c r="AE230" t="e">
        <f t="array" ref="AE230">IF(OR(H230&lt;N$3,H230&gt;N$7),H230,#N/A)</f>
        <v>#N/A</v>
      </c>
      <c r="AF230">
        <f t="shared" si="4"/>
        <v>4</v>
      </c>
      <c r="AG230" t="e">
        <f t="array" ref="AG230">IF(OR(I230&lt;O$3,I230&gt;O$7),I230,#N/A)</f>
        <v>#N/A</v>
      </c>
    </row>
    <row r="231" spans="1:33" x14ac:dyDescent="0.25">
      <c r="A231">
        <v>230</v>
      </c>
      <c r="B231">
        <f ca="1">SMALL(dados!A$23:A$422,A231)</f>
        <v>0.58514002426200729</v>
      </c>
      <c r="E231">
        <v>228</v>
      </c>
      <c r="F231">
        <v>12.545454545454545</v>
      </c>
      <c r="G231">
        <v>11.85</v>
      </c>
      <c r="H231">
        <v>13.52</v>
      </c>
      <c r="I231">
        <v>13.07</v>
      </c>
      <c r="Z231">
        <v>1</v>
      </c>
      <c r="AA231" t="e">
        <f t="array" ref="AA231">IF(OR(F231&lt;L$3,F231&gt;L$7),F231,#N/A)</f>
        <v>#N/A</v>
      </c>
      <c r="AB231">
        <f t="shared" si="4"/>
        <v>2</v>
      </c>
      <c r="AC231" t="e">
        <f t="array" ref="AC231">IF(OR(G231&lt;M$3,G231&gt;M$7),G231,#N/A)</f>
        <v>#N/A</v>
      </c>
      <c r="AD231">
        <f t="shared" si="4"/>
        <v>3</v>
      </c>
      <c r="AE231" t="e">
        <f t="array" ref="AE231">IF(OR(H231&lt;N$3,H231&gt;N$7),H231,#N/A)</f>
        <v>#N/A</v>
      </c>
      <c r="AF231">
        <f t="shared" si="4"/>
        <v>4</v>
      </c>
      <c r="AG231" t="e">
        <f t="array" ref="AG231">IF(OR(I231&lt;O$3,I231&gt;O$7),I231,#N/A)</f>
        <v>#N/A</v>
      </c>
    </row>
    <row r="232" spans="1:33" x14ac:dyDescent="0.25">
      <c r="A232">
        <v>231</v>
      </c>
      <c r="B232">
        <f ca="1">SMALL(dados!A$23:A$422,A232)</f>
        <v>0.58705640800845504</v>
      </c>
      <c r="E232">
        <v>229</v>
      </c>
      <c r="F232">
        <v>12.454545454545455</v>
      </c>
      <c r="G232">
        <v>13.6</v>
      </c>
      <c r="H232">
        <v>14.04</v>
      </c>
      <c r="I232">
        <v>12.61</v>
      </c>
      <c r="Z232">
        <v>1</v>
      </c>
      <c r="AA232" t="e">
        <f t="array" ref="AA232">IF(OR(F232&lt;L$3,F232&gt;L$7),F232,#N/A)</f>
        <v>#N/A</v>
      </c>
      <c r="AB232">
        <f t="shared" si="4"/>
        <v>2</v>
      </c>
      <c r="AC232" t="e">
        <f t="array" ref="AC232">IF(OR(G232&lt;M$3,G232&gt;M$7),G232,#N/A)</f>
        <v>#N/A</v>
      </c>
      <c r="AD232">
        <f t="shared" si="4"/>
        <v>3</v>
      </c>
      <c r="AE232" t="e">
        <f t="array" ref="AE232">IF(OR(H232&lt;N$3,H232&gt;N$7),H232,#N/A)</f>
        <v>#N/A</v>
      </c>
      <c r="AF232">
        <f t="shared" si="4"/>
        <v>4</v>
      </c>
      <c r="AG232" t="e">
        <f t="array" ref="AG232">IF(OR(I232&lt;O$3,I232&gt;O$7),I232,#N/A)</f>
        <v>#N/A</v>
      </c>
    </row>
    <row r="233" spans="1:33" x14ac:dyDescent="0.25">
      <c r="A233">
        <v>232</v>
      </c>
      <c r="B233">
        <f ca="1">SMALL(dados!A$23:A$422,A233)</f>
        <v>0.58707386212704638</v>
      </c>
      <c r="E233">
        <v>230</v>
      </c>
      <c r="F233">
        <v>12.454545454545455</v>
      </c>
      <c r="G233">
        <v>13.55</v>
      </c>
      <c r="H233">
        <v>15.3</v>
      </c>
      <c r="I233">
        <v>13.92</v>
      </c>
      <c r="Z233">
        <v>1</v>
      </c>
      <c r="AA233" t="e">
        <f t="array" ref="AA233">IF(OR(F233&lt;L$3,F233&gt;L$7),F233,#N/A)</f>
        <v>#N/A</v>
      </c>
      <c r="AB233">
        <f t="shared" si="4"/>
        <v>2</v>
      </c>
      <c r="AC233" t="e">
        <f t="array" ref="AC233">IF(OR(G233&lt;M$3,G233&gt;M$7),G233,#N/A)</f>
        <v>#N/A</v>
      </c>
      <c r="AD233">
        <f t="shared" si="4"/>
        <v>3</v>
      </c>
      <c r="AE233" t="e">
        <f t="array" ref="AE233">IF(OR(H233&lt;N$3,H233&gt;N$7),H233,#N/A)</f>
        <v>#N/A</v>
      </c>
      <c r="AF233">
        <f t="shared" si="4"/>
        <v>4</v>
      </c>
      <c r="AG233" t="e">
        <f t="array" ref="AG233">IF(OR(I233&lt;O$3,I233&gt;O$7),I233,#N/A)</f>
        <v>#N/A</v>
      </c>
    </row>
    <row r="234" spans="1:33" x14ac:dyDescent="0.25">
      <c r="A234">
        <v>233</v>
      </c>
      <c r="B234">
        <f ca="1">SMALL(dados!A$23:A$422,A234)</f>
        <v>0.59109483223137593</v>
      </c>
      <c r="E234">
        <v>231</v>
      </c>
      <c r="F234">
        <v>16.454545454545453</v>
      </c>
      <c r="G234">
        <v>16.75</v>
      </c>
      <c r="H234">
        <v>14.04</v>
      </c>
      <c r="I234">
        <v>14.46</v>
      </c>
      <c r="Z234">
        <v>1</v>
      </c>
      <c r="AA234" t="e">
        <f t="array" ref="AA234">IF(OR(F234&lt;L$3,F234&gt;L$7),F234,#N/A)</f>
        <v>#N/A</v>
      </c>
      <c r="AB234">
        <f t="shared" si="4"/>
        <v>2</v>
      </c>
      <c r="AC234" t="e">
        <f t="array" ref="AC234">IF(OR(G234&lt;M$3,G234&gt;M$7),G234,#N/A)</f>
        <v>#N/A</v>
      </c>
      <c r="AD234">
        <f t="shared" si="4"/>
        <v>3</v>
      </c>
      <c r="AE234" t="e">
        <f t="array" ref="AE234">IF(OR(H234&lt;N$3,H234&gt;N$7),H234,#N/A)</f>
        <v>#N/A</v>
      </c>
      <c r="AF234">
        <f t="shared" si="4"/>
        <v>4</v>
      </c>
      <c r="AG234" t="e">
        <f t="array" ref="AG234">IF(OR(I234&lt;O$3,I234&gt;O$7),I234,#N/A)</f>
        <v>#N/A</v>
      </c>
    </row>
    <row r="235" spans="1:33" x14ac:dyDescent="0.25">
      <c r="A235">
        <v>234</v>
      </c>
      <c r="B235">
        <f ca="1">SMALL(dados!A$23:A$422,A235)</f>
        <v>0.59120818897042049</v>
      </c>
      <c r="E235">
        <v>232</v>
      </c>
      <c r="F235">
        <v>11.454545454545455</v>
      </c>
      <c r="G235">
        <v>13.95</v>
      </c>
      <c r="H235">
        <v>13.64</v>
      </c>
      <c r="I235">
        <v>12.92</v>
      </c>
      <c r="Z235">
        <v>1</v>
      </c>
      <c r="AA235" t="e">
        <f t="array" ref="AA235">IF(OR(F235&lt;L$3,F235&gt;L$7),F235,#N/A)</f>
        <v>#N/A</v>
      </c>
      <c r="AB235">
        <f t="shared" si="4"/>
        <v>2</v>
      </c>
      <c r="AC235" t="e">
        <f t="array" ref="AC235">IF(OR(G235&lt;M$3,G235&gt;M$7),G235,#N/A)</f>
        <v>#N/A</v>
      </c>
      <c r="AD235">
        <f t="shared" si="4"/>
        <v>3</v>
      </c>
      <c r="AE235" t="e">
        <f t="array" ref="AE235">IF(OR(H235&lt;N$3,H235&gt;N$7),H235,#N/A)</f>
        <v>#N/A</v>
      </c>
      <c r="AF235">
        <f t="shared" si="4"/>
        <v>4</v>
      </c>
      <c r="AG235" t="e">
        <f t="array" ref="AG235">IF(OR(I235&lt;O$3,I235&gt;O$7),I235,#N/A)</f>
        <v>#N/A</v>
      </c>
    </row>
    <row r="236" spans="1:33" x14ac:dyDescent="0.25">
      <c r="A236">
        <v>235</v>
      </c>
      <c r="B236">
        <f ca="1">SMALL(dados!A$23:A$422,A236)</f>
        <v>0.59802747090721864</v>
      </c>
      <c r="E236">
        <v>233</v>
      </c>
      <c r="F236">
        <v>9.545454545454545</v>
      </c>
      <c r="G236">
        <v>11.05</v>
      </c>
      <c r="H236">
        <v>12.8</v>
      </c>
      <c r="I236">
        <v>13.14</v>
      </c>
      <c r="Z236">
        <v>1</v>
      </c>
      <c r="AA236" t="e">
        <f t="array" ref="AA236">IF(OR(F236&lt;L$3,F236&gt;L$7),F236,#N/A)</f>
        <v>#N/A</v>
      </c>
      <c r="AB236">
        <f t="shared" si="4"/>
        <v>2</v>
      </c>
      <c r="AC236" t="e">
        <f t="array" ref="AC236">IF(OR(G236&lt;M$3,G236&gt;M$7),G236,#N/A)</f>
        <v>#N/A</v>
      </c>
      <c r="AD236">
        <f t="shared" si="4"/>
        <v>3</v>
      </c>
      <c r="AE236" t="e">
        <f t="array" ref="AE236">IF(OR(H236&lt;N$3,H236&gt;N$7),H236,#N/A)</f>
        <v>#N/A</v>
      </c>
      <c r="AF236">
        <f t="shared" si="4"/>
        <v>4</v>
      </c>
      <c r="AG236" t="e">
        <f t="array" ref="AG236">IF(OR(I236&lt;O$3,I236&gt;O$7),I236,#N/A)</f>
        <v>#N/A</v>
      </c>
    </row>
    <row r="237" spans="1:33" x14ac:dyDescent="0.25">
      <c r="A237">
        <v>236</v>
      </c>
      <c r="B237">
        <f ca="1">SMALL(dados!A$23:A$422,A237)</f>
        <v>0.59935627286264137</v>
      </c>
      <c r="E237">
        <v>234</v>
      </c>
      <c r="F237">
        <v>13</v>
      </c>
      <c r="G237">
        <v>12.2</v>
      </c>
      <c r="H237">
        <v>13.92</v>
      </c>
      <c r="I237">
        <v>14.48</v>
      </c>
      <c r="Z237">
        <v>1</v>
      </c>
      <c r="AA237" t="e">
        <f t="array" ref="AA237">IF(OR(F237&lt;L$3,F237&gt;L$7),F237,#N/A)</f>
        <v>#N/A</v>
      </c>
      <c r="AB237">
        <f t="shared" si="4"/>
        <v>2</v>
      </c>
      <c r="AC237" t="e">
        <f t="array" ref="AC237">IF(OR(G237&lt;M$3,G237&gt;M$7),G237,#N/A)</f>
        <v>#N/A</v>
      </c>
      <c r="AD237">
        <f t="shared" si="4"/>
        <v>3</v>
      </c>
      <c r="AE237" t="e">
        <f t="array" ref="AE237">IF(OR(H237&lt;N$3,H237&gt;N$7),H237,#N/A)</f>
        <v>#N/A</v>
      </c>
      <c r="AF237">
        <f t="shared" si="4"/>
        <v>4</v>
      </c>
      <c r="AG237" t="e">
        <f t="array" ref="AG237">IF(OR(I237&lt;O$3,I237&gt;O$7),I237,#N/A)</f>
        <v>#N/A</v>
      </c>
    </row>
    <row r="238" spans="1:33" x14ac:dyDescent="0.25">
      <c r="A238">
        <v>237</v>
      </c>
      <c r="B238">
        <f ca="1">SMALL(dados!A$23:A$422,A238)</f>
        <v>0.60387898349461822</v>
      </c>
      <c r="E238">
        <v>235</v>
      </c>
      <c r="F238">
        <v>16.90909090909091</v>
      </c>
      <c r="G238">
        <v>16.899999999999999</v>
      </c>
      <c r="H238">
        <v>14.32</v>
      </c>
      <c r="I238">
        <v>14.05</v>
      </c>
      <c r="Z238">
        <v>1</v>
      </c>
      <c r="AA238" t="e">
        <f t="array" ref="AA238">IF(OR(F238&lt;L$3,F238&gt;L$7),F238,#N/A)</f>
        <v>#N/A</v>
      </c>
      <c r="AB238">
        <f t="shared" si="4"/>
        <v>2</v>
      </c>
      <c r="AC238" t="e">
        <f t="array" ref="AC238">IF(OR(G238&lt;M$3,G238&gt;M$7),G238,#N/A)</f>
        <v>#N/A</v>
      </c>
      <c r="AD238">
        <f t="shared" si="4"/>
        <v>3</v>
      </c>
      <c r="AE238" t="e">
        <f t="array" ref="AE238">IF(OR(H238&lt;N$3,H238&gt;N$7),H238,#N/A)</f>
        <v>#N/A</v>
      </c>
      <c r="AF238">
        <f t="shared" si="4"/>
        <v>4</v>
      </c>
      <c r="AG238" t="e">
        <f t="array" ref="AG238">IF(OR(I238&lt;O$3,I238&gt;O$7),I238,#N/A)</f>
        <v>#N/A</v>
      </c>
    </row>
    <row r="239" spans="1:33" x14ac:dyDescent="0.25">
      <c r="A239">
        <v>238</v>
      </c>
      <c r="B239">
        <f ca="1">SMALL(dados!A$23:A$422,A239)</f>
        <v>0.60670456366769465</v>
      </c>
      <c r="E239">
        <v>236</v>
      </c>
      <c r="F239">
        <v>11.090909090909092</v>
      </c>
      <c r="G239">
        <v>11.7</v>
      </c>
      <c r="H239">
        <v>13.7</v>
      </c>
      <c r="I239">
        <v>13.55</v>
      </c>
      <c r="Z239">
        <v>1</v>
      </c>
      <c r="AA239" t="e">
        <f t="array" ref="AA239">IF(OR(F239&lt;L$3,F239&gt;L$7),F239,#N/A)</f>
        <v>#N/A</v>
      </c>
      <c r="AB239">
        <f t="shared" si="4"/>
        <v>2</v>
      </c>
      <c r="AC239" t="e">
        <f t="array" ref="AC239">IF(OR(G239&lt;M$3,G239&gt;M$7),G239,#N/A)</f>
        <v>#N/A</v>
      </c>
      <c r="AD239">
        <f t="shared" si="4"/>
        <v>3</v>
      </c>
      <c r="AE239" t="e">
        <f t="array" ref="AE239">IF(OR(H239&lt;N$3,H239&gt;N$7),H239,#N/A)</f>
        <v>#N/A</v>
      </c>
      <c r="AF239">
        <f t="shared" si="4"/>
        <v>4</v>
      </c>
      <c r="AG239" t="e">
        <f t="array" ref="AG239">IF(OR(I239&lt;O$3,I239&gt;O$7),I239,#N/A)</f>
        <v>#N/A</v>
      </c>
    </row>
    <row r="240" spans="1:33" x14ac:dyDescent="0.25">
      <c r="A240">
        <v>239</v>
      </c>
      <c r="B240">
        <f ca="1">SMALL(dados!A$23:A$422,A240)</f>
        <v>0.61139268120474133</v>
      </c>
      <c r="E240">
        <v>237</v>
      </c>
      <c r="F240">
        <v>12.636363636363637</v>
      </c>
      <c r="G240">
        <v>11.75</v>
      </c>
      <c r="H240">
        <v>13</v>
      </c>
      <c r="I240">
        <v>13.36</v>
      </c>
      <c r="Z240">
        <v>1</v>
      </c>
      <c r="AA240" t="e">
        <f t="array" ref="AA240">IF(OR(F240&lt;L$3,F240&gt;L$7),F240,#N/A)</f>
        <v>#N/A</v>
      </c>
      <c r="AB240">
        <f t="shared" si="4"/>
        <v>2</v>
      </c>
      <c r="AC240" t="e">
        <f t="array" ref="AC240">IF(OR(G240&lt;M$3,G240&gt;M$7),G240,#N/A)</f>
        <v>#N/A</v>
      </c>
      <c r="AD240">
        <f t="shared" si="4"/>
        <v>3</v>
      </c>
      <c r="AE240" t="e">
        <f t="array" ref="AE240">IF(OR(H240&lt;N$3,H240&gt;N$7),H240,#N/A)</f>
        <v>#N/A</v>
      </c>
      <c r="AF240">
        <f t="shared" si="4"/>
        <v>4</v>
      </c>
      <c r="AG240" t="e">
        <f t="array" ref="AG240">IF(OR(I240&lt;O$3,I240&gt;O$7),I240,#N/A)</f>
        <v>#N/A</v>
      </c>
    </row>
    <row r="241" spans="1:33" x14ac:dyDescent="0.25">
      <c r="A241">
        <v>240</v>
      </c>
      <c r="B241">
        <f ca="1">SMALL(dados!A$23:A$422,A241)</f>
        <v>0.61194883370644915</v>
      </c>
      <c r="E241">
        <v>238</v>
      </c>
      <c r="F241">
        <v>14</v>
      </c>
      <c r="G241">
        <v>12.9</v>
      </c>
      <c r="H241">
        <v>14.72</v>
      </c>
      <c r="I241">
        <v>13.27</v>
      </c>
      <c r="Z241">
        <v>1</v>
      </c>
      <c r="AA241" t="e">
        <f t="array" ref="AA241">IF(OR(F241&lt;L$3,F241&gt;L$7),F241,#N/A)</f>
        <v>#N/A</v>
      </c>
      <c r="AB241">
        <f t="shared" si="4"/>
        <v>2</v>
      </c>
      <c r="AC241" t="e">
        <f t="array" ref="AC241">IF(OR(G241&lt;M$3,G241&gt;M$7),G241,#N/A)</f>
        <v>#N/A</v>
      </c>
      <c r="AD241">
        <f t="shared" si="4"/>
        <v>3</v>
      </c>
      <c r="AE241" t="e">
        <f t="array" ref="AE241">IF(OR(H241&lt;N$3,H241&gt;N$7),H241,#N/A)</f>
        <v>#N/A</v>
      </c>
      <c r="AF241">
        <f t="shared" si="4"/>
        <v>4</v>
      </c>
      <c r="AG241" t="e">
        <f t="array" ref="AG241">IF(OR(I241&lt;O$3,I241&gt;O$7),I241,#N/A)</f>
        <v>#N/A</v>
      </c>
    </row>
    <row r="242" spans="1:33" x14ac:dyDescent="0.25">
      <c r="A242">
        <v>241</v>
      </c>
      <c r="B242">
        <f ca="1">SMALL(dados!A$23:A$422,A242)</f>
        <v>0.61378528751816452</v>
      </c>
      <c r="E242">
        <v>239</v>
      </c>
      <c r="F242">
        <v>14.363636363636363</v>
      </c>
      <c r="G242">
        <v>12.3</v>
      </c>
      <c r="H242">
        <v>14.22</v>
      </c>
      <c r="I242">
        <v>13.61</v>
      </c>
      <c r="Z242">
        <v>1</v>
      </c>
      <c r="AA242" t="e">
        <f t="array" ref="AA242">IF(OR(F242&lt;L$3,F242&gt;L$7),F242,#N/A)</f>
        <v>#N/A</v>
      </c>
      <c r="AB242">
        <f t="shared" si="4"/>
        <v>2</v>
      </c>
      <c r="AC242" t="e">
        <f t="array" ref="AC242">IF(OR(G242&lt;M$3,G242&gt;M$7),G242,#N/A)</f>
        <v>#N/A</v>
      </c>
      <c r="AD242">
        <f t="shared" si="4"/>
        <v>3</v>
      </c>
      <c r="AE242" t="e">
        <f t="array" ref="AE242">IF(OR(H242&lt;N$3,H242&gt;N$7),H242,#N/A)</f>
        <v>#N/A</v>
      </c>
      <c r="AF242">
        <f t="shared" si="4"/>
        <v>4</v>
      </c>
      <c r="AG242" t="e">
        <f t="array" ref="AG242">IF(OR(I242&lt;O$3,I242&gt;O$7),I242,#N/A)</f>
        <v>#N/A</v>
      </c>
    </row>
    <row r="243" spans="1:33" x14ac:dyDescent="0.25">
      <c r="A243">
        <v>242</v>
      </c>
      <c r="B243">
        <f ca="1">SMALL(dados!A$23:A$422,A243)</f>
        <v>0.61983125946434847</v>
      </c>
      <c r="E243">
        <v>240</v>
      </c>
      <c r="F243">
        <v>13.181818181818182</v>
      </c>
      <c r="G243">
        <v>15.6</v>
      </c>
      <c r="H243">
        <v>12.72</v>
      </c>
      <c r="I243">
        <v>13.07</v>
      </c>
      <c r="Z243">
        <v>1</v>
      </c>
      <c r="AA243" t="e">
        <f t="array" ref="AA243">IF(OR(F243&lt;L$3,F243&gt;L$7),F243,#N/A)</f>
        <v>#N/A</v>
      </c>
      <c r="AB243">
        <f t="shared" si="4"/>
        <v>2</v>
      </c>
      <c r="AC243" t="e">
        <f t="array" ref="AC243">IF(OR(G243&lt;M$3,G243&gt;M$7),G243,#N/A)</f>
        <v>#N/A</v>
      </c>
      <c r="AD243">
        <f t="shared" si="4"/>
        <v>3</v>
      </c>
      <c r="AE243" t="e">
        <f t="array" ref="AE243">IF(OR(H243&lt;N$3,H243&gt;N$7),H243,#N/A)</f>
        <v>#N/A</v>
      </c>
      <c r="AF243">
        <f t="shared" si="4"/>
        <v>4</v>
      </c>
      <c r="AG243" t="e">
        <f t="array" ref="AG243">IF(OR(I243&lt;O$3,I243&gt;O$7),I243,#N/A)</f>
        <v>#N/A</v>
      </c>
    </row>
    <row r="244" spans="1:33" x14ac:dyDescent="0.25">
      <c r="A244">
        <v>243</v>
      </c>
      <c r="B244">
        <f ca="1">SMALL(dados!A$23:A$422,A244)</f>
        <v>0.61999336620037337</v>
      </c>
      <c r="E244">
        <v>241</v>
      </c>
      <c r="F244">
        <v>17.454545454545453</v>
      </c>
      <c r="G244">
        <v>14.5</v>
      </c>
      <c r="H244">
        <v>14.44</v>
      </c>
      <c r="I244">
        <v>15.48</v>
      </c>
      <c r="Z244">
        <v>1</v>
      </c>
      <c r="AA244" t="e">
        <f t="array" ref="AA244">IF(OR(F244&lt;L$3,F244&gt;L$7),F244,#N/A)</f>
        <v>#N/A</v>
      </c>
      <c r="AB244">
        <f t="shared" si="4"/>
        <v>2</v>
      </c>
      <c r="AC244" t="e">
        <f t="array" ref="AC244">IF(OR(G244&lt;M$3,G244&gt;M$7),G244,#N/A)</f>
        <v>#N/A</v>
      </c>
      <c r="AD244">
        <f t="shared" si="4"/>
        <v>3</v>
      </c>
      <c r="AE244" t="e">
        <f t="array" ref="AE244">IF(OR(H244&lt;N$3,H244&gt;N$7),H244,#N/A)</f>
        <v>#N/A</v>
      </c>
      <c r="AF244">
        <f t="shared" si="4"/>
        <v>4</v>
      </c>
      <c r="AG244" t="e">
        <f t="array" ref="AG244">IF(OR(I244&lt;O$3,I244&gt;O$7),I244,#N/A)</f>
        <v>#N/A</v>
      </c>
    </row>
    <row r="245" spans="1:33" x14ac:dyDescent="0.25">
      <c r="A245">
        <v>244</v>
      </c>
      <c r="B245">
        <f ca="1">SMALL(dados!A$23:A$422,A245)</f>
        <v>0.62062730486507822</v>
      </c>
      <c r="E245">
        <v>242</v>
      </c>
      <c r="F245">
        <v>14.909090909090908</v>
      </c>
      <c r="G245">
        <v>13.3</v>
      </c>
      <c r="H245">
        <v>13.6</v>
      </c>
      <c r="I245">
        <v>13.77</v>
      </c>
      <c r="Z245">
        <v>1</v>
      </c>
      <c r="AA245" t="e">
        <f t="array" ref="AA245">IF(OR(F245&lt;L$3,F245&gt;L$7),F245,#N/A)</f>
        <v>#N/A</v>
      </c>
      <c r="AB245">
        <f t="shared" si="4"/>
        <v>2</v>
      </c>
      <c r="AC245" t="e">
        <f t="array" ref="AC245">IF(OR(G245&lt;M$3,G245&gt;M$7),G245,#N/A)</f>
        <v>#N/A</v>
      </c>
      <c r="AD245">
        <f t="shared" si="4"/>
        <v>3</v>
      </c>
      <c r="AE245" t="e">
        <f t="array" ref="AE245">IF(OR(H245&lt;N$3,H245&gt;N$7),H245,#N/A)</f>
        <v>#N/A</v>
      </c>
      <c r="AF245">
        <f t="shared" si="4"/>
        <v>4</v>
      </c>
      <c r="AG245" t="e">
        <f t="array" ref="AG245">IF(OR(I245&lt;O$3,I245&gt;O$7),I245,#N/A)</f>
        <v>#N/A</v>
      </c>
    </row>
    <row r="246" spans="1:33" x14ac:dyDescent="0.25">
      <c r="A246">
        <v>245</v>
      </c>
      <c r="B246">
        <f ca="1">SMALL(dados!A$23:A$422,A246)</f>
        <v>0.62199321003722097</v>
      </c>
      <c r="E246">
        <v>243</v>
      </c>
      <c r="F246">
        <v>13.727272727272727</v>
      </c>
      <c r="G246">
        <v>13.3</v>
      </c>
      <c r="H246">
        <v>13.54</v>
      </c>
      <c r="I246">
        <v>14.32</v>
      </c>
      <c r="Z246">
        <v>1</v>
      </c>
      <c r="AA246" t="e">
        <f t="array" ref="AA246">IF(OR(F246&lt;L$3,F246&gt;L$7),F246,#N/A)</f>
        <v>#N/A</v>
      </c>
      <c r="AB246">
        <f t="shared" si="4"/>
        <v>2</v>
      </c>
      <c r="AC246" t="e">
        <f t="array" ref="AC246">IF(OR(G246&lt;M$3,G246&gt;M$7),G246,#N/A)</f>
        <v>#N/A</v>
      </c>
      <c r="AD246">
        <f t="shared" si="4"/>
        <v>3</v>
      </c>
      <c r="AE246" t="e">
        <f t="array" ref="AE246">IF(OR(H246&lt;N$3,H246&gt;N$7),H246,#N/A)</f>
        <v>#N/A</v>
      </c>
      <c r="AF246">
        <f t="shared" si="4"/>
        <v>4</v>
      </c>
      <c r="AG246" t="e">
        <f t="array" ref="AG246">IF(OR(I246&lt;O$3,I246&gt;O$7),I246,#N/A)</f>
        <v>#N/A</v>
      </c>
    </row>
    <row r="247" spans="1:33" x14ac:dyDescent="0.25">
      <c r="A247">
        <v>246</v>
      </c>
      <c r="B247">
        <f ca="1">SMALL(dados!A$23:A$422,A247)</f>
        <v>0.62210183349479697</v>
      </c>
      <c r="E247">
        <v>244</v>
      </c>
      <c r="F247">
        <v>11.090909090909092</v>
      </c>
      <c r="G247">
        <v>12.7</v>
      </c>
      <c r="H247">
        <v>15.04</v>
      </c>
      <c r="I247">
        <v>14.1</v>
      </c>
      <c r="Z247">
        <v>1</v>
      </c>
      <c r="AA247" t="e">
        <f t="array" ref="AA247">IF(OR(F247&lt;L$3,F247&gt;L$7),F247,#N/A)</f>
        <v>#N/A</v>
      </c>
      <c r="AB247">
        <f t="shared" si="4"/>
        <v>2</v>
      </c>
      <c r="AC247" t="e">
        <f t="array" ref="AC247">IF(OR(G247&lt;M$3,G247&gt;M$7),G247,#N/A)</f>
        <v>#N/A</v>
      </c>
      <c r="AD247">
        <f t="shared" si="4"/>
        <v>3</v>
      </c>
      <c r="AE247" t="e">
        <f t="array" ref="AE247">IF(OR(H247&lt;N$3,H247&gt;N$7),H247,#N/A)</f>
        <v>#N/A</v>
      </c>
      <c r="AF247">
        <f t="shared" si="4"/>
        <v>4</v>
      </c>
      <c r="AG247" t="e">
        <f t="array" ref="AG247">IF(OR(I247&lt;O$3,I247&gt;O$7),I247,#N/A)</f>
        <v>#N/A</v>
      </c>
    </row>
    <row r="248" spans="1:33" x14ac:dyDescent="0.25">
      <c r="A248">
        <v>247</v>
      </c>
      <c r="B248">
        <f ca="1">SMALL(dados!A$23:A$422,A248)</f>
        <v>0.62575226704197184</v>
      </c>
      <c r="E248">
        <v>245</v>
      </c>
      <c r="F248">
        <v>15.363636363636363</v>
      </c>
      <c r="G248">
        <v>16.399999999999999</v>
      </c>
      <c r="H248">
        <v>13.64</v>
      </c>
      <c r="I248">
        <v>13.28</v>
      </c>
      <c r="Z248">
        <v>1</v>
      </c>
      <c r="AA248" t="e">
        <f t="array" ref="AA248">IF(OR(F248&lt;L$3,F248&gt;L$7),F248,#N/A)</f>
        <v>#N/A</v>
      </c>
      <c r="AB248">
        <f t="shared" si="4"/>
        <v>2</v>
      </c>
      <c r="AC248" t="e">
        <f t="array" ref="AC248">IF(OR(G248&lt;M$3,G248&gt;M$7),G248,#N/A)</f>
        <v>#N/A</v>
      </c>
      <c r="AD248">
        <f t="shared" si="4"/>
        <v>3</v>
      </c>
      <c r="AE248" t="e">
        <f t="array" ref="AE248">IF(OR(H248&lt;N$3,H248&gt;N$7),H248,#N/A)</f>
        <v>#N/A</v>
      </c>
      <c r="AF248">
        <f t="shared" si="4"/>
        <v>4</v>
      </c>
      <c r="AG248" t="e">
        <f t="array" ref="AG248">IF(OR(I248&lt;O$3,I248&gt;O$7),I248,#N/A)</f>
        <v>#N/A</v>
      </c>
    </row>
    <row r="249" spans="1:33" x14ac:dyDescent="0.25">
      <c r="A249">
        <v>248</v>
      </c>
      <c r="B249">
        <f ca="1">SMALL(dados!A$23:A$422,A249)</f>
        <v>0.62587584342628455</v>
      </c>
      <c r="E249">
        <v>246</v>
      </c>
      <c r="F249">
        <v>15.636363636363637</v>
      </c>
      <c r="G249">
        <v>14.85</v>
      </c>
      <c r="H249">
        <v>12.58</v>
      </c>
      <c r="I249">
        <v>13.65</v>
      </c>
      <c r="Z249">
        <v>1</v>
      </c>
      <c r="AA249" t="e">
        <f t="array" ref="AA249">IF(OR(F249&lt;L$3,F249&gt;L$7),F249,#N/A)</f>
        <v>#N/A</v>
      </c>
      <c r="AB249">
        <f t="shared" si="4"/>
        <v>2</v>
      </c>
      <c r="AC249" t="e">
        <f t="array" ref="AC249">IF(OR(G249&lt;M$3,G249&gt;M$7),G249,#N/A)</f>
        <v>#N/A</v>
      </c>
      <c r="AD249">
        <f t="shared" si="4"/>
        <v>3</v>
      </c>
      <c r="AE249" t="e">
        <f t="array" ref="AE249">IF(OR(H249&lt;N$3,H249&gt;N$7),H249,#N/A)</f>
        <v>#N/A</v>
      </c>
      <c r="AF249">
        <f t="shared" si="4"/>
        <v>4</v>
      </c>
      <c r="AG249" t="e">
        <f t="array" ref="AG249">IF(OR(I249&lt;O$3,I249&gt;O$7),I249,#N/A)</f>
        <v>#N/A</v>
      </c>
    </row>
    <row r="250" spans="1:33" x14ac:dyDescent="0.25">
      <c r="A250">
        <v>249</v>
      </c>
      <c r="B250">
        <f ca="1">SMALL(dados!A$23:A$422,A250)</f>
        <v>0.62795509174576947</v>
      </c>
      <c r="E250">
        <v>247</v>
      </c>
      <c r="F250">
        <v>12.909090909090908</v>
      </c>
      <c r="G250">
        <v>13.75</v>
      </c>
      <c r="H250">
        <v>13.1</v>
      </c>
      <c r="I250">
        <v>14.42</v>
      </c>
      <c r="Z250">
        <v>1</v>
      </c>
      <c r="AA250" t="e">
        <f t="array" ref="AA250">IF(OR(F250&lt;L$3,F250&gt;L$7),F250,#N/A)</f>
        <v>#N/A</v>
      </c>
      <c r="AB250">
        <f t="shared" si="4"/>
        <v>2</v>
      </c>
      <c r="AC250" t="e">
        <f t="array" ref="AC250">IF(OR(G250&lt;M$3,G250&gt;M$7),G250,#N/A)</f>
        <v>#N/A</v>
      </c>
      <c r="AD250">
        <f t="shared" si="4"/>
        <v>3</v>
      </c>
      <c r="AE250" t="e">
        <f t="array" ref="AE250">IF(OR(H250&lt;N$3,H250&gt;N$7),H250,#N/A)</f>
        <v>#N/A</v>
      </c>
      <c r="AF250">
        <f t="shared" si="4"/>
        <v>4</v>
      </c>
      <c r="AG250" t="e">
        <f t="array" ref="AG250">IF(OR(I250&lt;O$3,I250&gt;O$7),I250,#N/A)</f>
        <v>#N/A</v>
      </c>
    </row>
    <row r="251" spans="1:33" x14ac:dyDescent="0.25">
      <c r="A251">
        <v>250</v>
      </c>
      <c r="B251">
        <f ca="1">SMALL(dados!A$23:A$422,A251)</f>
        <v>0.63025919466631541</v>
      </c>
      <c r="E251">
        <v>248</v>
      </c>
      <c r="F251">
        <v>12.272727272727273</v>
      </c>
      <c r="G251">
        <v>11.4</v>
      </c>
      <c r="H251">
        <v>14.2</v>
      </c>
      <c r="I251">
        <v>13.71</v>
      </c>
      <c r="Z251">
        <v>1</v>
      </c>
      <c r="AA251" t="e">
        <f t="array" ref="AA251">IF(OR(F251&lt;L$3,F251&gt;L$7),F251,#N/A)</f>
        <v>#N/A</v>
      </c>
      <c r="AB251">
        <f t="shared" si="4"/>
        <v>2</v>
      </c>
      <c r="AC251" t="e">
        <f t="array" ref="AC251">IF(OR(G251&lt;M$3,G251&gt;M$7),G251,#N/A)</f>
        <v>#N/A</v>
      </c>
      <c r="AD251">
        <f t="shared" si="4"/>
        <v>3</v>
      </c>
      <c r="AE251" t="e">
        <f t="array" ref="AE251">IF(OR(H251&lt;N$3,H251&gt;N$7),H251,#N/A)</f>
        <v>#N/A</v>
      </c>
      <c r="AF251">
        <f t="shared" si="4"/>
        <v>4</v>
      </c>
      <c r="AG251" t="e">
        <f t="array" ref="AG251">IF(OR(I251&lt;O$3,I251&gt;O$7),I251,#N/A)</f>
        <v>#N/A</v>
      </c>
    </row>
    <row r="252" spans="1:33" x14ac:dyDescent="0.25">
      <c r="A252">
        <v>251</v>
      </c>
      <c r="B252">
        <f ca="1">SMALL(dados!A$23:A$422,A252)</f>
        <v>0.6343228613697115</v>
      </c>
      <c r="E252">
        <v>249</v>
      </c>
      <c r="F252">
        <v>12.272727272727273</v>
      </c>
      <c r="G252">
        <v>11.7</v>
      </c>
      <c r="H252">
        <v>12.84</v>
      </c>
      <c r="I252">
        <v>13.54</v>
      </c>
      <c r="Z252">
        <v>1</v>
      </c>
      <c r="AA252" t="e">
        <f t="array" ref="AA252">IF(OR(F252&lt;L$3,F252&gt;L$7),F252,#N/A)</f>
        <v>#N/A</v>
      </c>
      <c r="AB252">
        <f t="shared" si="4"/>
        <v>2</v>
      </c>
      <c r="AC252" t="e">
        <f t="array" ref="AC252">IF(OR(G252&lt;M$3,G252&gt;M$7),G252,#N/A)</f>
        <v>#N/A</v>
      </c>
      <c r="AD252">
        <f t="shared" si="4"/>
        <v>3</v>
      </c>
      <c r="AE252" t="e">
        <f t="array" ref="AE252">IF(OR(H252&lt;N$3,H252&gt;N$7),H252,#N/A)</f>
        <v>#N/A</v>
      </c>
      <c r="AF252">
        <f t="shared" si="4"/>
        <v>4</v>
      </c>
      <c r="AG252" t="e">
        <f t="array" ref="AG252">IF(OR(I252&lt;O$3,I252&gt;O$7),I252,#N/A)</f>
        <v>#N/A</v>
      </c>
    </row>
    <row r="253" spans="1:33" x14ac:dyDescent="0.25">
      <c r="A253">
        <v>252</v>
      </c>
      <c r="B253">
        <f ca="1">SMALL(dados!A$23:A$422,A253)</f>
        <v>0.6348926873980224</v>
      </c>
      <c r="E253">
        <v>250</v>
      </c>
      <c r="F253">
        <v>14.909090909090908</v>
      </c>
      <c r="G253">
        <v>13.1</v>
      </c>
      <c r="H253">
        <v>13.92</v>
      </c>
      <c r="I253">
        <v>14.13</v>
      </c>
      <c r="Z253">
        <v>1</v>
      </c>
      <c r="AA253" t="e">
        <f t="array" ref="AA253">IF(OR(F253&lt;L$3,F253&gt;L$7),F253,#N/A)</f>
        <v>#N/A</v>
      </c>
      <c r="AB253">
        <f t="shared" si="4"/>
        <v>2</v>
      </c>
      <c r="AC253" t="e">
        <f t="array" ref="AC253">IF(OR(G253&lt;M$3,G253&gt;M$7),G253,#N/A)</f>
        <v>#N/A</v>
      </c>
      <c r="AD253">
        <f t="shared" si="4"/>
        <v>3</v>
      </c>
      <c r="AE253" t="e">
        <f t="array" ref="AE253">IF(OR(H253&lt;N$3,H253&gt;N$7),H253,#N/A)</f>
        <v>#N/A</v>
      </c>
      <c r="AF253">
        <f t="shared" si="4"/>
        <v>4</v>
      </c>
      <c r="AG253" t="e">
        <f t="array" ref="AG253">IF(OR(I253&lt;O$3,I253&gt;O$7),I253,#N/A)</f>
        <v>#N/A</v>
      </c>
    </row>
    <row r="254" spans="1:33" x14ac:dyDescent="0.25">
      <c r="A254">
        <v>253</v>
      </c>
      <c r="B254">
        <f ca="1">SMALL(dados!A$23:A$422,A254)</f>
        <v>0.6382285477059817</v>
      </c>
      <c r="E254">
        <v>251</v>
      </c>
      <c r="F254">
        <v>15.545454545454545</v>
      </c>
      <c r="G254">
        <v>16.149999999999999</v>
      </c>
      <c r="H254">
        <v>13.64</v>
      </c>
      <c r="I254">
        <v>13.44</v>
      </c>
      <c r="Z254">
        <v>1</v>
      </c>
      <c r="AA254" t="e">
        <f t="array" ref="AA254">IF(OR(F254&lt;L$3,F254&gt;L$7),F254,#N/A)</f>
        <v>#N/A</v>
      </c>
      <c r="AB254">
        <f t="shared" si="4"/>
        <v>2</v>
      </c>
      <c r="AC254" t="e">
        <f t="array" ref="AC254">IF(OR(G254&lt;M$3,G254&gt;M$7),G254,#N/A)</f>
        <v>#N/A</v>
      </c>
      <c r="AD254">
        <f t="shared" si="4"/>
        <v>3</v>
      </c>
      <c r="AE254" t="e">
        <f t="array" ref="AE254">IF(OR(H254&lt;N$3,H254&gt;N$7),H254,#N/A)</f>
        <v>#N/A</v>
      </c>
      <c r="AF254">
        <f t="shared" si="4"/>
        <v>4</v>
      </c>
      <c r="AG254" t="e">
        <f t="array" ref="AG254">IF(OR(I254&lt;O$3,I254&gt;O$7),I254,#N/A)</f>
        <v>#N/A</v>
      </c>
    </row>
    <row r="255" spans="1:33" x14ac:dyDescent="0.25">
      <c r="A255">
        <v>254</v>
      </c>
      <c r="B255">
        <f ca="1">SMALL(dados!A$23:A$422,A255)</f>
        <v>0.64358256447213436</v>
      </c>
      <c r="E255">
        <v>252</v>
      </c>
      <c r="F255">
        <v>13.818181818181818</v>
      </c>
      <c r="G255">
        <v>12.85</v>
      </c>
      <c r="H255">
        <v>13.94</v>
      </c>
      <c r="I255">
        <v>13.98</v>
      </c>
      <c r="Z255">
        <v>1</v>
      </c>
      <c r="AA255" t="e">
        <f t="array" ref="AA255">IF(OR(F255&lt;L$3,F255&gt;L$7),F255,#N/A)</f>
        <v>#N/A</v>
      </c>
      <c r="AB255">
        <f t="shared" si="4"/>
        <v>2</v>
      </c>
      <c r="AC255" t="e">
        <f t="array" ref="AC255">IF(OR(G255&lt;M$3,G255&gt;M$7),G255,#N/A)</f>
        <v>#N/A</v>
      </c>
      <c r="AD255">
        <f t="shared" si="4"/>
        <v>3</v>
      </c>
      <c r="AE255" t="e">
        <f t="array" ref="AE255">IF(OR(H255&lt;N$3,H255&gt;N$7),H255,#N/A)</f>
        <v>#N/A</v>
      </c>
      <c r="AF255">
        <f t="shared" si="4"/>
        <v>4</v>
      </c>
      <c r="AG255" t="e">
        <f t="array" ref="AG255">IF(OR(I255&lt;O$3,I255&gt;O$7),I255,#N/A)</f>
        <v>#N/A</v>
      </c>
    </row>
    <row r="256" spans="1:33" x14ac:dyDescent="0.25">
      <c r="A256">
        <v>255</v>
      </c>
      <c r="B256">
        <f ca="1">SMALL(dados!A$23:A$422,A256)</f>
        <v>0.64546975300411757</v>
      </c>
      <c r="E256">
        <v>253</v>
      </c>
      <c r="F256">
        <v>14.545454545454545</v>
      </c>
      <c r="G256">
        <v>14.95</v>
      </c>
      <c r="H256">
        <v>13.6</v>
      </c>
      <c r="I256">
        <v>13.79</v>
      </c>
      <c r="Z256">
        <v>1</v>
      </c>
      <c r="AA256" t="e">
        <f t="array" ref="AA256">IF(OR(F256&lt;L$3,F256&gt;L$7),F256,#N/A)</f>
        <v>#N/A</v>
      </c>
      <c r="AB256">
        <f t="shared" si="4"/>
        <v>2</v>
      </c>
      <c r="AC256" t="e">
        <f t="array" ref="AC256">IF(OR(G256&lt;M$3,G256&gt;M$7),G256,#N/A)</f>
        <v>#N/A</v>
      </c>
      <c r="AD256">
        <f t="shared" si="4"/>
        <v>3</v>
      </c>
      <c r="AE256" t="e">
        <f t="array" ref="AE256">IF(OR(H256&lt;N$3,H256&gt;N$7),H256,#N/A)</f>
        <v>#N/A</v>
      </c>
      <c r="AF256">
        <f t="shared" si="4"/>
        <v>4</v>
      </c>
      <c r="AG256" t="e">
        <f t="array" ref="AG256">IF(OR(I256&lt;O$3,I256&gt;O$7),I256,#N/A)</f>
        <v>#N/A</v>
      </c>
    </row>
    <row r="257" spans="1:33" x14ac:dyDescent="0.25">
      <c r="A257">
        <v>256</v>
      </c>
      <c r="B257">
        <f ca="1">SMALL(dados!A$23:A$422,A257)</f>
        <v>0.65544453688661519</v>
      </c>
      <c r="E257">
        <v>254</v>
      </c>
      <c r="F257">
        <v>14</v>
      </c>
      <c r="G257">
        <v>13.4</v>
      </c>
      <c r="H257">
        <v>14.86</v>
      </c>
      <c r="I257">
        <v>14.5</v>
      </c>
      <c r="Z257">
        <v>1</v>
      </c>
      <c r="AA257" t="e">
        <f t="array" ref="AA257">IF(OR(F257&lt;L$3,F257&gt;L$7),F257,#N/A)</f>
        <v>#N/A</v>
      </c>
      <c r="AB257">
        <f t="shared" si="4"/>
        <v>2</v>
      </c>
      <c r="AC257" t="e">
        <f t="array" ref="AC257">IF(OR(G257&lt;M$3,G257&gt;M$7),G257,#N/A)</f>
        <v>#N/A</v>
      </c>
      <c r="AD257">
        <f t="shared" si="4"/>
        <v>3</v>
      </c>
      <c r="AE257" t="e">
        <f t="array" ref="AE257">IF(OR(H257&lt;N$3,H257&gt;N$7),H257,#N/A)</f>
        <v>#N/A</v>
      </c>
      <c r="AF257">
        <f t="shared" si="4"/>
        <v>4</v>
      </c>
      <c r="AG257" t="e">
        <f t="array" ref="AG257">IF(OR(I257&lt;O$3,I257&gt;O$7),I257,#N/A)</f>
        <v>#N/A</v>
      </c>
    </row>
    <row r="258" spans="1:33" x14ac:dyDescent="0.25">
      <c r="A258">
        <v>257</v>
      </c>
      <c r="B258">
        <f ca="1">SMALL(dados!A$23:A$422,A258)</f>
        <v>0.65663887702453194</v>
      </c>
      <c r="E258">
        <v>255</v>
      </c>
      <c r="F258">
        <v>14</v>
      </c>
      <c r="G258">
        <v>14.3</v>
      </c>
      <c r="H258">
        <v>15.34</v>
      </c>
      <c r="I258">
        <v>14.49</v>
      </c>
      <c r="Z258">
        <v>1</v>
      </c>
      <c r="AA258" t="e">
        <f t="array" ref="AA258">IF(OR(F258&lt;L$3,F258&gt;L$7),F258,#N/A)</f>
        <v>#N/A</v>
      </c>
      <c r="AB258">
        <f t="shared" si="4"/>
        <v>2</v>
      </c>
      <c r="AC258" t="e">
        <f t="array" ref="AC258">IF(OR(G258&lt;M$3,G258&gt;M$7),G258,#N/A)</f>
        <v>#N/A</v>
      </c>
      <c r="AD258">
        <f t="shared" si="4"/>
        <v>3</v>
      </c>
      <c r="AE258" t="e">
        <f t="array" ref="AE258">IF(OR(H258&lt;N$3,H258&gt;N$7),H258,#N/A)</f>
        <v>#N/A</v>
      </c>
      <c r="AF258">
        <f t="shared" si="4"/>
        <v>4</v>
      </c>
      <c r="AG258" t="e">
        <f t="array" ref="AG258">IF(OR(I258&lt;O$3,I258&gt;O$7),I258,#N/A)</f>
        <v>#N/A</v>
      </c>
    </row>
    <row r="259" spans="1:33" x14ac:dyDescent="0.25">
      <c r="A259">
        <v>258</v>
      </c>
      <c r="B259">
        <f ca="1">SMALL(dados!A$23:A$422,A259)</f>
        <v>0.65739687001813374</v>
      </c>
      <c r="E259">
        <v>256</v>
      </c>
      <c r="F259">
        <v>12.636363636363637</v>
      </c>
      <c r="G259">
        <v>11.8</v>
      </c>
      <c r="H259">
        <v>12.76</v>
      </c>
      <c r="I259">
        <v>13.11</v>
      </c>
      <c r="Z259">
        <v>1</v>
      </c>
      <c r="AA259" t="e">
        <f t="array" ref="AA259">IF(OR(F259&lt;L$3,F259&gt;L$7),F259,#N/A)</f>
        <v>#N/A</v>
      </c>
      <c r="AB259">
        <f t="shared" si="4"/>
        <v>2</v>
      </c>
      <c r="AC259" t="e">
        <f t="array" ref="AC259">IF(OR(G259&lt;M$3,G259&gt;M$7),G259,#N/A)</f>
        <v>#N/A</v>
      </c>
      <c r="AD259">
        <f t="shared" si="4"/>
        <v>3</v>
      </c>
      <c r="AE259" t="e">
        <f t="array" ref="AE259">IF(OR(H259&lt;N$3,H259&gt;N$7),H259,#N/A)</f>
        <v>#N/A</v>
      </c>
      <c r="AF259">
        <f t="shared" si="4"/>
        <v>4</v>
      </c>
      <c r="AG259" t="e">
        <f t="array" ref="AG259">IF(OR(I259&lt;O$3,I259&gt;O$7),I259,#N/A)</f>
        <v>#N/A</v>
      </c>
    </row>
    <row r="260" spans="1:33" x14ac:dyDescent="0.25">
      <c r="A260">
        <v>259</v>
      </c>
      <c r="B260">
        <f ca="1">SMALL(dados!A$23:A$422,A260)</f>
        <v>0.66328950687237476</v>
      </c>
      <c r="E260">
        <v>257</v>
      </c>
      <c r="F260">
        <v>11.181818181818182</v>
      </c>
      <c r="G260">
        <v>12.35</v>
      </c>
      <c r="H260">
        <v>13.92</v>
      </c>
      <c r="I260">
        <v>13.92</v>
      </c>
      <c r="Z260">
        <v>1</v>
      </c>
      <c r="AA260" t="e">
        <f t="array" ref="AA260">IF(OR(F260&lt;L$3,F260&gt;L$7),F260,#N/A)</f>
        <v>#N/A</v>
      </c>
      <c r="AB260">
        <f t="shared" si="4"/>
        <v>2</v>
      </c>
      <c r="AC260" t="e">
        <f t="array" ref="AC260">IF(OR(G260&lt;M$3,G260&gt;M$7),G260,#N/A)</f>
        <v>#N/A</v>
      </c>
      <c r="AD260">
        <f t="shared" si="4"/>
        <v>3</v>
      </c>
      <c r="AE260" t="e">
        <f t="array" ref="AE260">IF(OR(H260&lt;N$3,H260&gt;N$7),H260,#N/A)</f>
        <v>#N/A</v>
      </c>
      <c r="AF260">
        <f t="shared" si="4"/>
        <v>4</v>
      </c>
      <c r="AG260" t="e">
        <f t="array" ref="AG260">IF(OR(I260&lt;O$3,I260&gt;O$7),I260,#N/A)</f>
        <v>#N/A</v>
      </c>
    </row>
    <row r="261" spans="1:33" x14ac:dyDescent="0.25">
      <c r="A261">
        <v>260</v>
      </c>
      <c r="B261">
        <f ca="1">SMALL(dados!A$23:A$422,A261)</f>
        <v>0.66532627530864352</v>
      </c>
      <c r="E261">
        <v>258</v>
      </c>
      <c r="F261">
        <v>16.363636363636363</v>
      </c>
      <c r="G261">
        <v>14.2</v>
      </c>
      <c r="H261">
        <v>14.36</v>
      </c>
      <c r="I261">
        <v>14.45</v>
      </c>
      <c r="Z261">
        <v>1</v>
      </c>
      <c r="AA261" t="e">
        <f t="array" ref="AA261">IF(OR(F261&lt;L$3,F261&gt;L$7),F261,#N/A)</f>
        <v>#N/A</v>
      </c>
      <c r="AB261">
        <f t="shared" ref="AB261:AF324" si="5">Z261+1</f>
        <v>2</v>
      </c>
      <c r="AC261" t="e">
        <f t="array" ref="AC261">IF(OR(G261&lt;M$3,G261&gt;M$7),G261,#N/A)</f>
        <v>#N/A</v>
      </c>
      <c r="AD261">
        <f t="shared" si="5"/>
        <v>3</v>
      </c>
      <c r="AE261" t="e">
        <f t="array" ref="AE261">IF(OR(H261&lt;N$3,H261&gt;N$7),H261,#N/A)</f>
        <v>#N/A</v>
      </c>
      <c r="AF261">
        <f t="shared" si="5"/>
        <v>4</v>
      </c>
      <c r="AG261" t="e">
        <f t="array" ref="AG261">IF(OR(I261&lt;O$3,I261&gt;O$7),I261,#N/A)</f>
        <v>#N/A</v>
      </c>
    </row>
    <row r="262" spans="1:33" x14ac:dyDescent="0.25">
      <c r="A262">
        <v>261</v>
      </c>
      <c r="B262">
        <f ca="1">SMALL(dados!A$23:A$422,A262)</f>
        <v>0.66850583159794841</v>
      </c>
      <c r="E262">
        <v>259</v>
      </c>
      <c r="F262">
        <v>14.363636363636363</v>
      </c>
      <c r="G262">
        <v>13.25</v>
      </c>
      <c r="H262">
        <v>14.12</v>
      </c>
      <c r="I262">
        <v>13.41</v>
      </c>
      <c r="Z262">
        <v>1</v>
      </c>
      <c r="AA262" t="e">
        <f t="array" ref="AA262">IF(OR(F262&lt;L$3,F262&gt;L$7),F262,#N/A)</f>
        <v>#N/A</v>
      </c>
      <c r="AB262">
        <f t="shared" si="5"/>
        <v>2</v>
      </c>
      <c r="AC262" t="e">
        <f t="array" ref="AC262">IF(OR(G262&lt;M$3,G262&gt;M$7),G262,#N/A)</f>
        <v>#N/A</v>
      </c>
      <c r="AD262">
        <f t="shared" si="5"/>
        <v>3</v>
      </c>
      <c r="AE262" t="e">
        <f t="array" ref="AE262">IF(OR(H262&lt;N$3,H262&gt;N$7),H262,#N/A)</f>
        <v>#N/A</v>
      </c>
      <c r="AF262">
        <f t="shared" si="5"/>
        <v>4</v>
      </c>
      <c r="AG262" t="e">
        <f t="array" ref="AG262">IF(OR(I262&lt;O$3,I262&gt;O$7),I262,#N/A)</f>
        <v>#N/A</v>
      </c>
    </row>
    <row r="263" spans="1:33" x14ac:dyDescent="0.25">
      <c r="A263">
        <v>262</v>
      </c>
      <c r="B263">
        <f ca="1">SMALL(dados!A$23:A$422,A263)</f>
        <v>0.66864565504457407</v>
      </c>
      <c r="E263">
        <v>260</v>
      </c>
      <c r="F263">
        <v>12.636363636363637</v>
      </c>
      <c r="G263">
        <v>13.35</v>
      </c>
      <c r="H263">
        <v>13.5</v>
      </c>
      <c r="I263">
        <v>13.05</v>
      </c>
      <c r="Z263">
        <v>1</v>
      </c>
      <c r="AA263" t="e">
        <f t="array" ref="AA263">IF(OR(F263&lt;L$3,F263&gt;L$7),F263,#N/A)</f>
        <v>#N/A</v>
      </c>
      <c r="AB263">
        <f t="shared" si="5"/>
        <v>2</v>
      </c>
      <c r="AC263" t="e">
        <f t="array" ref="AC263">IF(OR(G263&lt;M$3,G263&gt;M$7),G263,#N/A)</f>
        <v>#N/A</v>
      </c>
      <c r="AD263">
        <f t="shared" si="5"/>
        <v>3</v>
      </c>
      <c r="AE263" t="e">
        <f t="array" ref="AE263">IF(OR(H263&lt;N$3,H263&gt;N$7),H263,#N/A)</f>
        <v>#N/A</v>
      </c>
      <c r="AF263">
        <f t="shared" si="5"/>
        <v>4</v>
      </c>
      <c r="AG263" t="e">
        <f t="array" ref="AG263">IF(OR(I263&lt;O$3,I263&gt;O$7),I263,#N/A)</f>
        <v>#N/A</v>
      </c>
    </row>
    <row r="264" spans="1:33" x14ac:dyDescent="0.25">
      <c r="A264">
        <v>263</v>
      </c>
      <c r="B264">
        <f ca="1">SMALL(dados!A$23:A$422,A264)</f>
        <v>0.67337154936369359</v>
      </c>
      <c r="E264">
        <v>261</v>
      </c>
      <c r="F264">
        <v>13.727272727272727</v>
      </c>
      <c r="G264">
        <v>17.25</v>
      </c>
      <c r="H264">
        <v>16.079999999999998</v>
      </c>
      <c r="I264">
        <v>14.24</v>
      </c>
      <c r="Z264">
        <v>1</v>
      </c>
      <c r="AA264" t="e">
        <f t="array" ref="AA264">IF(OR(F264&lt;L$3,F264&gt;L$7),F264,#N/A)</f>
        <v>#N/A</v>
      </c>
      <c r="AB264">
        <f t="shared" si="5"/>
        <v>2</v>
      </c>
      <c r="AC264" t="e">
        <f t="array" ref="AC264">IF(OR(G264&lt;M$3,G264&gt;M$7),G264,#N/A)</f>
        <v>#N/A</v>
      </c>
      <c r="AD264">
        <f t="shared" si="5"/>
        <v>3</v>
      </c>
      <c r="AE264" t="e">
        <f t="array" ref="AE264">IF(OR(H264&lt;N$3,H264&gt;N$7),H264,#N/A)</f>
        <v>#N/A</v>
      </c>
      <c r="AF264">
        <f t="shared" si="5"/>
        <v>4</v>
      </c>
      <c r="AG264" t="e">
        <f t="array" ref="AG264">IF(OR(I264&lt;O$3,I264&gt;O$7),I264,#N/A)</f>
        <v>#N/A</v>
      </c>
    </row>
    <row r="265" spans="1:33" x14ac:dyDescent="0.25">
      <c r="A265">
        <v>264</v>
      </c>
      <c r="B265">
        <f ca="1">SMALL(dados!A$23:A$422,A265)</f>
        <v>0.67743762164980859</v>
      </c>
      <c r="E265">
        <v>262</v>
      </c>
      <c r="F265">
        <v>13.636363636363637</v>
      </c>
      <c r="G265">
        <v>14</v>
      </c>
      <c r="H265">
        <v>13.14</v>
      </c>
      <c r="I265">
        <v>13.29</v>
      </c>
      <c r="Z265">
        <v>1</v>
      </c>
      <c r="AA265" t="e">
        <f t="array" ref="AA265">IF(OR(F265&lt;L$3,F265&gt;L$7),F265,#N/A)</f>
        <v>#N/A</v>
      </c>
      <c r="AB265">
        <f t="shared" si="5"/>
        <v>2</v>
      </c>
      <c r="AC265" t="e">
        <f t="array" ref="AC265">IF(OR(G265&lt;M$3,G265&gt;M$7),G265,#N/A)</f>
        <v>#N/A</v>
      </c>
      <c r="AD265">
        <f t="shared" si="5"/>
        <v>3</v>
      </c>
      <c r="AE265" t="e">
        <f t="array" ref="AE265">IF(OR(H265&lt;N$3,H265&gt;N$7),H265,#N/A)</f>
        <v>#N/A</v>
      </c>
      <c r="AF265">
        <f t="shared" si="5"/>
        <v>4</v>
      </c>
      <c r="AG265" t="e">
        <f t="array" ref="AG265">IF(OR(I265&lt;O$3,I265&gt;O$7),I265,#N/A)</f>
        <v>#N/A</v>
      </c>
    </row>
    <row r="266" spans="1:33" x14ac:dyDescent="0.25">
      <c r="A266">
        <v>265</v>
      </c>
      <c r="B266">
        <f ca="1">SMALL(dados!A$23:A$422,A266)</f>
        <v>0.68075038601852089</v>
      </c>
      <c r="E266">
        <v>263</v>
      </c>
      <c r="F266">
        <v>14.818181818181818</v>
      </c>
      <c r="G266">
        <v>17.2</v>
      </c>
      <c r="H266">
        <v>14.16</v>
      </c>
      <c r="I266">
        <v>13.79</v>
      </c>
      <c r="Z266">
        <v>1</v>
      </c>
      <c r="AA266" t="e">
        <f t="array" ref="AA266">IF(OR(F266&lt;L$3,F266&gt;L$7),F266,#N/A)</f>
        <v>#N/A</v>
      </c>
      <c r="AB266">
        <f t="shared" si="5"/>
        <v>2</v>
      </c>
      <c r="AC266" t="e">
        <f t="array" ref="AC266">IF(OR(G266&lt;M$3,G266&gt;M$7),G266,#N/A)</f>
        <v>#N/A</v>
      </c>
      <c r="AD266">
        <f t="shared" si="5"/>
        <v>3</v>
      </c>
      <c r="AE266" t="e">
        <f t="array" ref="AE266">IF(OR(H266&lt;N$3,H266&gt;N$7),H266,#N/A)</f>
        <v>#N/A</v>
      </c>
      <c r="AF266">
        <f t="shared" si="5"/>
        <v>4</v>
      </c>
      <c r="AG266" t="e">
        <f t="array" ref="AG266">IF(OR(I266&lt;O$3,I266&gt;O$7),I266,#N/A)</f>
        <v>#N/A</v>
      </c>
    </row>
    <row r="267" spans="1:33" x14ac:dyDescent="0.25">
      <c r="A267">
        <v>266</v>
      </c>
      <c r="B267">
        <f ca="1">SMALL(dados!A$23:A$422,A267)</f>
        <v>0.68360007790759381</v>
      </c>
      <c r="E267">
        <v>264</v>
      </c>
      <c r="F267">
        <v>17.545454545454547</v>
      </c>
      <c r="G267">
        <v>14.8</v>
      </c>
      <c r="H267">
        <v>13.42</v>
      </c>
      <c r="I267">
        <v>13.87</v>
      </c>
      <c r="Z267">
        <v>1</v>
      </c>
      <c r="AA267" t="e">
        <f t="array" ref="AA267">IF(OR(F267&lt;L$3,F267&gt;L$7),F267,#N/A)</f>
        <v>#N/A</v>
      </c>
      <c r="AB267">
        <f t="shared" si="5"/>
        <v>2</v>
      </c>
      <c r="AC267" t="e">
        <f t="array" ref="AC267">IF(OR(G267&lt;M$3,G267&gt;M$7),G267,#N/A)</f>
        <v>#N/A</v>
      </c>
      <c r="AD267">
        <f t="shared" si="5"/>
        <v>3</v>
      </c>
      <c r="AE267" t="e">
        <f t="array" ref="AE267">IF(OR(H267&lt;N$3,H267&gt;N$7),H267,#N/A)</f>
        <v>#N/A</v>
      </c>
      <c r="AF267">
        <f t="shared" si="5"/>
        <v>4</v>
      </c>
      <c r="AG267" t="e">
        <f t="array" ref="AG267">IF(OR(I267&lt;O$3,I267&gt;O$7),I267,#N/A)</f>
        <v>#N/A</v>
      </c>
    </row>
    <row r="268" spans="1:33" x14ac:dyDescent="0.25">
      <c r="A268">
        <v>267</v>
      </c>
      <c r="B268">
        <f ca="1">SMALL(dados!A$23:A$422,A268)</f>
        <v>0.68744433038596497</v>
      </c>
      <c r="E268">
        <v>265</v>
      </c>
      <c r="F268">
        <v>14.181818181818182</v>
      </c>
      <c r="G268">
        <v>15.3</v>
      </c>
      <c r="H268">
        <v>15.86</v>
      </c>
      <c r="I268">
        <v>14.62</v>
      </c>
      <c r="Z268">
        <v>1</v>
      </c>
      <c r="AA268" t="e">
        <f t="array" ref="AA268">IF(OR(F268&lt;L$3,F268&gt;L$7),F268,#N/A)</f>
        <v>#N/A</v>
      </c>
      <c r="AB268">
        <f t="shared" si="5"/>
        <v>2</v>
      </c>
      <c r="AC268" t="e">
        <f t="array" ref="AC268">IF(OR(G268&lt;M$3,G268&gt;M$7),G268,#N/A)</f>
        <v>#N/A</v>
      </c>
      <c r="AD268">
        <f t="shared" si="5"/>
        <v>3</v>
      </c>
      <c r="AE268" t="e">
        <f t="array" ref="AE268">IF(OR(H268&lt;N$3,H268&gt;N$7),H268,#N/A)</f>
        <v>#N/A</v>
      </c>
      <c r="AF268">
        <f t="shared" si="5"/>
        <v>4</v>
      </c>
      <c r="AG268" t="e">
        <f t="array" ref="AG268">IF(OR(I268&lt;O$3,I268&gt;O$7),I268,#N/A)</f>
        <v>#N/A</v>
      </c>
    </row>
    <row r="269" spans="1:33" x14ac:dyDescent="0.25">
      <c r="A269">
        <v>268</v>
      </c>
      <c r="B269">
        <f ca="1">SMALL(dados!A$23:A$422,A269)</f>
        <v>0.70068878288172554</v>
      </c>
      <c r="E269">
        <v>266</v>
      </c>
      <c r="F269">
        <v>16.454545454545453</v>
      </c>
      <c r="G269">
        <v>15.35</v>
      </c>
      <c r="H269">
        <v>14.48</v>
      </c>
      <c r="I269">
        <v>14.3</v>
      </c>
      <c r="Z269">
        <v>1</v>
      </c>
      <c r="AA269" t="e">
        <f t="array" ref="AA269">IF(OR(F269&lt;L$3,F269&gt;L$7),F269,#N/A)</f>
        <v>#N/A</v>
      </c>
      <c r="AB269">
        <f t="shared" si="5"/>
        <v>2</v>
      </c>
      <c r="AC269" t="e">
        <f t="array" ref="AC269">IF(OR(G269&lt;M$3,G269&gt;M$7),G269,#N/A)</f>
        <v>#N/A</v>
      </c>
      <c r="AD269">
        <f t="shared" si="5"/>
        <v>3</v>
      </c>
      <c r="AE269" t="e">
        <f t="array" ref="AE269">IF(OR(H269&lt;N$3,H269&gt;N$7),H269,#N/A)</f>
        <v>#N/A</v>
      </c>
      <c r="AF269">
        <f t="shared" si="5"/>
        <v>4</v>
      </c>
      <c r="AG269" t="e">
        <f t="array" ref="AG269">IF(OR(I269&lt;O$3,I269&gt;O$7),I269,#N/A)</f>
        <v>#N/A</v>
      </c>
    </row>
    <row r="270" spans="1:33" x14ac:dyDescent="0.25">
      <c r="A270">
        <v>269</v>
      </c>
      <c r="B270">
        <f ca="1">SMALL(dados!A$23:A$422,A270)</f>
        <v>0.70483225223264778</v>
      </c>
      <c r="E270">
        <v>267</v>
      </c>
      <c r="F270">
        <v>13.545454545454545</v>
      </c>
      <c r="G270">
        <v>13</v>
      </c>
      <c r="H270">
        <v>13.34</v>
      </c>
      <c r="I270">
        <v>13.58</v>
      </c>
      <c r="Z270">
        <v>1</v>
      </c>
      <c r="AA270" t="e">
        <f t="array" ref="AA270">IF(OR(F270&lt;L$3,F270&gt;L$7),F270,#N/A)</f>
        <v>#N/A</v>
      </c>
      <c r="AB270">
        <f t="shared" si="5"/>
        <v>2</v>
      </c>
      <c r="AC270" t="e">
        <f t="array" ref="AC270">IF(OR(G270&lt;M$3,G270&gt;M$7),G270,#N/A)</f>
        <v>#N/A</v>
      </c>
      <c r="AD270">
        <f t="shared" si="5"/>
        <v>3</v>
      </c>
      <c r="AE270" t="e">
        <f t="array" ref="AE270">IF(OR(H270&lt;N$3,H270&gt;N$7),H270,#N/A)</f>
        <v>#N/A</v>
      </c>
      <c r="AF270">
        <f t="shared" si="5"/>
        <v>4</v>
      </c>
      <c r="AG270" t="e">
        <f t="array" ref="AG270">IF(OR(I270&lt;O$3,I270&gt;O$7),I270,#N/A)</f>
        <v>#N/A</v>
      </c>
    </row>
    <row r="271" spans="1:33" x14ac:dyDescent="0.25">
      <c r="A271">
        <v>270</v>
      </c>
      <c r="B271">
        <f ca="1">SMALL(dados!A$23:A$422,A271)</f>
        <v>0.70581658991402241</v>
      </c>
      <c r="E271">
        <v>268</v>
      </c>
      <c r="F271">
        <v>15.909090909090908</v>
      </c>
      <c r="G271">
        <v>15.05</v>
      </c>
      <c r="H271">
        <v>13.82</v>
      </c>
      <c r="I271">
        <v>13.55</v>
      </c>
      <c r="Z271">
        <v>1</v>
      </c>
      <c r="AA271" t="e">
        <f t="array" ref="AA271">IF(OR(F271&lt;L$3,F271&gt;L$7),F271,#N/A)</f>
        <v>#N/A</v>
      </c>
      <c r="AB271">
        <f t="shared" si="5"/>
        <v>2</v>
      </c>
      <c r="AC271" t="e">
        <f t="array" ref="AC271">IF(OR(G271&lt;M$3,G271&gt;M$7),G271,#N/A)</f>
        <v>#N/A</v>
      </c>
      <c r="AD271">
        <f t="shared" si="5"/>
        <v>3</v>
      </c>
      <c r="AE271" t="e">
        <f t="array" ref="AE271">IF(OR(H271&lt;N$3,H271&gt;N$7),H271,#N/A)</f>
        <v>#N/A</v>
      </c>
      <c r="AF271">
        <f t="shared" si="5"/>
        <v>4</v>
      </c>
      <c r="AG271" t="e">
        <f t="array" ref="AG271">IF(OR(I271&lt;O$3,I271&gt;O$7),I271,#N/A)</f>
        <v>#N/A</v>
      </c>
    </row>
    <row r="272" spans="1:33" x14ac:dyDescent="0.25">
      <c r="A272">
        <v>271</v>
      </c>
      <c r="B272">
        <f ca="1">SMALL(dados!A$23:A$422,A272)</f>
        <v>0.71080853814323619</v>
      </c>
      <c r="E272">
        <v>269</v>
      </c>
      <c r="F272">
        <v>14.181818181818182</v>
      </c>
      <c r="G272">
        <v>13.45</v>
      </c>
      <c r="H272">
        <v>14.42</v>
      </c>
      <c r="I272">
        <v>14.46</v>
      </c>
      <c r="Z272">
        <v>1</v>
      </c>
      <c r="AA272" t="e">
        <f t="array" ref="AA272">IF(OR(F272&lt;L$3,F272&gt;L$7),F272,#N/A)</f>
        <v>#N/A</v>
      </c>
      <c r="AB272">
        <f t="shared" si="5"/>
        <v>2</v>
      </c>
      <c r="AC272" t="e">
        <f t="array" ref="AC272">IF(OR(G272&lt;M$3,G272&gt;M$7),G272,#N/A)</f>
        <v>#N/A</v>
      </c>
      <c r="AD272">
        <f t="shared" si="5"/>
        <v>3</v>
      </c>
      <c r="AE272" t="e">
        <f t="array" ref="AE272">IF(OR(H272&lt;N$3,H272&gt;N$7),H272,#N/A)</f>
        <v>#N/A</v>
      </c>
      <c r="AF272">
        <f t="shared" si="5"/>
        <v>4</v>
      </c>
      <c r="AG272" t="e">
        <f t="array" ref="AG272">IF(OR(I272&lt;O$3,I272&gt;O$7),I272,#N/A)</f>
        <v>#N/A</v>
      </c>
    </row>
    <row r="273" spans="1:33" x14ac:dyDescent="0.25">
      <c r="A273">
        <v>272</v>
      </c>
      <c r="B273">
        <f ca="1">SMALL(dados!A$23:A$422,A273)</f>
        <v>0.71343022814402735</v>
      </c>
      <c r="E273">
        <v>270</v>
      </c>
      <c r="F273">
        <v>13.909090909090908</v>
      </c>
      <c r="G273">
        <v>16.5</v>
      </c>
      <c r="H273">
        <v>14.12</v>
      </c>
      <c r="I273">
        <v>13.84</v>
      </c>
      <c r="Z273">
        <v>1</v>
      </c>
      <c r="AA273" t="e">
        <f t="array" ref="AA273">IF(OR(F273&lt;L$3,F273&gt;L$7),F273,#N/A)</f>
        <v>#N/A</v>
      </c>
      <c r="AB273">
        <f t="shared" si="5"/>
        <v>2</v>
      </c>
      <c r="AC273" t="e">
        <f t="array" ref="AC273">IF(OR(G273&lt;M$3,G273&gt;M$7),G273,#N/A)</f>
        <v>#N/A</v>
      </c>
      <c r="AD273">
        <f t="shared" si="5"/>
        <v>3</v>
      </c>
      <c r="AE273" t="e">
        <f t="array" ref="AE273">IF(OR(H273&lt;N$3,H273&gt;N$7),H273,#N/A)</f>
        <v>#N/A</v>
      </c>
      <c r="AF273">
        <f t="shared" si="5"/>
        <v>4</v>
      </c>
      <c r="AG273" t="e">
        <f t="array" ref="AG273">IF(OR(I273&lt;O$3,I273&gt;O$7),I273,#N/A)</f>
        <v>#N/A</v>
      </c>
    </row>
    <row r="274" spans="1:33" x14ac:dyDescent="0.25">
      <c r="A274">
        <v>273</v>
      </c>
      <c r="B274">
        <f ca="1">SMALL(dados!A$23:A$422,A274)</f>
        <v>0.71439758197543268</v>
      </c>
      <c r="E274">
        <v>271</v>
      </c>
      <c r="F274">
        <v>11.636363636363637</v>
      </c>
      <c r="G274">
        <v>12.95</v>
      </c>
      <c r="H274">
        <v>13.72</v>
      </c>
      <c r="I274">
        <v>13.3</v>
      </c>
      <c r="Z274">
        <v>1</v>
      </c>
      <c r="AA274" t="e">
        <f t="array" ref="AA274">IF(OR(F274&lt;L$3,F274&gt;L$7),F274,#N/A)</f>
        <v>#N/A</v>
      </c>
      <c r="AB274">
        <f t="shared" si="5"/>
        <v>2</v>
      </c>
      <c r="AC274" t="e">
        <f t="array" ref="AC274">IF(OR(G274&lt;M$3,G274&gt;M$7),G274,#N/A)</f>
        <v>#N/A</v>
      </c>
      <c r="AD274">
        <f t="shared" si="5"/>
        <v>3</v>
      </c>
      <c r="AE274" t="e">
        <f t="array" ref="AE274">IF(OR(H274&lt;N$3,H274&gt;N$7),H274,#N/A)</f>
        <v>#N/A</v>
      </c>
      <c r="AF274">
        <f t="shared" si="5"/>
        <v>4</v>
      </c>
      <c r="AG274" t="e">
        <f t="array" ref="AG274">IF(OR(I274&lt;O$3,I274&gt;O$7),I274,#N/A)</f>
        <v>#N/A</v>
      </c>
    </row>
    <row r="275" spans="1:33" x14ac:dyDescent="0.25">
      <c r="A275">
        <v>274</v>
      </c>
      <c r="B275">
        <f ca="1">SMALL(dados!A$23:A$422,A275)</f>
        <v>0.71512267317426859</v>
      </c>
      <c r="E275">
        <v>272</v>
      </c>
      <c r="F275">
        <v>14.090909090909092</v>
      </c>
      <c r="G275">
        <v>16.100000000000001</v>
      </c>
      <c r="H275">
        <v>14.92</v>
      </c>
      <c r="I275">
        <v>14.91</v>
      </c>
      <c r="Z275">
        <v>1</v>
      </c>
      <c r="AA275" t="e">
        <f t="array" ref="AA275">IF(OR(F275&lt;L$3,F275&gt;L$7),F275,#N/A)</f>
        <v>#N/A</v>
      </c>
      <c r="AB275">
        <f t="shared" si="5"/>
        <v>2</v>
      </c>
      <c r="AC275" t="e">
        <f t="array" ref="AC275">IF(OR(G275&lt;M$3,G275&gt;M$7),G275,#N/A)</f>
        <v>#N/A</v>
      </c>
      <c r="AD275">
        <f t="shared" si="5"/>
        <v>3</v>
      </c>
      <c r="AE275" t="e">
        <f t="array" ref="AE275">IF(OR(H275&lt;N$3,H275&gt;N$7),H275,#N/A)</f>
        <v>#N/A</v>
      </c>
      <c r="AF275">
        <f t="shared" si="5"/>
        <v>4</v>
      </c>
      <c r="AG275" t="e">
        <f t="array" ref="AG275">IF(OR(I275&lt;O$3,I275&gt;O$7),I275,#N/A)</f>
        <v>#N/A</v>
      </c>
    </row>
    <row r="276" spans="1:33" x14ac:dyDescent="0.25">
      <c r="A276">
        <v>275</v>
      </c>
      <c r="B276">
        <f ca="1">SMALL(dados!A$23:A$422,A276)</f>
        <v>0.71537377781831835</v>
      </c>
      <c r="E276">
        <v>273</v>
      </c>
      <c r="F276">
        <v>14.363636363636363</v>
      </c>
      <c r="G276">
        <v>16.600000000000001</v>
      </c>
      <c r="H276">
        <v>13.92</v>
      </c>
      <c r="I276">
        <v>14.55</v>
      </c>
      <c r="Z276">
        <v>1</v>
      </c>
      <c r="AA276" t="e">
        <f t="array" ref="AA276">IF(OR(F276&lt;L$3,F276&gt;L$7),F276,#N/A)</f>
        <v>#N/A</v>
      </c>
      <c r="AB276">
        <f t="shared" si="5"/>
        <v>2</v>
      </c>
      <c r="AC276" t="e">
        <f t="array" ref="AC276">IF(OR(G276&lt;M$3,G276&gt;M$7),G276,#N/A)</f>
        <v>#N/A</v>
      </c>
      <c r="AD276">
        <f t="shared" si="5"/>
        <v>3</v>
      </c>
      <c r="AE276" t="e">
        <f t="array" ref="AE276">IF(OR(H276&lt;N$3,H276&gt;N$7),H276,#N/A)</f>
        <v>#N/A</v>
      </c>
      <c r="AF276">
        <f t="shared" si="5"/>
        <v>4</v>
      </c>
      <c r="AG276" t="e">
        <f t="array" ref="AG276">IF(OR(I276&lt;O$3,I276&gt;O$7),I276,#N/A)</f>
        <v>#N/A</v>
      </c>
    </row>
    <row r="277" spans="1:33" x14ac:dyDescent="0.25">
      <c r="A277">
        <v>276</v>
      </c>
      <c r="B277">
        <f ca="1">SMALL(dados!A$23:A$422,A277)</f>
        <v>0.71906676052182594</v>
      </c>
      <c r="E277">
        <v>274</v>
      </c>
      <c r="F277">
        <v>16.363636363636363</v>
      </c>
      <c r="G277">
        <v>14.25</v>
      </c>
      <c r="H277">
        <v>14.24</v>
      </c>
      <c r="I277">
        <v>15.18</v>
      </c>
      <c r="Z277">
        <v>1</v>
      </c>
      <c r="AA277" t="e">
        <f t="array" ref="AA277">IF(OR(F277&lt;L$3,F277&gt;L$7),F277,#N/A)</f>
        <v>#N/A</v>
      </c>
      <c r="AB277">
        <f t="shared" si="5"/>
        <v>2</v>
      </c>
      <c r="AC277" t="e">
        <f t="array" ref="AC277">IF(OR(G277&lt;M$3,G277&gt;M$7),G277,#N/A)</f>
        <v>#N/A</v>
      </c>
      <c r="AD277">
        <f t="shared" si="5"/>
        <v>3</v>
      </c>
      <c r="AE277" t="e">
        <f t="array" ref="AE277">IF(OR(H277&lt;N$3,H277&gt;N$7),H277,#N/A)</f>
        <v>#N/A</v>
      </c>
      <c r="AF277">
        <f t="shared" si="5"/>
        <v>4</v>
      </c>
      <c r="AG277" t="e">
        <f t="array" ref="AG277">IF(OR(I277&lt;O$3,I277&gt;O$7),I277,#N/A)</f>
        <v>#N/A</v>
      </c>
    </row>
    <row r="278" spans="1:33" x14ac:dyDescent="0.25">
      <c r="A278">
        <v>277</v>
      </c>
      <c r="B278">
        <f ca="1">SMALL(dados!A$23:A$422,A278)</f>
        <v>0.72246114746096379</v>
      </c>
      <c r="E278">
        <v>275</v>
      </c>
      <c r="F278">
        <v>14</v>
      </c>
      <c r="G278">
        <v>13.3</v>
      </c>
      <c r="H278">
        <v>13.74</v>
      </c>
      <c r="I278">
        <v>14.44</v>
      </c>
      <c r="Z278">
        <v>1</v>
      </c>
      <c r="AA278" t="e">
        <f t="array" ref="AA278">IF(OR(F278&lt;L$3,F278&gt;L$7),F278,#N/A)</f>
        <v>#N/A</v>
      </c>
      <c r="AB278">
        <f t="shared" si="5"/>
        <v>2</v>
      </c>
      <c r="AC278" t="e">
        <f t="array" ref="AC278">IF(OR(G278&lt;M$3,G278&gt;M$7),G278,#N/A)</f>
        <v>#N/A</v>
      </c>
      <c r="AD278">
        <f t="shared" si="5"/>
        <v>3</v>
      </c>
      <c r="AE278" t="e">
        <f t="array" ref="AE278">IF(OR(H278&lt;N$3,H278&gt;N$7),H278,#N/A)</f>
        <v>#N/A</v>
      </c>
      <c r="AF278">
        <f t="shared" si="5"/>
        <v>4</v>
      </c>
      <c r="AG278" t="e">
        <f t="array" ref="AG278">IF(OR(I278&lt;O$3,I278&gt;O$7),I278,#N/A)</f>
        <v>#N/A</v>
      </c>
    </row>
    <row r="279" spans="1:33" x14ac:dyDescent="0.25">
      <c r="A279">
        <v>278</v>
      </c>
      <c r="B279">
        <f ca="1">SMALL(dados!A$23:A$422,A279)</f>
        <v>0.72371078340134976</v>
      </c>
      <c r="E279">
        <v>276</v>
      </c>
      <c r="F279">
        <v>15.818181818181818</v>
      </c>
      <c r="G279">
        <v>15.9</v>
      </c>
      <c r="H279">
        <v>14.78</v>
      </c>
      <c r="I279">
        <v>14.37</v>
      </c>
      <c r="Z279">
        <v>1</v>
      </c>
      <c r="AA279" t="e">
        <f t="array" ref="AA279">IF(OR(F279&lt;L$3,F279&gt;L$7),F279,#N/A)</f>
        <v>#N/A</v>
      </c>
      <c r="AB279">
        <f t="shared" si="5"/>
        <v>2</v>
      </c>
      <c r="AC279" t="e">
        <f t="array" ref="AC279">IF(OR(G279&lt;M$3,G279&gt;M$7),G279,#N/A)</f>
        <v>#N/A</v>
      </c>
      <c r="AD279">
        <f t="shared" si="5"/>
        <v>3</v>
      </c>
      <c r="AE279" t="e">
        <f t="array" ref="AE279">IF(OR(H279&lt;N$3,H279&gt;N$7),H279,#N/A)</f>
        <v>#N/A</v>
      </c>
      <c r="AF279">
        <f t="shared" si="5"/>
        <v>4</v>
      </c>
      <c r="AG279" t="e">
        <f t="array" ref="AG279">IF(OR(I279&lt;O$3,I279&gt;O$7),I279,#N/A)</f>
        <v>#N/A</v>
      </c>
    </row>
    <row r="280" spans="1:33" x14ac:dyDescent="0.25">
      <c r="A280">
        <v>279</v>
      </c>
      <c r="B280">
        <f ca="1">SMALL(dados!A$23:A$422,A280)</f>
        <v>0.72492009622314901</v>
      </c>
      <c r="E280">
        <v>277</v>
      </c>
      <c r="F280">
        <v>20.727272727272727</v>
      </c>
      <c r="G280">
        <v>15.45</v>
      </c>
      <c r="H280">
        <v>14.92</v>
      </c>
      <c r="I280">
        <v>15.69</v>
      </c>
      <c r="Z280">
        <v>1</v>
      </c>
      <c r="AA280">
        <f t="array" ref="AA280">IF(OR(F280&lt;L$3,F280&gt;L$7),F280,#N/A)</f>
        <v>20.727272727272727</v>
      </c>
      <c r="AB280">
        <f t="shared" si="5"/>
        <v>2</v>
      </c>
      <c r="AC280" t="e">
        <f t="array" ref="AC280">IF(OR(G280&lt;M$3,G280&gt;M$7),G280,#N/A)</f>
        <v>#N/A</v>
      </c>
      <c r="AD280">
        <f t="shared" si="5"/>
        <v>3</v>
      </c>
      <c r="AE280" t="e">
        <f t="array" ref="AE280">IF(OR(H280&lt;N$3,H280&gt;N$7),H280,#N/A)</f>
        <v>#N/A</v>
      </c>
      <c r="AF280">
        <f t="shared" si="5"/>
        <v>4</v>
      </c>
      <c r="AG280" t="e">
        <f t="array" ref="AG280">IF(OR(I280&lt;O$3,I280&gt;O$7),I280,#N/A)</f>
        <v>#N/A</v>
      </c>
    </row>
    <row r="281" spans="1:33" x14ac:dyDescent="0.25">
      <c r="A281">
        <v>280</v>
      </c>
      <c r="B281">
        <f ca="1">SMALL(dados!A$23:A$422,A281)</f>
        <v>0.73097429913138845</v>
      </c>
      <c r="E281">
        <v>278</v>
      </c>
      <c r="F281">
        <v>16.545454545454547</v>
      </c>
      <c r="G281">
        <v>15.2</v>
      </c>
      <c r="H281">
        <v>15.02</v>
      </c>
      <c r="I281">
        <v>15.02</v>
      </c>
      <c r="Z281">
        <v>1</v>
      </c>
      <c r="AA281" t="e">
        <f t="array" ref="AA281">IF(OR(F281&lt;L$3,F281&gt;L$7),F281,#N/A)</f>
        <v>#N/A</v>
      </c>
      <c r="AB281">
        <f t="shared" si="5"/>
        <v>2</v>
      </c>
      <c r="AC281" t="e">
        <f t="array" ref="AC281">IF(OR(G281&lt;M$3,G281&gt;M$7),G281,#N/A)</f>
        <v>#N/A</v>
      </c>
      <c r="AD281">
        <f t="shared" si="5"/>
        <v>3</v>
      </c>
      <c r="AE281" t="e">
        <f t="array" ref="AE281">IF(OR(H281&lt;N$3,H281&gt;N$7),H281,#N/A)</f>
        <v>#N/A</v>
      </c>
      <c r="AF281">
        <f t="shared" si="5"/>
        <v>4</v>
      </c>
      <c r="AG281" t="e">
        <f t="array" ref="AG281">IF(OR(I281&lt;O$3,I281&gt;O$7),I281,#N/A)</f>
        <v>#N/A</v>
      </c>
    </row>
    <row r="282" spans="1:33" x14ac:dyDescent="0.25">
      <c r="A282">
        <v>281</v>
      </c>
      <c r="B282">
        <f ca="1">SMALL(dados!A$23:A$422,A282)</f>
        <v>0.73113977567601285</v>
      </c>
      <c r="E282">
        <v>279</v>
      </c>
      <c r="F282">
        <v>16.90909090909091</v>
      </c>
      <c r="G282">
        <v>15.8</v>
      </c>
      <c r="H282">
        <v>14.42</v>
      </c>
      <c r="I282">
        <v>13.57</v>
      </c>
      <c r="Z282">
        <v>1</v>
      </c>
      <c r="AA282" t="e">
        <f t="array" ref="AA282">IF(OR(F282&lt;L$3,F282&gt;L$7),F282,#N/A)</f>
        <v>#N/A</v>
      </c>
      <c r="AB282">
        <f t="shared" si="5"/>
        <v>2</v>
      </c>
      <c r="AC282" t="e">
        <f t="array" ref="AC282">IF(OR(G282&lt;M$3,G282&gt;M$7),G282,#N/A)</f>
        <v>#N/A</v>
      </c>
      <c r="AD282">
        <f t="shared" si="5"/>
        <v>3</v>
      </c>
      <c r="AE282" t="e">
        <f t="array" ref="AE282">IF(OR(H282&lt;N$3,H282&gt;N$7),H282,#N/A)</f>
        <v>#N/A</v>
      </c>
      <c r="AF282">
        <f t="shared" si="5"/>
        <v>4</v>
      </c>
      <c r="AG282" t="e">
        <f t="array" ref="AG282">IF(OR(I282&lt;O$3,I282&gt;O$7),I282,#N/A)</f>
        <v>#N/A</v>
      </c>
    </row>
    <row r="283" spans="1:33" x14ac:dyDescent="0.25">
      <c r="A283">
        <v>282</v>
      </c>
      <c r="B283">
        <f ca="1">SMALL(dados!A$23:A$422,A283)</f>
        <v>0.73311336632015789</v>
      </c>
      <c r="E283">
        <v>280</v>
      </c>
      <c r="F283">
        <v>13.181818181818182</v>
      </c>
      <c r="G283">
        <v>14.5</v>
      </c>
      <c r="H283">
        <v>14.98</v>
      </c>
      <c r="I283">
        <v>14.98</v>
      </c>
      <c r="Z283">
        <v>1</v>
      </c>
      <c r="AA283" t="e">
        <f t="array" ref="AA283">IF(OR(F283&lt;L$3,F283&gt;L$7),F283,#N/A)</f>
        <v>#N/A</v>
      </c>
      <c r="AB283">
        <f t="shared" si="5"/>
        <v>2</v>
      </c>
      <c r="AC283" t="e">
        <f t="array" ref="AC283">IF(OR(G283&lt;M$3,G283&gt;M$7),G283,#N/A)</f>
        <v>#N/A</v>
      </c>
      <c r="AD283">
        <f t="shared" si="5"/>
        <v>3</v>
      </c>
      <c r="AE283" t="e">
        <f t="array" ref="AE283">IF(OR(H283&lt;N$3,H283&gt;N$7),H283,#N/A)</f>
        <v>#N/A</v>
      </c>
      <c r="AF283">
        <f t="shared" si="5"/>
        <v>4</v>
      </c>
      <c r="AG283" t="e">
        <f t="array" ref="AG283">IF(OR(I283&lt;O$3,I283&gt;O$7),I283,#N/A)</f>
        <v>#N/A</v>
      </c>
    </row>
    <row r="284" spans="1:33" x14ac:dyDescent="0.25">
      <c r="A284">
        <v>283</v>
      </c>
      <c r="B284">
        <f ca="1">SMALL(dados!A$23:A$422,A284)</f>
        <v>0.73517930321625524</v>
      </c>
      <c r="E284">
        <v>281</v>
      </c>
      <c r="F284">
        <v>10.272727272727273</v>
      </c>
      <c r="G284">
        <v>14.7</v>
      </c>
      <c r="H284">
        <v>13.74</v>
      </c>
      <c r="I284">
        <v>13.83</v>
      </c>
      <c r="Z284">
        <v>1</v>
      </c>
      <c r="AA284" t="e">
        <f t="array" ref="AA284">IF(OR(F284&lt;L$3,F284&gt;L$7),F284,#N/A)</f>
        <v>#N/A</v>
      </c>
      <c r="AB284">
        <f t="shared" si="5"/>
        <v>2</v>
      </c>
      <c r="AC284" t="e">
        <f t="array" ref="AC284">IF(OR(G284&lt;M$3,G284&gt;M$7),G284,#N/A)</f>
        <v>#N/A</v>
      </c>
      <c r="AD284">
        <f t="shared" si="5"/>
        <v>3</v>
      </c>
      <c r="AE284" t="e">
        <f t="array" ref="AE284">IF(OR(H284&lt;N$3,H284&gt;N$7),H284,#N/A)</f>
        <v>#N/A</v>
      </c>
      <c r="AF284">
        <f t="shared" si="5"/>
        <v>4</v>
      </c>
      <c r="AG284" t="e">
        <f t="array" ref="AG284">IF(OR(I284&lt;O$3,I284&gt;O$7),I284,#N/A)</f>
        <v>#N/A</v>
      </c>
    </row>
    <row r="285" spans="1:33" x14ac:dyDescent="0.25">
      <c r="A285">
        <v>284</v>
      </c>
      <c r="B285">
        <f ca="1">SMALL(dados!A$23:A$422,A285)</f>
        <v>0.73924315726818035</v>
      </c>
      <c r="E285">
        <v>282</v>
      </c>
      <c r="F285">
        <v>13.545454545454545</v>
      </c>
      <c r="G285">
        <v>12.3</v>
      </c>
      <c r="H285">
        <v>12.54</v>
      </c>
      <c r="I285">
        <v>12.87</v>
      </c>
      <c r="Z285">
        <v>1</v>
      </c>
      <c r="AA285" t="e">
        <f t="array" ref="AA285">IF(OR(F285&lt;L$3,F285&gt;L$7),F285,#N/A)</f>
        <v>#N/A</v>
      </c>
      <c r="AB285">
        <f t="shared" si="5"/>
        <v>2</v>
      </c>
      <c r="AC285" t="e">
        <f t="array" ref="AC285">IF(OR(G285&lt;M$3,G285&gt;M$7),G285,#N/A)</f>
        <v>#N/A</v>
      </c>
      <c r="AD285">
        <f t="shared" si="5"/>
        <v>3</v>
      </c>
      <c r="AE285" t="e">
        <f t="array" ref="AE285">IF(OR(H285&lt;N$3,H285&gt;N$7),H285,#N/A)</f>
        <v>#N/A</v>
      </c>
      <c r="AF285">
        <f t="shared" si="5"/>
        <v>4</v>
      </c>
      <c r="AG285" t="e">
        <f t="array" ref="AG285">IF(OR(I285&lt;O$3,I285&gt;O$7),I285,#N/A)</f>
        <v>#N/A</v>
      </c>
    </row>
    <row r="286" spans="1:33" x14ac:dyDescent="0.25">
      <c r="A286">
        <v>285</v>
      </c>
      <c r="B286">
        <f ca="1">SMALL(dados!A$23:A$422,A286)</f>
        <v>0.74237162317394789</v>
      </c>
      <c r="E286">
        <v>283</v>
      </c>
      <c r="F286">
        <v>17.545454545454547</v>
      </c>
      <c r="G286">
        <v>15.25</v>
      </c>
      <c r="H286">
        <v>14.22</v>
      </c>
      <c r="I286">
        <v>14.53</v>
      </c>
      <c r="Z286">
        <v>1</v>
      </c>
      <c r="AA286" t="e">
        <f t="array" ref="AA286">IF(OR(F286&lt;L$3,F286&gt;L$7),F286,#N/A)</f>
        <v>#N/A</v>
      </c>
      <c r="AB286">
        <f t="shared" si="5"/>
        <v>2</v>
      </c>
      <c r="AC286" t="e">
        <f t="array" ref="AC286">IF(OR(G286&lt;M$3,G286&gt;M$7),G286,#N/A)</f>
        <v>#N/A</v>
      </c>
      <c r="AD286">
        <f t="shared" si="5"/>
        <v>3</v>
      </c>
      <c r="AE286" t="e">
        <f t="array" ref="AE286">IF(OR(H286&lt;N$3,H286&gt;N$7),H286,#N/A)</f>
        <v>#N/A</v>
      </c>
      <c r="AF286">
        <f t="shared" si="5"/>
        <v>4</v>
      </c>
      <c r="AG286" t="e">
        <f t="array" ref="AG286">IF(OR(I286&lt;O$3,I286&gt;O$7),I286,#N/A)</f>
        <v>#N/A</v>
      </c>
    </row>
    <row r="287" spans="1:33" x14ac:dyDescent="0.25">
      <c r="A287">
        <v>286</v>
      </c>
      <c r="B287">
        <f ca="1">SMALL(dados!A$23:A$422,A287)</f>
        <v>0.74254116494200362</v>
      </c>
      <c r="E287">
        <v>284</v>
      </c>
      <c r="F287">
        <v>10.636363636363637</v>
      </c>
      <c r="G287">
        <v>11.4</v>
      </c>
      <c r="H287">
        <v>13.06</v>
      </c>
      <c r="I287">
        <v>14.11</v>
      </c>
      <c r="Z287">
        <v>1</v>
      </c>
      <c r="AA287" t="e">
        <f t="array" ref="AA287">IF(OR(F287&lt;L$3,F287&gt;L$7),F287,#N/A)</f>
        <v>#N/A</v>
      </c>
      <c r="AB287">
        <f t="shared" si="5"/>
        <v>2</v>
      </c>
      <c r="AC287" t="e">
        <f t="array" ref="AC287">IF(OR(G287&lt;M$3,G287&gt;M$7),G287,#N/A)</f>
        <v>#N/A</v>
      </c>
      <c r="AD287">
        <f t="shared" si="5"/>
        <v>3</v>
      </c>
      <c r="AE287" t="e">
        <f t="array" ref="AE287">IF(OR(H287&lt;N$3,H287&gt;N$7),H287,#N/A)</f>
        <v>#N/A</v>
      </c>
      <c r="AF287">
        <f t="shared" si="5"/>
        <v>4</v>
      </c>
      <c r="AG287" t="e">
        <f t="array" ref="AG287">IF(OR(I287&lt;O$3,I287&gt;O$7),I287,#N/A)</f>
        <v>#N/A</v>
      </c>
    </row>
    <row r="288" spans="1:33" x14ac:dyDescent="0.25">
      <c r="A288">
        <v>287</v>
      </c>
      <c r="B288">
        <f ca="1">SMALL(dados!A$23:A$422,A288)</f>
        <v>0.74426737451444458</v>
      </c>
      <c r="E288">
        <v>285</v>
      </c>
      <c r="F288">
        <v>11.818181818181818</v>
      </c>
      <c r="G288">
        <v>13.55</v>
      </c>
      <c r="H288">
        <v>15.3</v>
      </c>
      <c r="I288">
        <v>14.59</v>
      </c>
      <c r="Z288">
        <v>1</v>
      </c>
      <c r="AA288" t="e">
        <f t="array" ref="AA288">IF(OR(F288&lt;L$3,F288&gt;L$7),F288,#N/A)</f>
        <v>#N/A</v>
      </c>
      <c r="AB288">
        <f t="shared" si="5"/>
        <v>2</v>
      </c>
      <c r="AC288" t="e">
        <f t="array" ref="AC288">IF(OR(G288&lt;M$3,G288&gt;M$7),G288,#N/A)</f>
        <v>#N/A</v>
      </c>
      <c r="AD288">
        <f t="shared" si="5"/>
        <v>3</v>
      </c>
      <c r="AE288" t="e">
        <f t="array" ref="AE288">IF(OR(H288&lt;N$3,H288&gt;N$7),H288,#N/A)</f>
        <v>#N/A</v>
      </c>
      <c r="AF288">
        <f t="shared" si="5"/>
        <v>4</v>
      </c>
      <c r="AG288" t="e">
        <f t="array" ref="AG288">IF(OR(I288&lt;O$3,I288&gt;O$7),I288,#N/A)</f>
        <v>#N/A</v>
      </c>
    </row>
    <row r="289" spans="1:33" x14ac:dyDescent="0.25">
      <c r="A289">
        <v>288</v>
      </c>
      <c r="B289">
        <f ca="1">SMALL(dados!A$23:A$422,A289)</f>
        <v>0.74479864165690268</v>
      </c>
      <c r="E289">
        <v>286</v>
      </c>
      <c r="F289">
        <v>10.090909090909092</v>
      </c>
      <c r="G289">
        <v>10.6</v>
      </c>
      <c r="H289">
        <v>12.68</v>
      </c>
      <c r="I289">
        <v>13.42</v>
      </c>
      <c r="Z289">
        <v>1</v>
      </c>
      <c r="AA289" t="e">
        <f t="array" ref="AA289">IF(OR(F289&lt;L$3,F289&gt;L$7),F289,#N/A)</f>
        <v>#N/A</v>
      </c>
      <c r="AB289">
        <f t="shared" si="5"/>
        <v>2</v>
      </c>
      <c r="AC289" t="e">
        <f t="array" ref="AC289">IF(OR(G289&lt;M$3,G289&gt;M$7),G289,#N/A)</f>
        <v>#N/A</v>
      </c>
      <c r="AD289">
        <f t="shared" si="5"/>
        <v>3</v>
      </c>
      <c r="AE289" t="e">
        <f t="array" ref="AE289">IF(OR(H289&lt;N$3,H289&gt;N$7),H289,#N/A)</f>
        <v>#N/A</v>
      </c>
      <c r="AF289">
        <f t="shared" si="5"/>
        <v>4</v>
      </c>
      <c r="AG289" t="e">
        <f t="array" ref="AG289">IF(OR(I289&lt;O$3,I289&gt;O$7),I289,#N/A)</f>
        <v>#N/A</v>
      </c>
    </row>
    <row r="290" spans="1:33" x14ac:dyDescent="0.25">
      <c r="A290">
        <v>289</v>
      </c>
      <c r="B290">
        <f ca="1">SMALL(dados!A$23:A$422,A290)</f>
        <v>0.74684112328560626</v>
      </c>
      <c r="E290">
        <v>287</v>
      </c>
      <c r="F290">
        <v>19.181818181818183</v>
      </c>
      <c r="G290">
        <v>16.55</v>
      </c>
      <c r="H290">
        <v>15.26</v>
      </c>
      <c r="I290">
        <v>14.53</v>
      </c>
      <c r="Z290">
        <v>1</v>
      </c>
      <c r="AA290" t="e">
        <f t="array" ref="AA290">IF(OR(F290&lt;L$3,F290&gt;L$7),F290,#N/A)</f>
        <v>#N/A</v>
      </c>
      <c r="AB290">
        <f t="shared" si="5"/>
        <v>2</v>
      </c>
      <c r="AC290" t="e">
        <f t="array" ref="AC290">IF(OR(G290&lt;M$3,G290&gt;M$7),G290,#N/A)</f>
        <v>#N/A</v>
      </c>
      <c r="AD290">
        <f t="shared" si="5"/>
        <v>3</v>
      </c>
      <c r="AE290" t="e">
        <f t="array" ref="AE290">IF(OR(H290&lt;N$3,H290&gt;N$7),H290,#N/A)</f>
        <v>#N/A</v>
      </c>
      <c r="AF290">
        <f t="shared" si="5"/>
        <v>4</v>
      </c>
      <c r="AG290" t="e">
        <f t="array" ref="AG290">IF(OR(I290&lt;O$3,I290&gt;O$7),I290,#N/A)</f>
        <v>#N/A</v>
      </c>
    </row>
    <row r="291" spans="1:33" x14ac:dyDescent="0.25">
      <c r="A291">
        <v>290</v>
      </c>
      <c r="B291">
        <f ca="1">SMALL(dados!A$23:A$422,A291)</f>
        <v>0.75298359766651513</v>
      </c>
      <c r="E291">
        <v>288</v>
      </c>
      <c r="F291">
        <v>16.363636363636363</v>
      </c>
      <c r="G291">
        <v>15.7</v>
      </c>
      <c r="H291">
        <v>14.76</v>
      </c>
      <c r="I291">
        <v>15.06</v>
      </c>
      <c r="Z291">
        <v>1</v>
      </c>
      <c r="AA291" t="e">
        <f t="array" ref="AA291">IF(OR(F291&lt;L$3,F291&gt;L$7),F291,#N/A)</f>
        <v>#N/A</v>
      </c>
      <c r="AB291">
        <f t="shared" si="5"/>
        <v>2</v>
      </c>
      <c r="AC291" t="e">
        <f t="array" ref="AC291">IF(OR(G291&lt;M$3,G291&gt;M$7),G291,#N/A)</f>
        <v>#N/A</v>
      </c>
      <c r="AD291">
        <f t="shared" si="5"/>
        <v>3</v>
      </c>
      <c r="AE291" t="e">
        <f t="array" ref="AE291">IF(OR(H291&lt;N$3,H291&gt;N$7),H291,#N/A)</f>
        <v>#N/A</v>
      </c>
      <c r="AF291">
        <f t="shared" si="5"/>
        <v>4</v>
      </c>
      <c r="AG291" t="e">
        <f t="array" ref="AG291">IF(OR(I291&lt;O$3,I291&gt;O$7),I291,#N/A)</f>
        <v>#N/A</v>
      </c>
    </row>
    <row r="292" spans="1:33" x14ac:dyDescent="0.25">
      <c r="A292">
        <v>291</v>
      </c>
      <c r="B292">
        <f ca="1">SMALL(dados!A$23:A$422,A292)</f>
        <v>0.75364703544592437</v>
      </c>
      <c r="E292">
        <v>289</v>
      </c>
      <c r="F292">
        <v>16.818181818181817</v>
      </c>
      <c r="G292">
        <v>15.75</v>
      </c>
      <c r="H292">
        <v>14</v>
      </c>
      <c r="I292">
        <v>14.25</v>
      </c>
      <c r="Z292">
        <v>1</v>
      </c>
      <c r="AA292" t="e">
        <f t="array" ref="AA292">IF(OR(F292&lt;L$3,F292&gt;L$7),F292,#N/A)</f>
        <v>#N/A</v>
      </c>
      <c r="AB292">
        <f t="shared" si="5"/>
        <v>2</v>
      </c>
      <c r="AC292" t="e">
        <f t="array" ref="AC292">IF(OR(G292&lt;M$3,G292&gt;M$7),G292,#N/A)</f>
        <v>#N/A</v>
      </c>
      <c r="AD292">
        <f t="shared" si="5"/>
        <v>3</v>
      </c>
      <c r="AE292" t="e">
        <f t="array" ref="AE292">IF(OR(H292&lt;N$3,H292&gt;N$7),H292,#N/A)</f>
        <v>#N/A</v>
      </c>
      <c r="AF292">
        <f t="shared" si="5"/>
        <v>4</v>
      </c>
      <c r="AG292" t="e">
        <f t="array" ref="AG292">IF(OR(I292&lt;O$3,I292&gt;O$7),I292,#N/A)</f>
        <v>#N/A</v>
      </c>
    </row>
    <row r="293" spans="1:33" x14ac:dyDescent="0.25">
      <c r="A293">
        <v>292</v>
      </c>
      <c r="B293">
        <f ca="1">SMALL(dados!A$23:A$422,A293)</f>
        <v>0.75449348124877891</v>
      </c>
      <c r="E293">
        <v>290</v>
      </c>
      <c r="F293">
        <v>11.818181818181818</v>
      </c>
      <c r="G293">
        <v>11.25</v>
      </c>
      <c r="H293">
        <v>13.78</v>
      </c>
      <c r="I293">
        <v>12.73</v>
      </c>
      <c r="Z293">
        <v>1</v>
      </c>
      <c r="AA293" t="e">
        <f t="array" ref="AA293">IF(OR(F293&lt;L$3,F293&gt;L$7),F293,#N/A)</f>
        <v>#N/A</v>
      </c>
      <c r="AB293">
        <f t="shared" si="5"/>
        <v>2</v>
      </c>
      <c r="AC293" t="e">
        <f t="array" ref="AC293">IF(OR(G293&lt;M$3,G293&gt;M$7),G293,#N/A)</f>
        <v>#N/A</v>
      </c>
      <c r="AD293">
        <f t="shared" si="5"/>
        <v>3</v>
      </c>
      <c r="AE293" t="e">
        <f t="array" ref="AE293">IF(OR(H293&lt;N$3,H293&gt;N$7),H293,#N/A)</f>
        <v>#N/A</v>
      </c>
      <c r="AF293">
        <f t="shared" si="5"/>
        <v>4</v>
      </c>
      <c r="AG293" t="e">
        <f t="array" ref="AG293">IF(OR(I293&lt;O$3,I293&gt;O$7),I293,#N/A)</f>
        <v>#N/A</v>
      </c>
    </row>
    <row r="294" spans="1:33" x14ac:dyDescent="0.25">
      <c r="A294">
        <v>293</v>
      </c>
      <c r="B294">
        <f ca="1">SMALL(dados!A$23:A$422,A294)</f>
        <v>0.76259002476558679</v>
      </c>
      <c r="E294">
        <v>291</v>
      </c>
      <c r="F294">
        <v>17.545454545454547</v>
      </c>
      <c r="G294">
        <v>15.6</v>
      </c>
      <c r="H294">
        <v>13.12</v>
      </c>
      <c r="I294">
        <v>14.23</v>
      </c>
      <c r="Z294">
        <v>1</v>
      </c>
      <c r="AA294" t="e">
        <f t="array" ref="AA294">IF(OR(F294&lt;L$3,F294&gt;L$7),F294,#N/A)</f>
        <v>#N/A</v>
      </c>
      <c r="AB294">
        <f t="shared" si="5"/>
        <v>2</v>
      </c>
      <c r="AC294" t="e">
        <f t="array" ref="AC294">IF(OR(G294&lt;M$3,G294&gt;M$7),G294,#N/A)</f>
        <v>#N/A</v>
      </c>
      <c r="AD294">
        <f t="shared" si="5"/>
        <v>3</v>
      </c>
      <c r="AE294" t="e">
        <f t="array" ref="AE294">IF(OR(H294&lt;N$3,H294&gt;N$7),H294,#N/A)</f>
        <v>#N/A</v>
      </c>
      <c r="AF294">
        <f t="shared" si="5"/>
        <v>4</v>
      </c>
      <c r="AG294" t="e">
        <f t="array" ref="AG294">IF(OR(I294&lt;O$3,I294&gt;O$7),I294,#N/A)</f>
        <v>#N/A</v>
      </c>
    </row>
    <row r="295" spans="1:33" x14ac:dyDescent="0.25">
      <c r="A295">
        <v>294</v>
      </c>
      <c r="B295">
        <f ca="1">SMALL(dados!A$23:A$422,A295)</f>
        <v>0.76321120902305539</v>
      </c>
      <c r="E295">
        <v>292</v>
      </c>
      <c r="F295">
        <v>13.636363636363637</v>
      </c>
      <c r="G295">
        <v>14.55</v>
      </c>
      <c r="H295">
        <v>14.76</v>
      </c>
      <c r="I295">
        <v>13.85</v>
      </c>
      <c r="Z295">
        <v>1</v>
      </c>
      <c r="AA295" t="e">
        <f t="array" ref="AA295">IF(OR(F295&lt;L$3,F295&gt;L$7),F295,#N/A)</f>
        <v>#N/A</v>
      </c>
      <c r="AB295">
        <f t="shared" si="5"/>
        <v>2</v>
      </c>
      <c r="AC295" t="e">
        <f t="array" ref="AC295">IF(OR(G295&lt;M$3,G295&gt;M$7),G295,#N/A)</f>
        <v>#N/A</v>
      </c>
      <c r="AD295">
        <f t="shared" si="5"/>
        <v>3</v>
      </c>
      <c r="AE295" t="e">
        <f t="array" ref="AE295">IF(OR(H295&lt;N$3,H295&gt;N$7),H295,#N/A)</f>
        <v>#N/A</v>
      </c>
      <c r="AF295">
        <f t="shared" si="5"/>
        <v>4</v>
      </c>
      <c r="AG295" t="e">
        <f t="array" ref="AG295">IF(OR(I295&lt;O$3,I295&gt;O$7),I295,#N/A)</f>
        <v>#N/A</v>
      </c>
    </row>
    <row r="296" spans="1:33" x14ac:dyDescent="0.25">
      <c r="A296">
        <v>295</v>
      </c>
      <c r="B296">
        <f ca="1">SMALL(dados!A$23:A$422,A296)</f>
        <v>0.76358618808144674</v>
      </c>
      <c r="E296">
        <v>293</v>
      </c>
      <c r="F296">
        <v>15.272727272727273</v>
      </c>
      <c r="G296">
        <v>14.2</v>
      </c>
      <c r="H296">
        <v>13.3</v>
      </c>
      <c r="I296">
        <v>14.25</v>
      </c>
      <c r="Z296">
        <v>1</v>
      </c>
      <c r="AA296" t="e">
        <f t="array" ref="AA296">IF(OR(F296&lt;L$3,F296&gt;L$7),F296,#N/A)</f>
        <v>#N/A</v>
      </c>
      <c r="AB296">
        <f t="shared" si="5"/>
        <v>2</v>
      </c>
      <c r="AC296" t="e">
        <f t="array" ref="AC296">IF(OR(G296&lt;M$3,G296&gt;M$7),G296,#N/A)</f>
        <v>#N/A</v>
      </c>
      <c r="AD296">
        <f t="shared" si="5"/>
        <v>3</v>
      </c>
      <c r="AE296" t="e">
        <f t="array" ref="AE296">IF(OR(H296&lt;N$3,H296&gt;N$7),H296,#N/A)</f>
        <v>#N/A</v>
      </c>
      <c r="AF296">
        <f t="shared" si="5"/>
        <v>4</v>
      </c>
      <c r="AG296" t="e">
        <f t="array" ref="AG296">IF(OR(I296&lt;O$3,I296&gt;O$7),I296,#N/A)</f>
        <v>#N/A</v>
      </c>
    </row>
    <row r="297" spans="1:33" x14ac:dyDescent="0.25">
      <c r="A297">
        <v>296</v>
      </c>
      <c r="B297">
        <f ca="1">SMALL(dados!A$23:A$422,A297)</f>
        <v>0.76374830831285045</v>
      </c>
      <c r="E297">
        <v>294</v>
      </c>
      <c r="F297">
        <v>10.090909090909092</v>
      </c>
      <c r="G297">
        <v>11.65</v>
      </c>
      <c r="H297">
        <v>11.98</v>
      </c>
      <c r="I297">
        <v>13.1</v>
      </c>
      <c r="Z297">
        <v>1</v>
      </c>
      <c r="AA297" t="e">
        <f t="array" ref="AA297">IF(OR(F297&lt;L$3,F297&gt;L$7),F297,#N/A)</f>
        <v>#N/A</v>
      </c>
      <c r="AB297">
        <f t="shared" si="5"/>
        <v>2</v>
      </c>
      <c r="AC297" t="e">
        <f t="array" ref="AC297">IF(OR(G297&lt;M$3,G297&gt;M$7),G297,#N/A)</f>
        <v>#N/A</v>
      </c>
      <c r="AD297">
        <f t="shared" si="5"/>
        <v>3</v>
      </c>
      <c r="AE297" t="e">
        <f t="array" ref="AE297">IF(OR(H297&lt;N$3,H297&gt;N$7),H297,#N/A)</f>
        <v>#N/A</v>
      </c>
      <c r="AF297">
        <f t="shared" si="5"/>
        <v>4</v>
      </c>
      <c r="AG297" t="e">
        <f t="array" ref="AG297">IF(OR(I297&lt;O$3,I297&gt;O$7),I297,#N/A)</f>
        <v>#N/A</v>
      </c>
    </row>
    <row r="298" spans="1:33" x14ac:dyDescent="0.25">
      <c r="A298">
        <v>297</v>
      </c>
      <c r="B298">
        <f ca="1">SMALL(dados!A$23:A$422,A298)</f>
        <v>0.76603091506089982</v>
      </c>
      <c r="E298">
        <v>295</v>
      </c>
      <c r="F298">
        <v>15.363636363636363</v>
      </c>
      <c r="G298">
        <v>14.95</v>
      </c>
      <c r="H298">
        <v>12.7</v>
      </c>
      <c r="I298">
        <v>13.53</v>
      </c>
      <c r="Z298">
        <v>1</v>
      </c>
      <c r="AA298" t="e">
        <f t="array" ref="AA298">IF(OR(F298&lt;L$3,F298&gt;L$7),F298,#N/A)</f>
        <v>#N/A</v>
      </c>
      <c r="AB298">
        <f t="shared" si="5"/>
        <v>2</v>
      </c>
      <c r="AC298" t="e">
        <f t="array" ref="AC298">IF(OR(G298&lt;M$3,G298&gt;M$7),G298,#N/A)</f>
        <v>#N/A</v>
      </c>
      <c r="AD298">
        <f t="shared" si="5"/>
        <v>3</v>
      </c>
      <c r="AE298" t="e">
        <f t="array" ref="AE298">IF(OR(H298&lt;N$3,H298&gt;N$7),H298,#N/A)</f>
        <v>#N/A</v>
      </c>
      <c r="AF298">
        <f t="shared" si="5"/>
        <v>4</v>
      </c>
      <c r="AG298" t="e">
        <f t="array" ref="AG298">IF(OR(I298&lt;O$3,I298&gt;O$7),I298,#N/A)</f>
        <v>#N/A</v>
      </c>
    </row>
    <row r="299" spans="1:33" x14ac:dyDescent="0.25">
      <c r="A299">
        <v>298</v>
      </c>
      <c r="B299">
        <f ca="1">SMALL(dados!A$23:A$422,A299)</f>
        <v>0.76704140344278782</v>
      </c>
      <c r="E299">
        <v>296</v>
      </c>
      <c r="F299">
        <v>11.363636363636363</v>
      </c>
      <c r="G299">
        <v>13.05</v>
      </c>
      <c r="H299">
        <v>12.86</v>
      </c>
      <c r="I299">
        <v>14.44</v>
      </c>
      <c r="Z299">
        <v>1</v>
      </c>
      <c r="AA299" t="e">
        <f t="array" ref="AA299">IF(OR(F299&lt;L$3,F299&gt;L$7),F299,#N/A)</f>
        <v>#N/A</v>
      </c>
      <c r="AB299">
        <f t="shared" si="5"/>
        <v>2</v>
      </c>
      <c r="AC299" t="e">
        <f t="array" ref="AC299">IF(OR(G299&lt;M$3,G299&gt;M$7),G299,#N/A)</f>
        <v>#N/A</v>
      </c>
      <c r="AD299">
        <f t="shared" si="5"/>
        <v>3</v>
      </c>
      <c r="AE299" t="e">
        <f t="array" ref="AE299">IF(OR(H299&lt;N$3,H299&gt;N$7),H299,#N/A)</f>
        <v>#N/A</v>
      </c>
      <c r="AF299">
        <f t="shared" si="5"/>
        <v>4</v>
      </c>
      <c r="AG299" t="e">
        <f t="array" ref="AG299">IF(OR(I299&lt;O$3,I299&gt;O$7),I299,#N/A)</f>
        <v>#N/A</v>
      </c>
    </row>
    <row r="300" spans="1:33" x14ac:dyDescent="0.25">
      <c r="A300">
        <v>299</v>
      </c>
      <c r="B300">
        <f ca="1">SMALL(dados!A$23:A$422,A300)</f>
        <v>0.76735262559017903</v>
      </c>
      <c r="E300">
        <v>297</v>
      </c>
      <c r="F300">
        <v>11.727272727272727</v>
      </c>
      <c r="G300">
        <v>15.55</v>
      </c>
      <c r="H300">
        <v>15.84</v>
      </c>
      <c r="I300">
        <v>14.78</v>
      </c>
      <c r="Z300">
        <v>1</v>
      </c>
      <c r="AA300" t="e">
        <f t="array" ref="AA300">IF(OR(F300&lt;L$3,F300&gt;L$7),F300,#N/A)</f>
        <v>#N/A</v>
      </c>
      <c r="AB300">
        <f t="shared" si="5"/>
        <v>2</v>
      </c>
      <c r="AC300" t="e">
        <f t="array" ref="AC300">IF(OR(G300&lt;M$3,G300&gt;M$7),G300,#N/A)</f>
        <v>#N/A</v>
      </c>
      <c r="AD300">
        <f t="shared" si="5"/>
        <v>3</v>
      </c>
      <c r="AE300" t="e">
        <f t="array" ref="AE300">IF(OR(H300&lt;N$3,H300&gt;N$7),H300,#N/A)</f>
        <v>#N/A</v>
      </c>
      <c r="AF300">
        <f t="shared" si="5"/>
        <v>4</v>
      </c>
      <c r="AG300" t="e">
        <f t="array" ref="AG300">IF(OR(I300&lt;O$3,I300&gt;O$7),I300,#N/A)</f>
        <v>#N/A</v>
      </c>
    </row>
    <row r="301" spans="1:33" x14ac:dyDescent="0.25">
      <c r="A301">
        <v>300</v>
      </c>
      <c r="B301">
        <f ca="1">SMALL(dados!A$23:A$422,A301)</f>
        <v>0.77031527455082949</v>
      </c>
      <c r="E301">
        <v>298</v>
      </c>
      <c r="F301">
        <v>10.727272727272727</v>
      </c>
      <c r="G301">
        <v>13.95</v>
      </c>
      <c r="H301">
        <v>13.08</v>
      </c>
      <c r="I301">
        <v>13.95</v>
      </c>
      <c r="Z301">
        <v>1</v>
      </c>
      <c r="AA301" t="e">
        <f t="array" ref="AA301">IF(OR(F301&lt;L$3,F301&gt;L$7),F301,#N/A)</f>
        <v>#N/A</v>
      </c>
      <c r="AB301">
        <f t="shared" si="5"/>
        <v>2</v>
      </c>
      <c r="AC301" t="e">
        <f t="array" ref="AC301">IF(OR(G301&lt;M$3,G301&gt;M$7),G301,#N/A)</f>
        <v>#N/A</v>
      </c>
      <c r="AD301">
        <f t="shared" si="5"/>
        <v>3</v>
      </c>
      <c r="AE301" t="e">
        <f t="array" ref="AE301">IF(OR(H301&lt;N$3,H301&gt;N$7),H301,#N/A)</f>
        <v>#N/A</v>
      </c>
      <c r="AF301">
        <f t="shared" si="5"/>
        <v>4</v>
      </c>
      <c r="AG301" t="e">
        <f t="array" ref="AG301">IF(OR(I301&lt;O$3,I301&gt;O$7),I301,#N/A)</f>
        <v>#N/A</v>
      </c>
    </row>
    <row r="302" spans="1:33" x14ac:dyDescent="0.25">
      <c r="A302">
        <v>301</v>
      </c>
      <c r="B302">
        <f ca="1">SMALL(dados!A$23:A$422,A302)</f>
        <v>0.7753445129807206</v>
      </c>
      <c r="E302">
        <v>299</v>
      </c>
      <c r="F302">
        <v>11.636363636363637</v>
      </c>
      <c r="G302">
        <v>11.95</v>
      </c>
      <c r="H302">
        <v>12.56</v>
      </c>
      <c r="I302">
        <v>13.4</v>
      </c>
      <c r="Z302">
        <v>1</v>
      </c>
      <c r="AA302" t="e">
        <f t="array" ref="AA302">IF(OR(F302&lt;L$3,F302&gt;L$7),F302,#N/A)</f>
        <v>#N/A</v>
      </c>
      <c r="AB302">
        <f t="shared" si="5"/>
        <v>2</v>
      </c>
      <c r="AC302" t="e">
        <f t="array" ref="AC302">IF(OR(G302&lt;M$3,G302&gt;M$7),G302,#N/A)</f>
        <v>#N/A</v>
      </c>
      <c r="AD302">
        <f t="shared" si="5"/>
        <v>3</v>
      </c>
      <c r="AE302" t="e">
        <f t="array" ref="AE302">IF(OR(H302&lt;N$3,H302&gt;N$7),H302,#N/A)</f>
        <v>#N/A</v>
      </c>
      <c r="AF302">
        <f t="shared" si="5"/>
        <v>4</v>
      </c>
      <c r="AG302" t="e">
        <f t="array" ref="AG302">IF(OR(I302&lt;O$3,I302&gt;O$7),I302,#N/A)</f>
        <v>#N/A</v>
      </c>
    </row>
    <row r="303" spans="1:33" x14ac:dyDescent="0.25">
      <c r="A303">
        <v>302</v>
      </c>
      <c r="B303">
        <f ca="1">SMALL(dados!A$23:A$422,A303)</f>
        <v>0.78222052058319635</v>
      </c>
      <c r="E303">
        <v>300</v>
      </c>
      <c r="F303">
        <v>13.636363636363637</v>
      </c>
      <c r="G303">
        <v>14.05</v>
      </c>
      <c r="H303">
        <v>13.88</v>
      </c>
      <c r="I303">
        <v>14.04</v>
      </c>
      <c r="Z303">
        <v>1</v>
      </c>
      <c r="AA303" t="e">
        <f t="array" ref="AA303">IF(OR(F303&lt;L$3,F303&gt;L$7),F303,#N/A)</f>
        <v>#N/A</v>
      </c>
      <c r="AB303">
        <f t="shared" si="5"/>
        <v>2</v>
      </c>
      <c r="AC303" t="e">
        <f t="array" ref="AC303">IF(OR(G303&lt;M$3,G303&gt;M$7),G303,#N/A)</f>
        <v>#N/A</v>
      </c>
      <c r="AD303">
        <f t="shared" si="5"/>
        <v>3</v>
      </c>
      <c r="AE303" t="e">
        <f t="array" ref="AE303">IF(OR(H303&lt;N$3,H303&gt;N$7),H303,#N/A)</f>
        <v>#N/A</v>
      </c>
      <c r="AF303">
        <f t="shared" si="5"/>
        <v>4</v>
      </c>
      <c r="AG303" t="e">
        <f t="array" ref="AG303">IF(OR(I303&lt;O$3,I303&gt;O$7),I303,#N/A)</f>
        <v>#N/A</v>
      </c>
    </row>
    <row r="304" spans="1:33" x14ac:dyDescent="0.25">
      <c r="A304">
        <v>303</v>
      </c>
      <c r="B304">
        <f ca="1">SMALL(dados!A$23:A$422,A304)</f>
        <v>0.78519186566729693</v>
      </c>
      <c r="E304">
        <v>301</v>
      </c>
      <c r="F304">
        <v>14.636363636363637</v>
      </c>
      <c r="G304">
        <v>14.55</v>
      </c>
      <c r="H304">
        <v>13.92</v>
      </c>
      <c r="I304">
        <v>13.79</v>
      </c>
      <c r="Z304">
        <v>1</v>
      </c>
      <c r="AA304" t="e">
        <f t="array" ref="AA304">IF(OR(F304&lt;L$3,F304&gt;L$7),F304,#N/A)</f>
        <v>#N/A</v>
      </c>
      <c r="AB304">
        <f t="shared" si="5"/>
        <v>2</v>
      </c>
      <c r="AC304" t="e">
        <f t="array" ref="AC304">IF(OR(G304&lt;M$3,G304&gt;M$7),G304,#N/A)</f>
        <v>#N/A</v>
      </c>
      <c r="AD304">
        <f t="shared" si="5"/>
        <v>3</v>
      </c>
      <c r="AE304" t="e">
        <f t="array" ref="AE304">IF(OR(H304&lt;N$3,H304&gt;N$7),H304,#N/A)</f>
        <v>#N/A</v>
      </c>
      <c r="AF304">
        <f t="shared" si="5"/>
        <v>4</v>
      </c>
      <c r="AG304" t="e">
        <f t="array" ref="AG304">IF(OR(I304&lt;O$3,I304&gt;O$7),I304,#N/A)</f>
        <v>#N/A</v>
      </c>
    </row>
    <row r="305" spans="1:33" x14ac:dyDescent="0.25">
      <c r="A305">
        <v>304</v>
      </c>
      <c r="B305">
        <f ca="1">SMALL(dados!A$23:A$422,A305)</f>
        <v>0.78520520700254925</v>
      </c>
      <c r="E305">
        <v>302</v>
      </c>
      <c r="F305">
        <v>11.545454545454545</v>
      </c>
      <c r="G305">
        <v>12.65</v>
      </c>
      <c r="H305">
        <v>14.92</v>
      </c>
      <c r="I305">
        <v>14.24</v>
      </c>
      <c r="Z305">
        <v>1</v>
      </c>
      <c r="AA305" t="e">
        <f t="array" ref="AA305">IF(OR(F305&lt;L$3,F305&gt;L$7),F305,#N/A)</f>
        <v>#N/A</v>
      </c>
      <c r="AB305">
        <f t="shared" si="5"/>
        <v>2</v>
      </c>
      <c r="AC305" t="e">
        <f t="array" ref="AC305">IF(OR(G305&lt;M$3,G305&gt;M$7),G305,#N/A)</f>
        <v>#N/A</v>
      </c>
      <c r="AD305">
        <f t="shared" si="5"/>
        <v>3</v>
      </c>
      <c r="AE305" t="e">
        <f t="array" ref="AE305">IF(OR(H305&lt;N$3,H305&gt;N$7),H305,#N/A)</f>
        <v>#N/A</v>
      </c>
      <c r="AF305">
        <f t="shared" si="5"/>
        <v>4</v>
      </c>
      <c r="AG305" t="e">
        <f t="array" ref="AG305">IF(OR(I305&lt;O$3,I305&gt;O$7),I305,#N/A)</f>
        <v>#N/A</v>
      </c>
    </row>
    <row r="306" spans="1:33" x14ac:dyDescent="0.25">
      <c r="A306">
        <v>305</v>
      </c>
      <c r="B306">
        <f ca="1">SMALL(dados!A$23:A$422,A306)</f>
        <v>0.78772826638514215</v>
      </c>
      <c r="E306">
        <v>303</v>
      </c>
      <c r="F306">
        <v>14.454545454545455</v>
      </c>
      <c r="G306">
        <v>14.95</v>
      </c>
      <c r="H306">
        <v>14.48</v>
      </c>
      <c r="I306">
        <v>13.87</v>
      </c>
      <c r="Z306">
        <v>1</v>
      </c>
      <c r="AA306" t="e">
        <f t="array" ref="AA306">IF(OR(F306&lt;L$3,F306&gt;L$7),F306,#N/A)</f>
        <v>#N/A</v>
      </c>
      <c r="AB306">
        <f t="shared" si="5"/>
        <v>2</v>
      </c>
      <c r="AC306" t="e">
        <f t="array" ref="AC306">IF(OR(G306&lt;M$3,G306&gt;M$7),G306,#N/A)</f>
        <v>#N/A</v>
      </c>
      <c r="AD306">
        <f t="shared" si="5"/>
        <v>3</v>
      </c>
      <c r="AE306" t="e">
        <f t="array" ref="AE306">IF(OR(H306&lt;N$3,H306&gt;N$7),H306,#N/A)</f>
        <v>#N/A</v>
      </c>
      <c r="AF306">
        <f t="shared" si="5"/>
        <v>4</v>
      </c>
      <c r="AG306" t="e">
        <f t="array" ref="AG306">IF(OR(I306&lt;O$3,I306&gt;O$7),I306,#N/A)</f>
        <v>#N/A</v>
      </c>
    </row>
    <row r="307" spans="1:33" x14ac:dyDescent="0.25">
      <c r="A307">
        <v>306</v>
      </c>
      <c r="B307">
        <f ca="1">SMALL(dados!A$23:A$422,A307)</f>
        <v>0.78828423855081498</v>
      </c>
      <c r="E307">
        <v>304</v>
      </c>
      <c r="F307">
        <v>12.272727272727273</v>
      </c>
      <c r="G307">
        <v>12.25</v>
      </c>
      <c r="H307">
        <v>13.42</v>
      </c>
      <c r="I307">
        <v>14.36</v>
      </c>
      <c r="Z307">
        <v>1</v>
      </c>
      <c r="AA307" t="e">
        <f t="array" ref="AA307">IF(OR(F307&lt;L$3,F307&gt;L$7),F307,#N/A)</f>
        <v>#N/A</v>
      </c>
      <c r="AB307">
        <f t="shared" si="5"/>
        <v>2</v>
      </c>
      <c r="AC307" t="e">
        <f t="array" ref="AC307">IF(OR(G307&lt;M$3,G307&gt;M$7),G307,#N/A)</f>
        <v>#N/A</v>
      </c>
      <c r="AD307">
        <f t="shared" si="5"/>
        <v>3</v>
      </c>
      <c r="AE307" t="e">
        <f t="array" ref="AE307">IF(OR(H307&lt;N$3,H307&gt;N$7),H307,#N/A)</f>
        <v>#N/A</v>
      </c>
      <c r="AF307">
        <f t="shared" si="5"/>
        <v>4</v>
      </c>
      <c r="AG307" t="e">
        <f t="array" ref="AG307">IF(OR(I307&lt;O$3,I307&gt;O$7),I307,#N/A)</f>
        <v>#N/A</v>
      </c>
    </row>
    <row r="308" spans="1:33" x14ac:dyDescent="0.25">
      <c r="A308">
        <v>307</v>
      </c>
      <c r="B308">
        <f ca="1">SMALL(dados!A$23:A$422,A308)</f>
        <v>0.78896752743547849</v>
      </c>
      <c r="E308">
        <v>305</v>
      </c>
      <c r="F308">
        <v>13.818181818181818</v>
      </c>
      <c r="G308">
        <v>13.2</v>
      </c>
      <c r="H308">
        <v>13.08</v>
      </c>
      <c r="I308">
        <v>13.24</v>
      </c>
      <c r="Z308">
        <v>1</v>
      </c>
      <c r="AA308" t="e">
        <f t="array" ref="AA308">IF(OR(F308&lt;L$3,F308&gt;L$7),F308,#N/A)</f>
        <v>#N/A</v>
      </c>
      <c r="AB308">
        <f t="shared" si="5"/>
        <v>2</v>
      </c>
      <c r="AC308" t="e">
        <f t="array" ref="AC308">IF(OR(G308&lt;M$3,G308&gt;M$7),G308,#N/A)</f>
        <v>#N/A</v>
      </c>
      <c r="AD308">
        <f t="shared" si="5"/>
        <v>3</v>
      </c>
      <c r="AE308" t="e">
        <f t="array" ref="AE308">IF(OR(H308&lt;N$3,H308&gt;N$7),H308,#N/A)</f>
        <v>#N/A</v>
      </c>
      <c r="AF308">
        <f t="shared" si="5"/>
        <v>4</v>
      </c>
      <c r="AG308" t="e">
        <f t="array" ref="AG308">IF(OR(I308&lt;O$3,I308&gt;O$7),I308,#N/A)</f>
        <v>#N/A</v>
      </c>
    </row>
    <row r="309" spans="1:33" x14ac:dyDescent="0.25">
      <c r="A309">
        <v>308</v>
      </c>
      <c r="B309">
        <f ca="1">SMALL(dados!A$23:A$422,A309)</f>
        <v>0.79524648415424892</v>
      </c>
      <c r="E309">
        <v>306</v>
      </c>
      <c r="F309">
        <v>15</v>
      </c>
      <c r="G309">
        <v>15.1</v>
      </c>
      <c r="H309">
        <v>16.32</v>
      </c>
      <c r="I309">
        <v>15.2</v>
      </c>
      <c r="Z309">
        <v>1</v>
      </c>
      <c r="AA309" t="e">
        <f t="array" ref="AA309">IF(OR(F309&lt;L$3,F309&gt;L$7),F309,#N/A)</f>
        <v>#N/A</v>
      </c>
      <c r="AB309">
        <f t="shared" si="5"/>
        <v>2</v>
      </c>
      <c r="AC309" t="e">
        <f t="array" ref="AC309">IF(OR(G309&lt;M$3,G309&gt;M$7),G309,#N/A)</f>
        <v>#N/A</v>
      </c>
      <c r="AD309">
        <f t="shared" si="5"/>
        <v>3</v>
      </c>
      <c r="AE309" t="e">
        <f t="array" ref="AE309">IF(OR(H309&lt;N$3,H309&gt;N$7),H309,#N/A)</f>
        <v>#N/A</v>
      </c>
      <c r="AF309">
        <f t="shared" si="5"/>
        <v>4</v>
      </c>
      <c r="AG309" t="e">
        <f t="array" ref="AG309">IF(OR(I309&lt;O$3,I309&gt;O$7),I309,#N/A)</f>
        <v>#N/A</v>
      </c>
    </row>
    <row r="310" spans="1:33" x14ac:dyDescent="0.25">
      <c r="A310">
        <v>309</v>
      </c>
      <c r="B310">
        <f ca="1">SMALL(dados!A$23:A$422,A310)</f>
        <v>0.79594678053996315</v>
      </c>
      <c r="E310">
        <v>307</v>
      </c>
      <c r="F310">
        <v>15.454545454545455</v>
      </c>
      <c r="G310">
        <v>14.5</v>
      </c>
      <c r="H310">
        <v>12.78</v>
      </c>
      <c r="I310">
        <v>14.96</v>
      </c>
      <c r="Z310">
        <v>1</v>
      </c>
      <c r="AA310" t="e">
        <f t="array" ref="AA310">IF(OR(F310&lt;L$3,F310&gt;L$7),F310,#N/A)</f>
        <v>#N/A</v>
      </c>
      <c r="AB310">
        <f t="shared" si="5"/>
        <v>2</v>
      </c>
      <c r="AC310" t="e">
        <f t="array" ref="AC310">IF(OR(G310&lt;M$3,G310&gt;M$7),G310,#N/A)</f>
        <v>#N/A</v>
      </c>
      <c r="AD310">
        <f t="shared" si="5"/>
        <v>3</v>
      </c>
      <c r="AE310" t="e">
        <f t="array" ref="AE310">IF(OR(H310&lt;N$3,H310&gt;N$7),H310,#N/A)</f>
        <v>#N/A</v>
      </c>
      <c r="AF310">
        <f t="shared" si="5"/>
        <v>4</v>
      </c>
      <c r="AG310" t="e">
        <f t="array" ref="AG310">IF(OR(I310&lt;O$3,I310&gt;O$7),I310,#N/A)</f>
        <v>#N/A</v>
      </c>
    </row>
    <row r="311" spans="1:33" x14ac:dyDescent="0.25">
      <c r="A311">
        <v>310</v>
      </c>
      <c r="B311">
        <f ca="1">SMALL(dados!A$23:A$422,A311)</f>
        <v>0.79991326554066167</v>
      </c>
      <c r="E311">
        <v>308</v>
      </c>
      <c r="F311">
        <v>14.727272727272727</v>
      </c>
      <c r="G311">
        <v>14.35</v>
      </c>
      <c r="H311">
        <v>14.12</v>
      </c>
      <c r="I311">
        <v>14.23</v>
      </c>
      <c r="Z311">
        <v>1</v>
      </c>
      <c r="AA311" t="e">
        <f t="array" ref="AA311">IF(OR(F311&lt;L$3,F311&gt;L$7),F311,#N/A)</f>
        <v>#N/A</v>
      </c>
      <c r="AB311">
        <f t="shared" si="5"/>
        <v>2</v>
      </c>
      <c r="AC311" t="e">
        <f t="array" ref="AC311">IF(OR(G311&lt;M$3,G311&gt;M$7),G311,#N/A)</f>
        <v>#N/A</v>
      </c>
      <c r="AD311">
        <f t="shared" si="5"/>
        <v>3</v>
      </c>
      <c r="AE311" t="e">
        <f t="array" ref="AE311">IF(OR(H311&lt;N$3,H311&gt;N$7),H311,#N/A)</f>
        <v>#N/A</v>
      </c>
      <c r="AF311">
        <f t="shared" si="5"/>
        <v>4</v>
      </c>
      <c r="AG311" t="e">
        <f t="array" ref="AG311">IF(OR(I311&lt;O$3,I311&gt;O$7),I311,#N/A)</f>
        <v>#N/A</v>
      </c>
    </row>
    <row r="312" spans="1:33" x14ac:dyDescent="0.25">
      <c r="A312">
        <v>311</v>
      </c>
      <c r="B312">
        <f ca="1">SMALL(dados!A$23:A$422,A312)</f>
        <v>0.80006387129105239</v>
      </c>
      <c r="E312">
        <v>309</v>
      </c>
      <c r="F312">
        <v>12.181818181818182</v>
      </c>
      <c r="G312">
        <v>12.85</v>
      </c>
      <c r="H312">
        <v>13.7</v>
      </c>
      <c r="I312">
        <v>14.61</v>
      </c>
      <c r="Z312">
        <v>1</v>
      </c>
      <c r="AA312" t="e">
        <f t="array" ref="AA312">IF(OR(F312&lt;L$3,F312&gt;L$7),F312,#N/A)</f>
        <v>#N/A</v>
      </c>
      <c r="AB312">
        <f t="shared" si="5"/>
        <v>2</v>
      </c>
      <c r="AC312" t="e">
        <f t="array" ref="AC312">IF(OR(G312&lt;M$3,G312&gt;M$7),G312,#N/A)</f>
        <v>#N/A</v>
      </c>
      <c r="AD312">
        <f t="shared" si="5"/>
        <v>3</v>
      </c>
      <c r="AE312" t="e">
        <f t="array" ref="AE312">IF(OR(H312&lt;N$3,H312&gt;N$7),H312,#N/A)</f>
        <v>#N/A</v>
      </c>
      <c r="AF312">
        <f t="shared" si="5"/>
        <v>4</v>
      </c>
      <c r="AG312" t="e">
        <f t="array" ref="AG312">IF(OR(I312&lt;O$3,I312&gt;O$7),I312,#N/A)</f>
        <v>#N/A</v>
      </c>
    </row>
    <row r="313" spans="1:33" x14ac:dyDescent="0.25">
      <c r="A313">
        <v>312</v>
      </c>
      <c r="B313">
        <f ca="1">SMALL(dados!A$23:A$422,A313)</f>
        <v>0.80084907523849214</v>
      </c>
      <c r="E313">
        <v>310</v>
      </c>
      <c r="F313">
        <v>14.454545454545455</v>
      </c>
      <c r="G313">
        <v>16.2</v>
      </c>
      <c r="H313">
        <v>14.46</v>
      </c>
      <c r="I313">
        <v>15.11</v>
      </c>
      <c r="Z313">
        <v>1</v>
      </c>
      <c r="AA313" t="e">
        <f t="array" ref="AA313">IF(OR(F313&lt;L$3,F313&gt;L$7),F313,#N/A)</f>
        <v>#N/A</v>
      </c>
      <c r="AB313">
        <f t="shared" si="5"/>
        <v>2</v>
      </c>
      <c r="AC313" t="e">
        <f t="array" ref="AC313">IF(OR(G313&lt;M$3,G313&gt;M$7),G313,#N/A)</f>
        <v>#N/A</v>
      </c>
      <c r="AD313">
        <f t="shared" si="5"/>
        <v>3</v>
      </c>
      <c r="AE313" t="e">
        <f t="array" ref="AE313">IF(OR(H313&lt;N$3,H313&gt;N$7),H313,#N/A)</f>
        <v>#N/A</v>
      </c>
      <c r="AF313">
        <f t="shared" si="5"/>
        <v>4</v>
      </c>
      <c r="AG313" t="e">
        <f t="array" ref="AG313">IF(OR(I313&lt;O$3,I313&gt;O$7),I313,#N/A)</f>
        <v>#N/A</v>
      </c>
    </row>
    <row r="314" spans="1:33" x14ac:dyDescent="0.25">
      <c r="A314">
        <v>313</v>
      </c>
      <c r="B314">
        <f ca="1">SMALL(dados!A$23:A$422,A314)</f>
        <v>0.80182042754847938</v>
      </c>
      <c r="E314">
        <v>311</v>
      </c>
      <c r="F314">
        <v>13.727272727272727</v>
      </c>
      <c r="G314">
        <v>14.35</v>
      </c>
      <c r="H314">
        <v>14.6</v>
      </c>
      <c r="I314">
        <v>13.91</v>
      </c>
      <c r="Z314">
        <v>1</v>
      </c>
      <c r="AA314" t="e">
        <f t="array" ref="AA314">IF(OR(F314&lt;L$3,F314&gt;L$7),F314,#N/A)</f>
        <v>#N/A</v>
      </c>
      <c r="AB314">
        <f t="shared" si="5"/>
        <v>2</v>
      </c>
      <c r="AC314" t="e">
        <f t="array" ref="AC314">IF(OR(G314&lt;M$3,G314&gt;M$7),G314,#N/A)</f>
        <v>#N/A</v>
      </c>
      <c r="AD314">
        <f t="shared" si="5"/>
        <v>3</v>
      </c>
      <c r="AE314" t="e">
        <f t="array" ref="AE314">IF(OR(H314&lt;N$3,H314&gt;N$7),H314,#N/A)</f>
        <v>#N/A</v>
      </c>
      <c r="AF314">
        <f t="shared" si="5"/>
        <v>4</v>
      </c>
      <c r="AG314" t="e">
        <f t="array" ref="AG314">IF(OR(I314&lt;O$3,I314&gt;O$7),I314,#N/A)</f>
        <v>#N/A</v>
      </c>
    </row>
    <row r="315" spans="1:33" x14ac:dyDescent="0.25">
      <c r="A315">
        <v>314</v>
      </c>
      <c r="B315">
        <f ca="1">SMALL(dados!A$23:A$422,A315)</f>
        <v>0.80218169050425669</v>
      </c>
      <c r="E315">
        <v>312</v>
      </c>
      <c r="F315">
        <v>14.727272727272727</v>
      </c>
      <c r="G315">
        <v>14.2</v>
      </c>
      <c r="H315">
        <v>12.96</v>
      </c>
      <c r="I315">
        <v>13.55</v>
      </c>
      <c r="Z315">
        <v>1</v>
      </c>
      <c r="AA315" t="e">
        <f t="array" ref="AA315">IF(OR(F315&lt;L$3,F315&gt;L$7),F315,#N/A)</f>
        <v>#N/A</v>
      </c>
      <c r="AB315">
        <f t="shared" si="5"/>
        <v>2</v>
      </c>
      <c r="AC315" t="e">
        <f t="array" ref="AC315">IF(OR(G315&lt;M$3,G315&gt;M$7),G315,#N/A)</f>
        <v>#N/A</v>
      </c>
      <c r="AD315">
        <f t="shared" si="5"/>
        <v>3</v>
      </c>
      <c r="AE315" t="e">
        <f t="array" ref="AE315">IF(OR(H315&lt;N$3,H315&gt;N$7),H315,#N/A)</f>
        <v>#N/A</v>
      </c>
      <c r="AF315">
        <f t="shared" si="5"/>
        <v>4</v>
      </c>
      <c r="AG315" t="e">
        <f t="array" ref="AG315">IF(OR(I315&lt;O$3,I315&gt;O$7),I315,#N/A)</f>
        <v>#N/A</v>
      </c>
    </row>
    <row r="316" spans="1:33" x14ac:dyDescent="0.25">
      <c r="A316">
        <v>315</v>
      </c>
      <c r="B316">
        <f ca="1">SMALL(dados!A$23:A$422,A316)</f>
        <v>0.80293130933435397</v>
      </c>
      <c r="E316">
        <v>313</v>
      </c>
      <c r="F316">
        <v>12.818181818181818</v>
      </c>
      <c r="G316">
        <v>12.45</v>
      </c>
      <c r="H316">
        <v>12.82</v>
      </c>
      <c r="I316">
        <v>13.33</v>
      </c>
      <c r="Z316">
        <v>1</v>
      </c>
      <c r="AA316" t="e">
        <f t="array" ref="AA316">IF(OR(F316&lt;L$3,F316&gt;L$7),F316,#N/A)</f>
        <v>#N/A</v>
      </c>
      <c r="AB316">
        <f t="shared" si="5"/>
        <v>2</v>
      </c>
      <c r="AC316" t="e">
        <f t="array" ref="AC316">IF(OR(G316&lt;M$3,G316&gt;M$7),G316,#N/A)</f>
        <v>#N/A</v>
      </c>
      <c r="AD316">
        <f t="shared" si="5"/>
        <v>3</v>
      </c>
      <c r="AE316" t="e">
        <f t="array" ref="AE316">IF(OR(H316&lt;N$3,H316&gt;N$7),H316,#N/A)</f>
        <v>#N/A</v>
      </c>
      <c r="AF316">
        <f t="shared" si="5"/>
        <v>4</v>
      </c>
      <c r="AG316" t="e">
        <f t="array" ref="AG316">IF(OR(I316&lt;O$3,I316&gt;O$7),I316,#N/A)</f>
        <v>#N/A</v>
      </c>
    </row>
    <row r="317" spans="1:33" x14ac:dyDescent="0.25">
      <c r="A317">
        <v>316</v>
      </c>
      <c r="B317">
        <f ca="1">SMALL(dados!A$23:A$422,A317)</f>
        <v>0.80497882417064426</v>
      </c>
      <c r="E317">
        <v>314</v>
      </c>
      <c r="F317">
        <v>16.545454545454547</v>
      </c>
      <c r="G317">
        <v>15.1</v>
      </c>
      <c r="H317">
        <v>13.7</v>
      </c>
      <c r="I317">
        <v>13.09</v>
      </c>
      <c r="Z317">
        <v>1</v>
      </c>
      <c r="AA317" t="e">
        <f t="array" ref="AA317">IF(OR(F317&lt;L$3,F317&gt;L$7),F317,#N/A)</f>
        <v>#N/A</v>
      </c>
      <c r="AB317">
        <f t="shared" si="5"/>
        <v>2</v>
      </c>
      <c r="AC317" t="e">
        <f t="array" ref="AC317">IF(OR(G317&lt;M$3,G317&gt;M$7),G317,#N/A)</f>
        <v>#N/A</v>
      </c>
      <c r="AD317">
        <f t="shared" si="5"/>
        <v>3</v>
      </c>
      <c r="AE317" t="e">
        <f t="array" ref="AE317">IF(OR(H317&lt;N$3,H317&gt;N$7),H317,#N/A)</f>
        <v>#N/A</v>
      </c>
      <c r="AF317">
        <f t="shared" si="5"/>
        <v>4</v>
      </c>
      <c r="AG317" t="e">
        <f t="array" ref="AG317">IF(OR(I317&lt;O$3,I317&gt;O$7),I317,#N/A)</f>
        <v>#N/A</v>
      </c>
    </row>
    <row r="318" spans="1:33" x14ac:dyDescent="0.25">
      <c r="A318">
        <v>317</v>
      </c>
      <c r="B318">
        <f ca="1">SMALL(dados!A$23:A$422,A318)</f>
        <v>0.80522193070996273</v>
      </c>
      <c r="E318">
        <v>315</v>
      </c>
      <c r="F318">
        <v>13.090909090909092</v>
      </c>
      <c r="G318">
        <v>14.1</v>
      </c>
      <c r="H318">
        <v>15.2</v>
      </c>
      <c r="I318">
        <v>14.08</v>
      </c>
      <c r="Z318">
        <v>1</v>
      </c>
      <c r="AA318" t="e">
        <f t="array" ref="AA318">IF(OR(F318&lt;L$3,F318&gt;L$7),F318,#N/A)</f>
        <v>#N/A</v>
      </c>
      <c r="AB318">
        <f t="shared" si="5"/>
        <v>2</v>
      </c>
      <c r="AC318" t="e">
        <f t="array" ref="AC318">IF(OR(G318&lt;M$3,G318&gt;M$7),G318,#N/A)</f>
        <v>#N/A</v>
      </c>
      <c r="AD318">
        <f t="shared" si="5"/>
        <v>3</v>
      </c>
      <c r="AE318" t="e">
        <f t="array" ref="AE318">IF(OR(H318&lt;N$3,H318&gt;N$7),H318,#N/A)</f>
        <v>#N/A</v>
      </c>
      <c r="AF318">
        <f t="shared" si="5"/>
        <v>4</v>
      </c>
      <c r="AG318" t="e">
        <f t="array" ref="AG318">IF(OR(I318&lt;O$3,I318&gt;O$7),I318,#N/A)</f>
        <v>#N/A</v>
      </c>
    </row>
    <row r="319" spans="1:33" x14ac:dyDescent="0.25">
      <c r="A319">
        <v>318</v>
      </c>
      <c r="B319">
        <f ca="1">SMALL(dados!A$23:A$422,A319)</f>
        <v>0.80765984749642628</v>
      </c>
      <c r="E319">
        <v>316</v>
      </c>
      <c r="F319">
        <v>14.636363636363637</v>
      </c>
      <c r="G319">
        <v>14.05</v>
      </c>
      <c r="H319">
        <v>14.12</v>
      </c>
      <c r="I319">
        <v>13.53</v>
      </c>
      <c r="Z319">
        <v>1</v>
      </c>
      <c r="AA319" t="e">
        <f t="array" ref="AA319">IF(OR(F319&lt;L$3,F319&gt;L$7),F319,#N/A)</f>
        <v>#N/A</v>
      </c>
      <c r="AB319">
        <f t="shared" si="5"/>
        <v>2</v>
      </c>
      <c r="AC319" t="e">
        <f t="array" ref="AC319">IF(OR(G319&lt;M$3,G319&gt;M$7),G319,#N/A)</f>
        <v>#N/A</v>
      </c>
      <c r="AD319">
        <f t="shared" si="5"/>
        <v>3</v>
      </c>
      <c r="AE319" t="e">
        <f t="array" ref="AE319">IF(OR(H319&lt;N$3,H319&gt;N$7),H319,#N/A)</f>
        <v>#N/A</v>
      </c>
      <c r="AF319">
        <f t="shared" si="5"/>
        <v>4</v>
      </c>
      <c r="AG319" t="e">
        <f t="array" ref="AG319">IF(OR(I319&lt;O$3,I319&gt;O$7),I319,#N/A)</f>
        <v>#N/A</v>
      </c>
    </row>
    <row r="320" spans="1:33" x14ac:dyDescent="0.25">
      <c r="A320">
        <v>319</v>
      </c>
      <c r="B320">
        <f ca="1">SMALL(dados!A$23:A$422,A320)</f>
        <v>0.81198545962616009</v>
      </c>
      <c r="E320">
        <v>317</v>
      </c>
      <c r="F320">
        <v>13.181818181818182</v>
      </c>
      <c r="G320">
        <v>13.05</v>
      </c>
      <c r="H320">
        <v>16.12</v>
      </c>
      <c r="I320">
        <v>16.100000000000001</v>
      </c>
      <c r="Z320">
        <v>1</v>
      </c>
      <c r="AA320" t="e">
        <f t="array" ref="AA320">IF(OR(F320&lt;L$3,F320&gt;L$7),F320,#N/A)</f>
        <v>#N/A</v>
      </c>
      <c r="AB320">
        <f t="shared" si="5"/>
        <v>2</v>
      </c>
      <c r="AC320" t="e">
        <f t="array" ref="AC320">IF(OR(G320&lt;M$3,G320&gt;M$7),G320,#N/A)</f>
        <v>#N/A</v>
      </c>
      <c r="AD320">
        <f t="shared" si="5"/>
        <v>3</v>
      </c>
      <c r="AE320" t="e">
        <f t="array" ref="AE320">IF(OR(H320&lt;N$3,H320&gt;N$7),H320,#N/A)</f>
        <v>#N/A</v>
      </c>
      <c r="AF320">
        <f t="shared" si="5"/>
        <v>4</v>
      </c>
      <c r="AG320">
        <f t="array" ref="AG320">IF(OR(I320&lt;O$3,I320&gt;O$7),I320,#N/A)</f>
        <v>16.100000000000001</v>
      </c>
    </row>
    <row r="321" spans="1:33" x14ac:dyDescent="0.25">
      <c r="A321">
        <v>320</v>
      </c>
      <c r="B321">
        <f ca="1">SMALL(dados!A$23:A$422,A321)</f>
        <v>0.81667863240239447</v>
      </c>
      <c r="E321">
        <v>318</v>
      </c>
      <c r="F321">
        <v>10.454545454545455</v>
      </c>
      <c r="G321">
        <v>13.5</v>
      </c>
      <c r="H321">
        <v>14.48</v>
      </c>
      <c r="I321">
        <v>14.54</v>
      </c>
      <c r="Z321">
        <v>1</v>
      </c>
      <c r="AA321" t="e">
        <f t="array" ref="AA321">IF(OR(F321&lt;L$3,F321&gt;L$7),F321,#N/A)</f>
        <v>#N/A</v>
      </c>
      <c r="AB321">
        <f t="shared" si="5"/>
        <v>2</v>
      </c>
      <c r="AC321" t="e">
        <f t="array" ref="AC321">IF(OR(G321&lt;M$3,G321&gt;M$7),G321,#N/A)</f>
        <v>#N/A</v>
      </c>
      <c r="AD321">
        <f t="shared" si="5"/>
        <v>3</v>
      </c>
      <c r="AE321" t="e">
        <f t="array" ref="AE321">IF(OR(H321&lt;N$3,H321&gt;N$7),H321,#N/A)</f>
        <v>#N/A</v>
      </c>
      <c r="AF321">
        <f t="shared" si="5"/>
        <v>4</v>
      </c>
      <c r="AG321" t="e">
        <f t="array" ref="AG321">IF(OR(I321&lt;O$3,I321&gt;O$7),I321,#N/A)</f>
        <v>#N/A</v>
      </c>
    </row>
    <row r="322" spans="1:33" x14ac:dyDescent="0.25">
      <c r="A322">
        <v>321</v>
      </c>
      <c r="B322">
        <f ca="1">SMALL(dados!A$23:A$422,A322)</f>
        <v>0.81721490273119402</v>
      </c>
      <c r="E322">
        <v>319</v>
      </c>
      <c r="F322">
        <v>12.727272727272727</v>
      </c>
      <c r="G322">
        <v>12.7</v>
      </c>
      <c r="H322">
        <v>14.22</v>
      </c>
      <c r="I322">
        <v>13.78</v>
      </c>
      <c r="Z322">
        <v>1</v>
      </c>
      <c r="AA322" t="e">
        <f t="array" ref="AA322">IF(OR(F322&lt;L$3,F322&gt;L$7),F322,#N/A)</f>
        <v>#N/A</v>
      </c>
      <c r="AB322">
        <f t="shared" si="5"/>
        <v>2</v>
      </c>
      <c r="AC322" t="e">
        <f t="array" ref="AC322">IF(OR(G322&lt;M$3,G322&gt;M$7),G322,#N/A)</f>
        <v>#N/A</v>
      </c>
      <c r="AD322">
        <f t="shared" si="5"/>
        <v>3</v>
      </c>
      <c r="AE322" t="e">
        <f t="array" ref="AE322">IF(OR(H322&lt;N$3,H322&gt;N$7),H322,#N/A)</f>
        <v>#N/A</v>
      </c>
      <c r="AF322">
        <f t="shared" si="5"/>
        <v>4</v>
      </c>
      <c r="AG322" t="e">
        <f t="array" ref="AG322">IF(OR(I322&lt;O$3,I322&gt;O$7),I322,#N/A)</f>
        <v>#N/A</v>
      </c>
    </row>
    <row r="323" spans="1:33" x14ac:dyDescent="0.25">
      <c r="A323">
        <v>322</v>
      </c>
      <c r="B323">
        <f ca="1">SMALL(dados!A$23:A$422,A323)</f>
        <v>0.81981139945303838</v>
      </c>
      <c r="E323">
        <v>320</v>
      </c>
      <c r="F323">
        <v>19.272727272727273</v>
      </c>
      <c r="G323">
        <v>15.5</v>
      </c>
      <c r="H323">
        <v>13.74</v>
      </c>
      <c r="I323">
        <v>13.75</v>
      </c>
      <c r="Z323">
        <v>1</v>
      </c>
      <c r="AA323" t="e">
        <f t="array" ref="AA323">IF(OR(F323&lt;L$3,F323&gt;L$7),F323,#N/A)</f>
        <v>#N/A</v>
      </c>
      <c r="AB323">
        <f t="shared" si="5"/>
        <v>2</v>
      </c>
      <c r="AC323" t="e">
        <f t="array" ref="AC323">IF(OR(G323&lt;M$3,G323&gt;M$7),G323,#N/A)</f>
        <v>#N/A</v>
      </c>
      <c r="AD323">
        <f t="shared" si="5"/>
        <v>3</v>
      </c>
      <c r="AE323" t="e">
        <f t="array" ref="AE323">IF(OR(H323&lt;N$3,H323&gt;N$7),H323,#N/A)</f>
        <v>#N/A</v>
      </c>
      <c r="AF323">
        <f t="shared" si="5"/>
        <v>4</v>
      </c>
      <c r="AG323" t="e">
        <f t="array" ref="AG323">IF(OR(I323&lt;O$3,I323&gt;O$7),I323,#N/A)</f>
        <v>#N/A</v>
      </c>
    </row>
    <row r="324" spans="1:33" x14ac:dyDescent="0.25">
      <c r="A324">
        <v>323</v>
      </c>
      <c r="B324">
        <f ca="1">SMALL(dados!A$23:A$422,A324)</f>
        <v>0.8212170088437768</v>
      </c>
      <c r="E324">
        <v>321</v>
      </c>
      <c r="F324">
        <v>13.090909090909092</v>
      </c>
      <c r="G324">
        <v>13.7</v>
      </c>
      <c r="H324">
        <v>13.98</v>
      </c>
      <c r="I324">
        <v>14.69</v>
      </c>
      <c r="Z324">
        <v>1</v>
      </c>
      <c r="AA324" t="e">
        <f t="array" ref="AA324">IF(OR(F324&lt;L$3,F324&gt;L$7),F324,#N/A)</f>
        <v>#N/A</v>
      </c>
      <c r="AB324">
        <f t="shared" si="5"/>
        <v>2</v>
      </c>
      <c r="AC324" t="e">
        <f t="array" ref="AC324">IF(OR(G324&lt;M$3,G324&gt;M$7),G324,#N/A)</f>
        <v>#N/A</v>
      </c>
      <c r="AD324">
        <f t="shared" si="5"/>
        <v>3</v>
      </c>
      <c r="AE324" t="e">
        <f t="array" ref="AE324">IF(OR(H324&lt;N$3,H324&gt;N$7),H324,#N/A)</f>
        <v>#N/A</v>
      </c>
      <c r="AF324">
        <f t="shared" si="5"/>
        <v>4</v>
      </c>
      <c r="AG324" t="e">
        <f t="array" ref="AG324">IF(OR(I324&lt;O$3,I324&gt;O$7),I324,#N/A)</f>
        <v>#N/A</v>
      </c>
    </row>
    <row r="325" spans="1:33" x14ac:dyDescent="0.25">
      <c r="A325">
        <v>324</v>
      </c>
      <c r="B325">
        <f ca="1">SMALL(dados!A$23:A$422,A325)</f>
        <v>0.82566468561274309</v>
      </c>
      <c r="E325">
        <v>322</v>
      </c>
      <c r="F325">
        <v>15.181818181818182</v>
      </c>
      <c r="G325">
        <v>14.9</v>
      </c>
      <c r="H325">
        <v>14.86</v>
      </c>
      <c r="I325">
        <v>14.4</v>
      </c>
      <c r="Z325">
        <v>1</v>
      </c>
      <c r="AA325" t="e">
        <f t="array" ref="AA325">IF(OR(F325&lt;L$3,F325&gt;L$7),F325,#N/A)</f>
        <v>#N/A</v>
      </c>
      <c r="AB325">
        <f t="shared" ref="AB325:AF388" si="6">Z325+1</f>
        <v>2</v>
      </c>
      <c r="AC325" t="e">
        <f t="array" ref="AC325">IF(OR(G325&lt;M$3,G325&gt;M$7),G325,#N/A)</f>
        <v>#N/A</v>
      </c>
      <c r="AD325">
        <f t="shared" si="6"/>
        <v>3</v>
      </c>
      <c r="AE325" t="e">
        <f t="array" ref="AE325">IF(OR(H325&lt;N$3,H325&gt;N$7),H325,#N/A)</f>
        <v>#N/A</v>
      </c>
      <c r="AF325">
        <f t="shared" si="6"/>
        <v>4</v>
      </c>
      <c r="AG325" t="e">
        <f t="array" ref="AG325">IF(OR(I325&lt;O$3,I325&gt;O$7),I325,#N/A)</f>
        <v>#N/A</v>
      </c>
    </row>
    <row r="326" spans="1:33" x14ac:dyDescent="0.25">
      <c r="A326">
        <v>325</v>
      </c>
      <c r="B326">
        <f ca="1">SMALL(dados!A$23:A$422,A326)</f>
        <v>0.82698037279973946</v>
      </c>
      <c r="E326">
        <v>323</v>
      </c>
      <c r="F326">
        <v>11.636363636363637</v>
      </c>
      <c r="G326">
        <v>15.45</v>
      </c>
      <c r="H326">
        <v>13.94</v>
      </c>
      <c r="I326">
        <v>14.37</v>
      </c>
      <c r="Z326">
        <v>1</v>
      </c>
      <c r="AA326" t="e">
        <f t="array" ref="AA326">IF(OR(F326&lt;L$3,F326&gt;L$7),F326,#N/A)</f>
        <v>#N/A</v>
      </c>
      <c r="AB326">
        <f t="shared" si="6"/>
        <v>2</v>
      </c>
      <c r="AC326" t="e">
        <f t="array" ref="AC326">IF(OR(G326&lt;M$3,G326&gt;M$7),G326,#N/A)</f>
        <v>#N/A</v>
      </c>
      <c r="AD326">
        <f t="shared" si="6"/>
        <v>3</v>
      </c>
      <c r="AE326" t="e">
        <f t="array" ref="AE326">IF(OR(H326&lt;N$3,H326&gt;N$7),H326,#N/A)</f>
        <v>#N/A</v>
      </c>
      <c r="AF326">
        <f t="shared" si="6"/>
        <v>4</v>
      </c>
      <c r="AG326" t="e">
        <f t="array" ref="AG326">IF(OR(I326&lt;O$3,I326&gt;O$7),I326,#N/A)</f>
        <v>#N/A</v>
      </c>
    </row>
    <row r="327" spans="1:33" x14ac:dyDescent="0.25">
      <c r="A327">
        <v>326</v>
      </c>
      <c r="B327">
        <f ca="1">SMALL(dados!A$23:A$422,A327)</f>
        <v>0.8347957867664374</v>
      </c>
      <c r="E327">
        <v>324</v>
      </c>
      <c r="F327">
        <v>12.818181818181818</v>
      </c>
      <c r="G327">
        <v>11.85</v>
      </c>
      <c r="H327">
        <v>15.56</v>
      </c>
      <c r="I327">
        <v>14.86</v>
      </c>
      <c r="Z327">
        <v>1</v>
      </c>
      <c r="AA327" t="e">
        <f t="array" ref="AA327">IF(OR(F327&lt;L$3,F327&gt;L$7),F327,#N/A)</f>
        <v>#N/A</v>
      </c>
      <c r="AB327">
        <f t="shared" si="6"/>
        <v>2</v>
      </c>
      <c r="AC327" t="e">
        <f t="array" ref="AC327">IF(OR(G327&lt;M$3,G327&gt;M$7),G327,#N/A)</f>
        <v>#N/A</v>
      </c>
      <c r="AD327">
        <f t="shared" si="6"/>
        <v>3</v>
      </c>
      <c r="AE327" t="e">
        <f t="array" ref="AE327">IF(OR(H327&lt;N$3,H327&gt;N$7),H327,#N/A)</f>
        <v>#N/A</v>
      </c>
      <c r="AF327">
        <f t="shared" si="6"/>
        <v>4</v>
      </c>
      <c r="AG327" t="e">
        <f t="array" ref="AG327">IF(OR(I327&lt;O$3,I327&gt;O$7),I327,#N/A)</f>
        <v>#N/A</v>
      </c>
    </row>
    <row r="328" spans="1:33" x14ac:dyDescent="0.25">
      <c r="A328">
        <v>327</v>
      </c>
      <c r="B328">
        <f ca="1">SMALL(dados!A$23:A$422,A328)</f>
        <v>0.83629559996733682</v>
      </c>
      <c r="E328">
        <v>325</v>
      </c>
      <c r="F328">
        <v>14.181818181818182</v>
      </c>
      <c r="G328">
        <v>13.95</v>
      </c>
      <c r="H328">
        <v>14.54</v>
      </c>
      <c r="I328">
        <v>14.24</v>
      </c>
      <c r="Z328">
        <v>1</v>
      </c>
      <c r="AA328" t="e">
        <f t="array" ref="AA328">IF(OR(F328&lt;L$3,F328&gt;L$7),F328,#N/A)</f>
        <v>#N/A</v>
      </c>
      <c r="AB328">
        <f t="shared" si="6"/>
        <v>2</v>
      </c>
      <c r="AC328" t="e">
        <f t="array" ref="AC328">IF(OR(G328&lt;M$3,G328&gt;M$7),G328,#N/A)</f>
        <v>#N/A</v>
      </c>
      <c r="AD328">
        <f t="shared" si="6"/>
        <v>3</v>
      </c>
      <c r="AE328" t="e">
        <f t="array" ref="AE328">IF(OR(H328&lt;N$3,H328&gt;N$7),H328,#N/A)</f>
        <v>#N/A</v>
      </c>
      <c r="AF328">
        <f t="shared" si="6"/>
        <v>4</v>
      </c>
      <c r="AG328" t="e">
        <f t="array" ref="AG328">IF(OR(I328&lt;O$3,I328&gt;O$7),I328,#N/A)</f>
        <v>#N/A</v>
      </c>
    </row>
    <row r="329" spans="1:33" x14ac:dyDescent="0.25">
      <c r="A329">
        <v>328</v>
      </c>
      <c r="B329">
        <f ca="1">SMALL(dados!A$23:A$422,A329)</f>
        <v>0.83803110708209738</v>
      </c>
      <c r="E329">
        <v>326</v>
      </c>
      <c r="F329">
        <v>11</v>
      </c>
      <c r="G329">
        <v>11.25</v>
      </c>
      <c r="H329">
        <v>13.06</v>
      </c>
      <c r="I329">
        <v>14.25</v>
      </c>
      <c r="Z329">
        <v>1</v>
      </c>
      <c r="AA329" t="e">
        <f t="array" ref="AA329">IF(OR(F329&lt;L$3,F329&gt;L$7),F329,#N/A)</f>
        <v>#N/A</v>
      </c>
      <c r="AB329">
        <f t="shared" si="6"/>
        <v>2</v>
      </c>
      <c r="AC329" t="e">
        <f t="array" ref="AC329">IF(OR(G329&lt;M$3,G329&gt;M$7),G329,#N/A)</f>
        <v>#N/A</v>
      </c>
      <c r="AD329">
        <f t="shared" si="6"/>
        <v>3</v>
      </c>
      <c r="AE329" t="e">
        <f t="array" ref="AE329">IF(OR(H329&lt;N$3,H329&gt;N$7),H329,#N/A)</f>
        <v>#N/A</v>
      </c>
      <c r="AF329">
        <f t="shared" si="6"/>
        <v>4</v>
      </c>
      <c r="AG329" t="e">
        <f t="array" ref="AG329">IF(OR(I329&lt;O$3,I329&gt;O$7),I329,#N/A)</f>
        <v>#N/A</v>
      </c>
    </row>
    <row r="330" spans="1:33" x14ac:dyDescent="0.25">
      <c r="A330">
        <v>329</v>
      </c>
      <c r="B330">
        <f ca="1">SMALL(dados!A$23:A$422,A330)</f>
        <v>0.84053539965217539</v>
      </c>
      <c r="E330">
        <v>327</v>
      </c>
      <c r="F330">
        <v>20</v>
      </c>
      <c r="G330">
        <v>16.7</v>
      </c>
      <c r="H330">
        <v>15.74</v>
      </c>
      <c r="I330">
        <v>14.75</v>
      </c>
      <c r="Z330">
        <v>1</v>
      </c>
      <c r="AA330" t="e">
        <f t="array" ref="AA330">IF(OR(F330&lt;L$3,F330&gt;L$7),F330,#N/A)</f>
        <v>#N/A</v>
      </c>
      <c r="AB330">
        <f t="shared" si="6"/>
        <v>2</v>
      </c>
      <c r="AC330" t="e">
        <f t="array" ref="AC330">IF(OR(G330&lt;M$3,G330&gt;M$7),G330,#N/A)</f>
        <v>#N/A</v>
      </c>
      <c r="AD330">
        <f t="shared" si="6"/>
        <v>3</v>
      </c>
      <c r="AE330" t="e">
        <f t="array" ref="AE330">IF(OR(H330&lt;N$3,H330&gt;N$7),H330,#N/A)</f>
        <v>#N/A</v>
      </c>
      <c r="AF330">
        <f t="shared" si="6"/>
        <v>4</v>
      </c>
      <c r="AG330" t="e">
        <f t="array" ref="AG330">IF(OR(I330&lt;O$3,I330&gt;O$7),I330,#N/A)</f>
        <v>#N/A</v>
      </c>
    </row>
    <row r="331" spans="1:33" x14ac:dyDescent="0.25">
      <c r="A331">
        <v>330</v>
      </c>
      <c r="B331">
        <f ca="1">SMALL(dados!A$23:A$422,A331)</f>
        <v>0.84761043092514632</v>
      </c>
      <c r="E331">
        <v>328</v>
      </c>
      <c r="F331">
        <v>14.363636363636363</v>
      </c>
      <c r="G331">
        <v>14.15</v>
      </c>
      <c r="H331">
        <v>14.44</v>
      </c>
      <c r="I331">
        <v>13.75</v>
      </c>
      <c r="Z331">
        <v>1</v>
      </c>
      <c r="AA331" t="e">
        <f t="array" ref="AA331">IF(OR(F331&lt;L$3,F331&gt;L$7),F331,#N/A)</f>
        <v>#N/A</v>
      </c>
      <c r="AB331">
        <f t="shared" si="6"/>
        <v>2</v>
      </c>
      <c r="AC331" t="e">
        <f t="array" ref="AC331">IF(OR(G331&lt;M$3,G331&gt;M$7),G331,#N/A)</f>
        <v>#N/A</v>
      </c>
      <c r="AD331">
        <f t="shared" si="6"/>
        <v>3</v>
      </c>
      <c r="AE331" t="e">
        <f t="array" ref="AE331">IF(OR(H331&lt;N$3,H331&gt;N$7),H331,#N/A)</f>
        <v>#N/A</v>
      </c>
      <c r="AF331">
        <f t="shared" si="6"/>
        <v>4</v>
      </c>
      <c r="AG331" t="e">
        <f t="array" ref="AG331">IF(OR(I331&lt;O$3,I331&gt;O$7),I331,#N/A)</f>
        <v>#N/A</v>
      </c>
    </row>
    <row r="332" spans="1:33" x14ac:dyDescent="0.25">
      <c r="A332">
        <v>331</v>
      </c>
      <c r="B332">
        <f ca="1">SMALL(dados!A$23:A$422,A332)</f>
        <v>0.85014174620809579</v>
      </c>
      <c r="E332">
        <v>329</v>
      </c>
      <c r="F332">
        <v>14.818181818181818</v>
      </c>
      <c r="G332">
        <v>14.8</v>
      </c>
      <c r="H332">
        <v>15.1</v>
      </c>
      <c r="I332">
        <v>14.04</v>
      </c>
      <c r="Z332">
        <v>1</v>
      </c>
      <c r="AA332" t="e">
        <f t="array" ref="AA332">IF(OR(F332&lt;L$3,F332&gt;L$7),F332,#N/A)</f>
        <v>#N/A</v>
      </c>
      <c r="AB332">
        <f t="shared" si="6"/>
        <v>2</v>
      </c>
      <c r="AC332" t="e">
        <f t="array" ref="AC332">IF(OR(G332&lt;M$3,G332&gt;M$7),G332,#N/A)</f>
        <v>#N/A</v>
      </c>
      <c r="AD332">
        <f t="shared" si="6"/>
        <v>3</v>
      </c>
      <c r="AE332" t="e">
        <f t="array" ref="AE332">IF(OR(H332&lt;N$3,H332&gt;N$7),H332,#N/A)</f>
        <v>#N/A</v>
      </c>
      <c r="AF332">
        <f t="shared" si="6"/>
        <v>4</v>
      </c>
      <c r="AG332" t="e">
        <f t="array" ref="AG332">IF(OR(I332&lt;O$3,I332&gt;O$7),I332,#N/A)</f>
        <v>#N/A</v>
      </c>
    </row>
    <row r="333" spans="1:33" x14ac:dyDescent="0.25">
      <c r="A333">
        <v>332</v>
      </c>
      <c r="B333">
        <f ca="1">SMALL(dados!A$23:A$422,A333)</f>
        <v>0.85811405778122052</v>
      </c>
      <c r="E333">
        <v>330</v>
      </c>
      <c r="F333">
        <v>17.545454545454547</v>
      </c>
      <c r="G333">
        <v>16.399999999999999</v>
      </c>
      <c r="H333">
        <v>14.48</v>
      </c>
      <c r="I333">
        <v>13.69</v>
      </c>
      <c r="Z333">
        <v>1</v>
      </c>
      <c r="AA333" t="e">
        <f t="array" ref="AA333">IF(OR(F333&lt;L$3,F333&gt;L$7),F333,#N/A)</f>
        <v>#N/A</v>
      </c>
      <c r="AB333">
        <f t="shared" si="6"/>
        <v>2</v>
      </c>
      <c r="AC333" t="e">
        <f t="array" ref="AC333">IF(OR(G333&lt;M$3,G333&gt;M$7),G333,#N/A)</f>
        <v>#N/A</v>
      </c>
      <c r="AD333">
        <f t="shared" si="6"/>
        <v>3</v>
      </c>
      <c r="AE333" t="e">
        <f t="array" ref="AE333">IF(OR(H333&lt;N$3,H333&gt;N$7),H333,#N/A)</f>
        <v>#N/A</v>
      </c>
      <c r="AF333">
        <f t="shared" si="6"/>
        <v>4</v>
      </c>
      <c r="AG333" t="e">
        <f t="array" ref="AG333">IF(OR(I333&lt;O$3,I333&gt;O$7),I333,#N/A)</f>
        <v>#N/A</v>
      </c>
    </row>
    <row r="334" spans="1:33" x14ac:dyDescent="0.25">
      <c r="A334">
        <v>333</v>
      </c>
      <c r="B334">
        <f ca="1">SMALL(dados!A$23:A$422,A334)</f>
        <v>0.86181032343332398</v>
      </c>
      <c r="E334">
        <v>331</v>
      </c>
      <c r="F334">
        <v>11.818181818181818</v>
      </c>
      <c r="G334">
        <v>13.95</v>
      </c>
      <c r="H334">
        <v>15.48</v>
      </c>
      <c r="I334">
        <v>14.54</v>
      </c>
      <c r="Z334">
        <v>1</v>
      </c>
      <c r="AA334" t="e">
        <f t="array" ref="AA334">IF(OR(F334&lt;L$3,F334&gt;L$7),F334,#N/A)</f>
        <v>#N/A</v>
      </c>
      <c r="AB334">
        <f t="shared" si="6"/>
        <v>2</v>
      </c>
      <c r="AC334" t="e">
        <f t="array" ref="AC334">IF(OR(G334&lt;M$3,G334&gt;M$7),G334,#N/A)</f>
        <v>#N/A</v>
      </c>
      <c r="AD334">
        <f t="shared" si="6"/>
        <v>3</v>
      </c>
      <c r="AE334" t="e">
        <f t="array" ref="AE334">IF(OR(H334&lt;N$3,H334&gt;N$7),H334,#N/A)</f>
        <v>#N/A</v>
      </c>
      <c r="AF334">
        <f t="shared" si="6"/>
        <v>4</v>
      </c>
      <c r="AG334" t="e">
        <f t="array" ref="AG334">IF(OR(I334&lt;O$3,I334&gt;O$7),I334,#N/A)</f>
        <v>#N/A</v>
      </c>
    </row>
    <row r="335" spans="1:33" x14ac:dyDescent="0.25">
      <c r="A335">
        <v>334</v>
      </c>
      <c r="B335">
        <f ca="1">SMALL(dados!A$23:A$422,A335)</f>
        <v>0.86299184345891788</v>
      </c>
      <c r="E335">
        <v>332</v>
      </c>
      <c r="F335">
        <v>10.545454545454545</v>
      </c>
      <c r="G335">
        <v>10.5</v>
      </c>
      <c r="H335">
        <v>13.62</v>
      </c>
      <c r="I335">
        <v>14.56</v>
      </c>
      <c r="Z335">
        <v>1</v>
      </c>
      <c r="AA335" t="e">
        <f t="array" ref="AA335">IF(OR(F335&lt;L$3,F335&gt;L$7),F335,#N/A)</f>
        <v>#N/A</v>
      </c>
      <c r="AB335">
        <f t="shared" si="6"/>
        <v>2</v>
      </c>
      <c r="AC335" t="e">
        <f t="array" ref="AC335">IF(OR(G335&lt;M$3,G335&gt;M$7),G335,#N/A)</f>
        <v>#N/A</v>
      </c>
      <c r="AD335">
        <f t="shared" si="6"/>
        <v>3</v>
      </c>
      <c r="AE335" t="e">
        <f t="array" ref="AE335">IF(OR(H335&lt;N$3,H335&gt;N$7),H335,#N/A)</f>
        <v>#N/A</v>
      </c>
      <c r="AF335">
        <f t="shared" si="6"/>
        <v>4</v>
      </c>
      <c r="AG335" t="e">
        <f t="array" ref="AG335">IF(OR(I335&lt;O$3,I335&gt;O$7),I335,#N/A)</f>
        <v>#N/A</v>
      </c>
    </row>
    <row r="336" spans="1:33" x14ac:dyDescent="0.25">
      <c r="A336">
        <v>335</v>
      </c>
      <c r="B336">
        <f ca="1">SMALL(dados!A$23:A$422,A336)</f>
        <v>0.86732011568894207</v>
      </c>
      <c r="E336">
        <v>333</v>
      </c>
      <c r="F336">
        <v>11.727272727272727</v>
      </c>
      <c r="G336">
        <v>13.9</v>
      </c>
      <c r="H336">
        <v>13.72</v>
      </c>
      <c r="I336">
        <v>14.79</v>
      </c>
      <c r="Z336">
        <v>1</v>
      </c>
      <c r="AA336" t="e">
        <f t="array" ref="AA336">IF(OR(F336&lt;L$3,F336&gt;L$7),F336,#N/A)</f>
        <v>#N/A</v>
      </c>
      <c r="AB336">
        <f t="shared" si="6"/>
        <v>2</v>
      </c>
      <c r="AC336" t="e">
        <f t="array" ref="AC336">IF(OR(G336&lt;M$3,G336&gt;M$7),G336,#N/A)</f>
        <v>#N/A</v>
      </c>
      <c r="AD336">
        <f t="shared" si="6"/>
        <v>3</v>
      </c>
      <c r="AE336" t="e">
        <f t="array" ref="AE336">IF(OR(H336&lt;N$3,H336&gt;N$7),H336,#N/A)</f>
        <v>#N/A</v>
      </c>
      <c r="AF336">
        <f t="shared" si="6"/>
        <v>4</v>
      </c>
      <c r="AG336" t="e">
        <f t="array" ref="AG336">IF(OR(I336&lt;O$3,I336&gt;O$7),I336,#N/A)</f>
        <v>#N/A</v>
      </c>
    </row>
    <row r="337" spans="1:33" x14ac:dyDescent="0.25">
      <c r="A337">
        <v>336</v>
      </c>
      <c r="B337">
        <f ca="1">SMALL(dados!A$23:A$422,A337)</f>
        <v>0.86879759599461448</v>
      </c>
      <c r="E337">
        <v>334</v>
      </c>
      <c r="F337">
        <v>13.909090909090908</v>
      </c>
      <c r="G337">
        <v>15.05</v>
      </c>
      <c r="H337">
        <v>12.42</v>
      </c>
      <c r="I337">
        <v>13.94</v>
      </c>
      <c r="Z337">
        <v>1</v>
      </c>
      <c r="AA337" t="e">
        <f t="array" ref="AA337">IF(OR(F337&lt;L$3,F337&gt;L$7),F337,#N/A)</f>
        <v>#N/A</v>
      </c>
      <c r="AB337">
        <f t="shared" si="6"/>
        <v>2</v>
      </c>
      <c r="AC337" t="e">
        <f t="array" ref="AC337">IF(OR(G337&lt;M$3,G337&gt;M$7),G337,#N/A)</f>
        <v>#N/A</v>
      </c>
      <c r="AD337">
        <f t="shared" si="6"/>
        <v>3</v>
      </c>
      <c r="AE337" t="e">
        <f t="array" ref="AE337">IF(OR(H337&lt;N$3,H337&gt;N$7),H337,#N/A)</f>
        <v>#N/A</v>
      </c>
      <c r="AF337">
        <f t="shared" si="6"/>
        <v>4</v>
      </c>
      <c r="AG337" t="e">
        <f t="array" ref="AG337">IF(OR(I337&lt;O$3,I337&gt;O$7),I337,#N/A)</f>
        <v>#N/A</v>
      </c>
    </row>
    <row r="338" spans="1:33" x14ac:dyDescent="0.25">
      <c r="A338">
        <v>337</v>
      </c>
      <c r="B338">
        <f ca="1">SMALL(dados!A$23:A$422,A338)</f>
        <v>0.8689251331182215</v>
      </c>
      <c r="E338">
        <v>335</v>
      </c>
      <c r="F338">
        <v>13.909090909090908</v>
      </c>
      <c r="G338">
        <v>13.65</v>
      </c>
      <c r="H338">
        <v>14.2</v>
      </c>
      <c r="I338">
        <v>14.18</v>
      </c>
      <c r="Z338">
        <v>1</v>
      </c>
      <c r="AA338" t="e">
        <f t="array" ref="AA338">IF(OR(F338&lt;L$3,F338&gt;L$7),F338,#N/A)</f>
        <v>#N/A</v>
      </c>
      <c r="AB338">
        <f t="shared" si="6"/>
        <v>2</v>
      </c>
      <c r="AC338" t="e">
        <f t="array" ref="AC338">IF(OR(G338&lt;M$3,G338&gt;M$7),G338,#N/A)</f>
        <v>#N/A</v>
      </c>
      <c r="AD338">
        <f t="shared" si="6"/>
        <v>3</v>
      </c>
      <c r="AE338" t="e">
        <f t="array" ref="AE338">IF(OR(H338&lt;N$3,H338&gt;N$7),H338,#N/A)</f>
        <v>#N/A</v>
      </c>
      <c r="AF338">
        <f t="shared" si="6"/>
        <v>4</v>
      </c>
      <c r="AG338" t="e">
        <f t="array" ref="AG338">IF(OR(I338&lt;O$3,I338&gt;O$7),I338,#N/A)</f>
        <v>#N/A</v>
      </c>
    </row>
    <row r="339" spans="1:33" x14ac:dyDescent="0.25">
      <c r="A339">
        <v>338</v>
      </c>
      <c r="B339">
        <f ca="1">SMALL(dados!A$23:A$422,A339)</f>
        <v>0.87037964455360717</v>
      </c>
      <c r="E339">
        <v>336</v>
      </c>
      <c r="F339">
        <v>14.454545454545455</v>
      </c>
      <c r="G339">
        <v>14.75</v>
      </c>
      <c r="H339">
        <v>14.4</v>
      </c>
      <c r="I339">
        <v>13.73</v>
      </c>
      <c r="Z339">
        <v>1</v>
      </c>
      <c r="AA339" t="e">
        <f t="array" ref="AA339">IF(OR(F339&lt;L$3,F339&gt;L$7),F339,#N/A)</f>
        <v>#N/A</v>
      </c>
      <c r="AB339">
        <f t="shared" si="6"/>
        <v>2</v>
      </c>
      <c r="AC339" t="e">
        <f t="array" ref="AC339">IF(OR(G339&lt;M$3,G339&gt;M$7),G339,#N/A)</f>
        <v>#N/A</v>
      </c>
      <c r="AD339">
        <f t="shared" si="6"/>
        <v>3</v>
      </c>
      <c r="AE339" t="e">
        <f t="array" ref="AE339">IF(OR(H339&lt;N$3,H339&gt;N$7),H339,#N/A)</f>
        <v>#N/A</v>
      </c>
      <c r="AF339">
        <f t="shared" si="6"/>
        <v>4</v>
      </c>
      <c r="AG339" t="e">
        <f t="array" ref="AG339">IF(OR(I339&lt;O$3,I339&gt;O$7),I339,#N/A)</f>
        <v>#N/A</v>
      </c>
    </row>
    <row r="340" spans="1:33" x14ac:dyDescent="0.25">
      <c r="A340">
        <v>339</v>
      </c>
      <c r="B340">
        <f ca="1">SMALL(dados!A$23:A$422,A340)</f>
        <v>0.87039119285023192</v>
      </c>
      <c r="E340">
        <v>337</v>
      </c>
      <c r="F340">
        <v>16.636363636363637</v>
      </c>
      <c r="G340">
        <v>15.05</v>
      </c>
      <c r="H340">
        <v>13.54</v>
      </c>
      <c r="I340">
        <v>14.78</v>
      </c>
      <c r="Z340">
        <v>1</v>
      </c>
      <c r="AA340" t="e">
        <f t="array" ref="AA340">IF(OR(F340&lt;L$3,F340&gt;L$7),F340,#N/A)</f>
        <v>#N/A</v>
      </c>
      <c r="AB340">
        <f t="shared" si="6"/>
        <v>2</v>
      </c>
      <c r="AC340" t="e">
        <f t="array" ref="AC340">IF(OR(G340&lt;M$3,G340&gt;M$7),G340,#N/A)</f>
        <v>#N/A</v>
      </c>
      <c r="AD340">
        <f t="shared" si="6"/>
        <v>3</v>
      </c>
      <c r="AE340" t="e">
        <f t="array" ref="AE340">IF(OR(H340&lt;N$3,H340&gt;N$7),H340,#N/A)</f>
        <v>#N/A</v>
      </c>
      <c r="AF340">
        <f t="shared" si="6"/>
        <v>4</v>
      </c>
      <c r="AG340" t="e">
        <f t="array" ref="AG340">IF(OR(I340&lt;O$3,I340&gt;O$7),I340,#N/A)</f>
        <v>#N/A</v>
      </c>
    </row>
    <row r="341" spans="1:33" x14ac:dyDescent="0.25">
      <c r="A341">
        <v>340</v>
      </c>
      <c r="B341">
        <f ca="1">SMALL(dados!A$23:A$422,A341)</f>
        <v>0.87230305945220687</v>
      </c>
      <c r="E341">
        <v>338</v>
      </c>
      <c r="F341">
        <v>11.909090909090908</v>
      </c>
      <c r="G341">
        <v>13.8</v>
      </c>
      <c r="H341">
        <v>13.2</v>
      </c>
      <c r="I341">
        <v>12.76</v>
      </c>
      <c r="Z341">
        <v>1</v>
      </c>
      <c r="AA341" t="e">
        <f t="array" ref="AA341">IF(OR(F341&lt;L$3,F341&gt;L$7),F341,#N/A)</f>
        <v>#N/A</v>
      </c>
      <c r="AB341">
        <f t="shared" si="6"/>
        <v>2</v>
      </c>
      <c r="AC341" t="e">
        <f t="array" ref="AC341">IF(OR(G341&lt;M$3,G341&gt;M$7),G341,#N/A)</f>
        <v>#N/A</v>
      </c>
      <c r="AD341">
        <f t="shared" si="6"/>
        <v>3</v>
      </c>
      <c r="AE341" t="e">
        <f t="array" ref="AE341">IF(OR(H341&lt;N$3,H341&gt;N$7),H341,#N/A)</f>
        <v>#N/A</v>
      </c>
      <c r="AF341">
        <f t="shared" si="6"/>
        <v>4</v>
      </c>
      <c r="AG341" t="e">
        <f t="array" ref="AG341">IF(OR(I341&lt;O$3,I341&gt;O$7),I341,#N/A)</f>
        <v>#N/A</v>
      </c>
    </row>
    <row r="342" spans="1:33" x14ac:dyDescent="0.25">
      <c r="A342">
        <v>341</v>
      </c>
      <c r="B342">
        <f ca="1">SMALL(dados!A$23:A$422,A342)</f>
        <v>0.87381888713597444</v>
      </c>
      <c r="E342">
        <v>339</v>
      </c>
      <c r="F342">
        <v>12</v>
      </c>
      <c r="G342">
        <v>12.45</v>
      </c>
      <c r="H342">
        <v>13.62</v>
      </c>
      <c r="I342">
        <v>13.61</v>
      </c>
      <c r="Z342">
        <v>1</v>
      </c>
      <c r="AA342" t="e">
        <f t="array" ref="AA342">IF(OR(F342&lt;L$3,F342&gt;L$7),F342,#N/A)</f>
        <v>#N/A</v>
      </c>
      <c r="AB342">
        <f t="shared" si="6"/>
        <v>2</v>
      </c>
      <c r="AC342" t="e">
        <f t="array" ref="AC342">IF(OR(G342&lt;M$3,G342&gt;M$7),G342,#N/A)</f>
        <v>#N/A</v>
      </c>
      <c r="AD342">
        <f t="shared" si="6"/>
        <v>3</v>
      </c>
      <c r="AE342" t="e">
        <f t="array" ref="AE342">IF(OR(H342&lt;N$3,H342&gt;N$7),H342,#N/A)</f>
        <v>#N/A</v>
      </c>
      <c r="AF342">
        <f t="shared" si="6"/>
        <v>4</v>
      </c>
      <c r="AG342" t="e">
        <f t="array" ref="AG342">IF(OR(I342&lt;O$3,I342&gt;O$7),I342,#N/A)</f>
        <v>#N/A</v>
      </c>
    </row>
    <row r="343" spans="1:33" x14ac:dyDescent="0.25">
      <c r="A343">
        <v>342</v>
      </c>
      <c r="B343">
        <f ca="1">SMALL(dados!A$23:A$422,A343)</f>
        <v>0.87819090424836554</v>
      </c>
      <c r="E343">
        <v>340</v>
      </c>
      <c r="F343">
        <v>12.363636363636363</v>
      </c>
      <c r="G343">
        <v>12.95</v>
      </c>
      <c r="H343">
        <v>12.24</v>
      </c>
      <c r="I343">
        <v>12.61</v>
      </c>
      <c r="Z343">
        <v>1</v>
      </c>
      <c r="AA343" t="e">
        <f t="array" ref="AA343">IF(OR(F343&lt;L$3,F343&gt;L$7),F343,#N/A)</f>
        <v>#N/A</v>
      </c>
      <c r="AB343">
        <f t="shared" si="6"/>
        <v>2</v>
      </c>
      <c r="AC343" t="e">
        <f t="array" ref="AC343">IF(OR(G343&lt;M$3,G343&gt;M$7),G343,#N/A)</f>
        <v>#N/A</v>
      </c>
      <c r="AD343">
        <f t="shared" si="6"/>
        <v>3</v>
      </c>
      <c r="AE343" t="e">
        <f t="array" ref="AE343">IF(OR(H343&lt;N$3,H343&gt;N$7),H343,#N/A)</f>
        <v>#N/A</v>
      </c>
      <c r="AF343">
        <f t="shared" si="6"/>
        <v>4</v>
      </c>
      <c r="AG343" t="e">
        <f t="array" ref="AG343">IF(OR(I343&lt;O$3,I343&gt;O$7),I343,#N/A)</f>
        <v>#N/A</v>
      </c>
    </row>
    <row r="344" spans="1:33" x14ac:dyDescent="0.25">
      <c r="A344">
        <v>343</v>
      </c>
      <c r="B344">
        <f ca="1">SMALL(dados!A$23:A$422,A344)</f>
        <v>0.88198383567270522</v>
      </c>
      <c r="E344">
        <v>341</v>
      </c>
      <c r="F344">
        <v>17</v>
      </c>
      <c r="G344">
        <v>15.95</v>
      </c>
      <c r="H344">
        <v>14.82</v>
      </c>
      <c r="I344">
        <v>14.46</v>
      </c>
      <c r="Z344">
        <v>1</v>
      </c>
      <c r="AA344" t="e">
        <f t="array" ref="AA344">IF(OR(F344&lt;L$3,F344&gt;L$7),F344,#N/A)</f>
        <v>#N/A</v>
      </c>
      <c r="AB344">
        <f t="shared" si="6"/>
        <v>2</v>
      </c>
      <c r="AC344" t="e">
        <f t="array" ref="AC344">IF(OR(G344&lt;M$3,G344&gt;M$7),G344,#N/A)</f>
        <v>#N/A</v>
      </c>
      <c r="AD344">
        <f t="shared" si="6"/>
        <v>3</v>
      </c>
      <c r="AE344" t="e">
        <f t="array" ref="AE344">IF(OR(H344&lt;N$3,H344&gt;N$7),H344,#N/A)</f>
        <v>#N/A</v>
      </c>
      <c r="AF344">
        <f t="shared" si="6"/>
        <v>4</v>
      </c>
      <c r="AG344" t="e">
        <f t="array" ref="AG344">IF(OR(I344&lt;O$3,I344&gt;O$7),I344,#N/A)</f>
        <v>#N/A</v>
      </c>
    </row>
    <row r="345" spans="1:33" x14ac:dyDescent="0.25">
      <c r="A345">
        <v>344</v>
      </c>
      <c r="B345">
        <f ca="1">SMALL(dados!A$23:A$422,A345)</f>
        <v>0.88335721219965624</v>
      </c>
      <c r="E345">
        <v>342</v>
      </c>
      <c r="F345">
        <v>16.545454545454547</v>
      </c>
      <c r="G345">
        <v>17.149999999999999</v>
      </c>
      <c r="H345">
        <v>15.3</v>
      </c>
      <c r="I345">
        <v>14.79</v>
      </c>
      <c r="Z345">
        <v>1</v>
      </c>
      <c r="AA345" t="e">
        <f t="array" ref="AA345">IF(OR(F345&lt;L$3,F345&gt;L$7),F345,#N/A)</f>
        <v>#N/A</v>
      </c>
      <c r="AB345">
        <f t="shared" si="6"/>
        <v>2</v>
      </c>
      <c r="AC345" t="e">
        <f t="array" ref="AC345">IF(OR(G345&lt;M$3,G345&gt;M$7),G345,#N/A)</f>
        <v>#N/A</v>
      </c>
      <c r="AD345">
        <f t="shared" si="6"/>
        <v>3</v>
      </c>
      <c r="AE345" t="e">
        <f t="array" ref="AE345">IF(OR(H345&lt;N$3,H345&gt;N$7),H345,#N/A)</f>
        <v>#N/A</v>
      </c>
      <c r="AF345">
        <f t="shared" si="6"/>
        <v>4</v>
      </c>
      <c r="AG345" t="e">
        <f t="array" ref="AG345">IF(OR(I345&lt;O$3,I345&gt;O$7),I345,#N/A)</f>
        <v>#N/A</v>
      </c>
    </row>
    <row r="346" spans="1:33" x14ac:dyDescent="0.25">
      <c r="A346">
        <v>345</v>
      </c>
      <c r="B346">
        <f ca="1">SMALL(dados!A$23:A$422,A346)</f>
        <v>0.8846164745429006</v>
      </c>
      <c r="E346">
        <v>343</v>
      </c>
      <c r="F346">
        <v>11.363636363636363</v>
      </c>
      <c r="G346">
        <v>10.95</v>
      </c>
      <c r="H346">
        <v>12.78</v>
      </c>
      <c r="I346">
        <v>13.4</v>
      </c>
      <c r="Z346">
        <v>1</v>
      </c>
      <c r="AA346" t="e">
        <f t="array" ref="AA346">IF(OR(F346&lt;L$3,F346&gt;L$7),F346,#N/A)</f>
        <v>#N/A</v>
      </c>
      <c r="AB346">
        <f t="shared" si="6"/>
        <v>2</v>
      </c>
      <c r="AC346" t="e">
        <f t="array" ref="AC346">IF(OR(G346&lt;M$3,G346&gt;M$7),G346,#N/A)</f>
        <v>#N/A</v>
      </c>
      <c r="AD346">
        <f t="shared" si="6"/>
        <v>3</v>
      </c>
      <c r="AE346" t="e">
        <f t="array" ref="AE346">IF(OR(H346&lt;N$3,H346&gt;N$7),H346,#N/A)</f>
        <v>#N/A</v>
      </c>
      <c r="AF346">
        <f t="shared" si="6"/>
        <v>4</v>
      </c>
      <c r="AG346" t="e">
        <f t="array" ref="AG346">IF(OR(I346&lt;O$3,I346&gt;O$7),I346,#N/A)</f>
        <v>#N/A</v>
      </c>
    </row>
    <row r="347" spans="1:33" x14ac:dyDescent="0.25">
      <c r="A347">
        <v>346</v>
      </c>
      <c r="B347">
        <f ca="1">SMALL(dados!A$23:A$422,A347)</f>
        <v>0.88495596043741365</v>
      </c>
      <c r="E347">
        <v>344</v>
      </c>
      <c r="F347">
        <v>15</v>
      </c>
      <c r="G347">
        <v>14.65</v>
      </c>
      <c r="H347">
        <v>13.1</v>
      </c>
      <c r="I347">
        <v>13.71</v>
      </c>
      <c r="Z347">
        <v>1</v>
      </c>
      <c r="AA347" t="e">
        <f t="array" ref="AA347">IF(OR(F347&lt;L$3,F347&gt;L$7),F347,#N/A)</f>
        <v>#N/A</v>
      </c>
      <c r="AB347">
        <f t="shared" si="6"/>
        <v>2</v>
      </c>
      <c r="AC347" t="e">
        <f t="array" ref="AC347">IF(OR(G347&lt;M$3,G347&gt;M$7),G347,#N/A)</f>
        <v>#N/A</v>
      </c>
      <c r="AD347">
        <f t="shared" si="6"/>
        <v>3</v>
      </c>
      <c r="AE347" t="e">
        <f t="array" ref="AE347">IF(OR(H347&lt;N$3,H347&gt;N$7),H347,#N/A)</f>
        <v>#N/A</v>
      </c>
      <c r="AF347">
        <f t="shared" si="6"/>
        <v>4</v>
      </c>
      <c r="AG347" t="e">
        <f t="array" ref="AG347">IF(OR(I347&lt;O$3,I347&gt;O$7),I347,#N/A)</f>
        <v>#N/A</v>
      </c>
    </row>
    <row r="348" spans="1:33" x14ac:dyDescent="0.25">
      <c r="A348">
        <v>347</v>
      </c>
      <c r="B348">
        <f ca="1">SMALL(dados!A$23:A$422,A348)</f>
        <v>0.88572509676388111</v>
      </c>
      <c r="E348">
        <v>345</v>
      </c>
      <c r="F348">
        <v>10.818181818181818</v>
      </c>
      <c r="G348">
        <v>14.5</v>
      </c>
      <c r="H348">
        <v>14.46</v>
      </c>
      <c r="I348">
        <v>14.36</v>
      </c>
      <c r="Z348">
        <v>1</v>
      </c>
      <c r="AA348" t="e">
        <f t="array" ref="AA348">IF(OR(F348&lt;L$3,F348&gt;L$7),F348,#N/A)</f>
        <v>#N/A</v>
      </c>
      <c r="AB348">
        <f t="shared" si="6"/>
        <v>2</v>
      </c>
      <c r="AC348" t="e">
        <f t="array" ref="AC348">IF(OR(G348&lt;M$3,G348&gt;M$7),G348,#N/A)</f>
        <v>#N/A</v>
      </c>
      <c r="AD348">
        <f t="shared" si="6"/>
        <v>3</v>
      </c>
      <c r="AE348" t="e">
        <f t="array" ref="AE348">IF(OR(H348&lt;N$3,H348&gt;N$7),H348,#N/A)</f>
        <v>#N/A</v>
      </c>
      <c r="AF348">
        <f t="shared" si="6"/>
        <v>4</v>
      </c>
      <c r="AG348" t="e">
        <f t="array" ref="AG348">IF(OR(I348&lt;O$3,I348&gt;O$7),I348,#N/A)</f>
        <v>#N/A</v>
      </c>
    </row>
    <row r="349" spans="1:33" x14ac:dyDescent="0.25">
      <c r="A349">
        <v>348</v>
      </c>
      <c r="B349">
        <f ca="1">SMALL(dados!A$23:A$422,A349)</f>
        <v>0.88746737634239836</v>
      </c>
      <c r="E349">
        <v>346</v>
      </c>
      <c r="F349">
        <v>14.363636363636363</v>
      </c>
      <c r="G349">
        <v>15.8</v>
      </c>
      <c r="H349">
        <v>14.14</v>
      </c>
      <c r="I349">
        <v>13.96</v>
      </c>
      <c r="Z349">
        <v>1</v>
      </c>
      <c r="AA349" t="e">
        <f t="array" ref="AA349">IF(OR(F349&lt;L$3,F349&gt;L$7),F349,#N/A)</f>
        <v>#N/A</v>
      </c>
      <c r="AB349">
        <f t="shared" si="6"/>
        <v>2</v>
      </c>
      <c r="AC349" t="e">
        <f t="array" ref="AC349">IF(OR(G349&lt;M$3,G349&gt;M$7),G349,#N/A)</f>
        <v>#N/A</v>
      </c>
      <c r="AD349">
        <f t="shared" si="6"/>
        <v>3</v>
      </c>
      <c r="AE349" t="e">
        <f t="array" ref="AE349">IF(OR(H349&lt;N$3,H349&gt;N$7),H349,#N/A)</f>
        <v>#N/A</v>
      </c>
      <c r="AF349">
        <f t="shared" si="6"/>
        <v>4</v>
      </c>
      <c r="AG349" t="e">
        <f t="array" ref="AG349">IF(OR(I349&lt;O$3,I349&gt;O$7),I349,#N/A)</f>
        <v>#N/A</v>
      </c>
    </row>
    <row r="350" spans="1:33" x14ac:dyDescent="0.25">
      <c r="A350">
        <v>349</v>
      </c>
      <c r="B350">
        <f ca="1">SMALL(dados!A$23:A$422,A350)</f>
        <v>0.88861658840550239</v>
      </c>
      <c r="E350">
        <v>347</v>
      </c>
      <c r="F350">
        <v>15.727272727272727</v>
      </c>
      <c r="G350">
        <v>16.75</v>
      </c>
      <c r="H350">
        <v>14.26</v>
      </c>
      <c r="I350">
        <v>13.83</v>
      </c>
      <c r="Z350">
        <v>1</v>
      </c>
      <c r="AA350" t="e">
        <f t="array" ref="AA350">IF(OR(F350&lt;L$3,F350&gt;L$7),F350,#N/A)</f>
        <v>#N/A</v>
      </c>
      <c r="AB350">
        <f t="shared" si="6"/>
        <v>2</v>
      </c>
      <c r="AC350" t="e">
        <f t="array" ref="AC350">IF(OR(G350&lt;M$3,G350&gt;M$7),G350,#N/A)</f>
        <v>#N/A</v>
      </c>
      <c r="AD350">
        <f t="shared" si="6"/>
        <v>3</v>
      </c>
      <c r="AE350" t="e">
        <f t="array" ref="AE350">IF(OR(H350&lt;N$3,H350&gt;N$7),H350,#N/A)</f>
        <v>#N/A</v>
      </c>
      <c r="AF350">
        <f t="shared" si="6"/>
        <v>4</v>
      </c>
      <c r="AG350" t="e">
        <f t="array" ref="AG350">IF(OR(I350&lt;O$3,I350&gt;O$7),I350,#N/A)</f>
        <v>#N/A</v>
      </c>
    </row>
    <row r="351" spans="1:33" x14ac:dyDescent="0.25">
      <c r="A351">
        <v>350</v>
      </c>
      <c r="B351">
        <f ca="1">SMALL(dados!A$23:A$422,A351)</f>
        <v>0.89208011956587252</v>
      </c>
      <c r="E351">
        <v>348</v>
      </c>
      <c r="F351">
        <v>16.272727272727273</v>
      </c>
      <c r="G351">
        <v>15.5</v>
      </c>
      <c r="H351">
        <v>13.94</v>
      </c>
      <c r="I351">
        <v>14.59</v>
      </c>
      <c r="Z351">
        <v>1</v>
      </c>
      <c r="AA351" t="e">
        <f t="array" ref="AA351">IF(OR(F351&lt;L$3,F351&gt;L$7),F351,#N/A)</f>
        <v>#N/A</v>
      </c>
      <c r="AB351">
        <f t="shared" si="6"/>
        <v>2</v>
      </c>
      <c r="AC351" t="e">
        <f t="array" ref="AC351">IF(OR(G351&lt;M$3,G351&gt;M$7),G351,#N/A)</f>
        <v>#N/A</v>
      </c>
      <c r="AD351">
        <f t="shared" si="6"/>
        <v>3</v>
      </c>
      <c r="AE351" t="e">
        <f t="array" ref="AE351">IF(OR(H351&lt;N$3,H351&gt;N$7),H351,#N/A)</f>
        <v>#N/A</v>
      </c>
      <c r="AF351">
        <f t="shared" si="6"/>
        <v>4</v>
      </c>
      <c r="AG351" t="e">
        <f t="array" ref="AG351">IF(OR(I351&lt;O$3,I351&gt;O$7),I351,#N/A)</f>
        <v>#N/A</v>
      </c>
    </row>
    <row r="352" spans="1:33" x14ac:dyDescent="0.25">
      <c r="A352">
        <v>351</v>
      </c>
      <c r="B352">
        <f ca="1">SMALL(dados!A$23:A$422,A352)</f>
        <v>0.89472700055198062</v>
      </c>
      <c r="E352">
        <v>349</v>
      </c>
      <c r="F352">
        <v>12.454545454545455</v>
      </c>
      <c r="G352">
        <v>14.1</v>
      </c>
      <c r="H352">
        <v>13.8</v>
      </c>
      <c r="I352">
        <v>13.32</v>
      </c>
      <c r="Z352">
        <v>1</v>
      </c>
      <c r="AA352" t="e">
        <f t="array" ref="AA352">IF(OR(F352&lt;L$3,F352&gt;L$7),F352,#N/A)</f>
        <v>#N/A</v>
      </c>
      <c r="AB352">
        <f t="shared" si="6"/>
        <v>2</v>
      </c>
      <c r="AC352" t="e">
        <f t="array" ref="AC352">IF(OR(G352&lt;M$3,G352&gt;M$7),G352,#N/A)</f>
        <v>#N/A</v>
      </c>
      <c r="AD352">
        <f t="shared" si="6"/>
        <v>3</v>
      </c>
      <c r="AE352" t="e">
        <f t="array" ref="AE352">IF(OR(H352&lt;N$3,H352&gt;N$7),H352,#N/A)</f>
        <v>#N/A</v>
      </c>
      <c r="AF352">
        <f t="shared" si="6"/>
        <v>4</v>
      </c>
      <c r="AG352" t="e">
        <f t="array" ref="AG352">IF(OR(I352&lt;O$3,I352&gt;O$7),I352,#N/A)</f>
        <v>#N/A</v>
      </c>
    </row>
    <row r="353" spans="1:33" x14ac:dyDescent="0.25">
      <c r="A353">
        <v>352</v>
      </c>
      <c r="B353">
        <f ca="1">SMALL(dados!A$23:A$422,A353)</f>
        <v>0.89943641008842512</v>
      </c>
      <c r="E353">
        <v>350</v>
      </c>
      <c r="F353">
        <v>13.181818181818182</v>
      </c>
      <c r="G353">
        <v>14</v>
      </c>
      <c r="H353">
        <v>14.22</v>
      </c>
      <c r="I353">
        <v>13.46</v>
      </c>
      <c r="Z353">
        <v>1</v>
      </c>
      <c r="AA353" t="e">
        <f t="array" ref="AA353">IF(OR(F353&lt;L$3,F353&gt;L$7),F353,#N/A)</f>
        <v>#N/A</v>
      </c>
      <c r="AB353">
        <f t="shared" si="6"/>
        <v>2</v>
      </c>
      <c r="AC353" t="e">
        <f t="array" ref="AC353">IF(OR(G353&lt;M$3,G353&gt;M$7),G353,#N/A)</f>
        <v>#N/A</v>
      </c>
      <c r="AD353">
        <f t="shared" si="6"/>
        <v>3</v>
      </c>
      <c r="AE353" t="e">
        <f t="array" ref="AE353">IF(OR(H353&lt;N$3,H353&gt;N$7),H353,#N/A)</f>
        <v>#N/A</v>
      </c>
      <c r="AF353">
        <f t="shared" si="6"/>
        <v>4</v>
      </c>
      <c r="AG353" t="e">
        <f t="array" ref="AG353">IF(OR(I353&lt;O$3,I353&gt;O$7),I353,#N/A)</f>
        <v>#N/A</v>
      </c>
    </row>
    <row r="354" spans="1:33" x14ac:dyDescent="0.25">
      <c r="A354">
        <v>353</v>
      </c>
      <c r="B354">
        <f ca="1">SMALL(dados!A$23:A$422,A354)</f>
        <v>0.90140420463329751</v>
      </c>
      <c r="E354">
        <v>351</v>
      </c>
      <c r="F354">
        <v>12.363636363636363</v>
      </c>
      <c r="G354">
        <v>13.2</v>
      </c>
      <c r="H354">
        <v>13.5</v>
      </c>
      <c r="I354">
        <v>13.31</v>
      </c>
      <c r="Z354">
        <v>1</v>
      </c>
      <c r="AA354" t="e">
        <f t="array" ref="AA354">IF(OR(F354&lt;L$3,F354&gt;L$7),F354,#N/A)</f>
        <v>#N/A</v>
      </c>
      <c r="AB354">
        <f t="shared" si="6"/>
        <v>2</v>
      </c>
      <c r="AC354" t="e">
        <f t="array" ref="AC354">IF(OR(G354&lt;M$3,G354&gt;M$7),G354,#N/A)</f>
        <v>#N/A</v>
      </c>
      <c r="AD354">
        <f t="shared" si="6"/>
        <v>3</v>
      </c>
      <c r="AE354" t="e">
        <f t="array" ref="AE354">IF(OR(H354&lt;N$3,H354&gt;N$7),H354,#N/A)</f>
        <v>#N/A</v>
      </c>
      <c r="AF354">
        <f t="shared" si="6"/>
        <v>4</v>
      </c>
      <c r="AG354" t="e">
        <f t="array" ref="AG354">IF(OR(I354&lt;O$3,I354&gt;O$7),I354,#N/A)</f>
        <v>#N/A</v>
      </c>
    </row>
    <row r="355" spans="1:33" x14ac:dyDescent="0.25">
      <c r="A355">
        <v>354</v>
      </c>
      <c r="B355">
        <f ca="1">SMALL(dados!A$23:A$422,A355)</f>
        <v>0.90546010886992412</v>
      </c>
      <c r="E355">
        <v>352</v>
      </c>
      <c r="F355">
        <v>11.636363636363637</v>
      </c>
      <c r="G355">
        <v>12.35</v>
      </c>
      <c r="H355">
        <v>12.18</v>
      </c>
      <c r="I355">
        <v>13.89</v>
      </c>
      <c r="Z355">
        <v>1</v>
      </c>
      <c r="AA355" t="e">
        <f t="array" ref="AA355">IF(OR(F355&lt;L$3,F355&gt;L$7),F355,#N/A)</f>
        <v>#N/A</v>
      </c>
      <c r="AB355">
        <f t="shared" si="6"/>
        <v>2</v>
      </c>
      <c r="AC355" t="e">
        <f t="array" ref="AC355">IF(OR(G355&lt;M$3,G355&gt;M$7),G355,#N/A)</f>
        <v>#N/A</v>
      </c>
      <c r="AD355">
        <f t="shared" si="6"/>
        <v>3</v>
      </c>
      <c r="AE355" t="e">
        <f t="array" ref="AE355">IF(OR(H355&lt;N$3,H355&gt;N$7),H355,#N/A)</f>
        <v>#N/A</v>
      </c>
      <c r="AF355">
        <f t="shared" si="6"/>
        <v>4</v>
      </c>
      <c r="AG355" t="e">
        <f t="array" ref="AG355">IF(OR(I355&lt;O$3,I355&gt;O$7),I355,#N/A)</f>
        <v>#N/A</v>
      </c>
    </row>
    <row r="356" spans="1:33" x14ac:dyDescent="0.25">
      <c r="A356">
        <v>355</v>
      </c>
      <c r="B356">
        <f ca="1">SMALL(dados!A$23:A$422,A356)</f>
        <v>0.90686604748343158</v>
      </c>
      <c r="E356">
        <v>353</v>
      </c>
      <c r="F356">
        <v>17.272727272727273</v>
      </c>
      <c r="G356">
        <v>13.65</v>
      </c>
      <c r="H356">
        <v>14.26</v>
      </c>
      <c r="I356">
        <v>13.58</v>
      </c>
      <c r="Z356">
        <v>1</v>
      </c>
      <c r="AA356" t="e">
        <f t="array" ref="AA356">IF(OR(F356&lt;L$3,F356&gt;L$7),F356,#N/A)</f>
        <v>#N/A</v>
      </c>
      <c r="AB356">
        <f t="shared" si="6"/>
        <v>2</v>
      </c>
      <c r="AC356" t="e">
        <f t="array" ref="AC356">IF(OR(G356&lt;M$3,G356&gt;M$7),G356,#N/A)</f>
        <v>#N/A</v>
      </c>
      <c r="AD356">
        <f t="shared" si="6"/>
        <v>3</v>
      </c>
      <c r="AE356" t="e">
        <f t="array" ref="AE356">IF(OR(H356&lt;N$3,H356&gt;N$7),H356,#N/A)</f>
        <v>#N/A</v>
      </c>
      <c r="AF356">
        <f t="shared" si="6"/>
        <v>4</v>
      </c>
      <c r="AG356" t="e">
        <f t="array" ref="AG356">IF(OR(I356&lt;O$3,I356&gt;O$7),I356,#N/A)</f>
        <v>#N/A</v>
      </c>
    </row>
    <row r="357" spans="1:33" x14ac:dyDescent="0.25">
      <c r="A357">
        <v>356</v>
      </c>
      <c r="B357">
        <f ca="1">SMALL(dados!A$23:A$422,A357)</f>
        <v>0.90926050510534606</v>
      </c>
      <c r="E357">
        <v>354</v>
      </c>
      <c r="F357">
        <v>12</v>
      </c>
      <c r="G357">
        <v>14.2</v>
      </c>
      <c r="H357">
        <v>13.4</v>
      </c>
      <c r="I357">
        <v>13.4</v>
      </c>
      <c r="Z357">
        <v>1</v>
      </c>
      <c r="AA357" t="e">
        <f t="array" ref="AA357">IF(OR(F357&lt;L$3,F357&gt;L$7),F357,#N/A)</f>
        <v>#N/A</v>
      </c>
      <c r="AB357">
        <f t="shared" si="6"/>
        <v>2</v>
      </c>
      <c r="AC357" t="e">
        <f t="array" ref="AC357">IF(OR(G357&lt;M$3,G357&gt;M$7),G357,#N/A)</f>
        <v>#N/A</v>
      </c>
      <c r="AD357">
        <f t="shared" si="6"/>
        <v>3</v>
      </c>
      <c r="AE357" t="e">
        <f t="array" ref="AE357">IF(OR(H357&lt;N$3,H357&gt;N$7),H357,#N/A)</f>
        <v>#N/A</v>
      </c>
      <c r="AF357">
        <f t="shared" si="6"/>
        <v>4</v>
      </c>
      <c r="AG357" t="e">
        <f t="array" ref="AG357">IF(OR(I357&lt;O$3,I357&gt;O$7),I357,#N/A)</f>
        <v>#N/A</v>
      </c>
    </row>
    <row r="358" spans="1:33" x14ac:dyDescent="0.25">
      <c r="A358">
        <v>357</v>
      </c>
      <c r="B358">
        <f ca="1">SMALL(dados!A$23:A$422,A358)</f>
        <v>0.91390550674261228</v>
      </c>
      <c r="E358">
        <v>355</v>
      </c>
      <c r="F358">
        <v>12.181818181818182</v>
      </c>
      <c r="G358">
        <v>12.1</v>
      </c>
      <c r="H358">
        <v>14</v>
      </c>
      <c r="I358">
        <v>14.14</v>
      </c>
      <c r="Z358">
        <v>1</v>
      </c>
      <c r="AA358" t="e">
        <f t="array" ref="AA358">IF(OR(F358&lt;L$3,F358&gt;L$7),F358,#N/A)</f>
        <v>#N/A</v>
      </c>
      <c r="AB358">
        <f t="shared" si="6"/>
        <v>2</v>
      </c>
      <c r="AC358" t="e">
        <f t="array" ref="AC358">IF(OR(G358&lt;M$3,G358&gt;M$7),G358,#N/A)</f>
        <v>#N/A</v>
      </c>
      <c r="AD358">
        <f t="shared" si="6"/>
        <v>3</v>
      </c>
      <c r="AE358" t="e">
        <f t="array" ref="AE358">IF(OR(H358&lt;N$3,H358&gt;N$7),H358,#N/A)</f>
        <v>#N/A</v>
      </c>
      <c r="AF358">
        <f t="shared" si="6"/>
        <v>4</v>
      </c>
      <c r="AG358" t="e">
        <f t="array" ref="AG358">IF(OR(I358&lt;O$3,I358&gt;O$7),I358,#N/A)</f>
        <v>#N/A</v>
      </c>
    </row>
    <row r="359" spans="1:33" x14ac:dyDescent="0.25">
      <c r="A359">
        <v>358</v>
      </c>
      <c r="B359">
        <f ca="1">SMALL(dados!A$23:A$422,A359)</f>
        <v>0.91437455288222169</v>
      </c>
      <c r="E359">
        <v>356</v>
      </c>
      <c r="F359">
        <v>15.090909090909092</v>
      </c>
      <c r="G359">
        <v>14.65</v>
      </c>
      <c r="H359">
        <v>13.7</v>
      </c>
      <c r="I359">
        <v>13.54</v>
      </c>
      <c r="Z359">
        <v>1</v>
      </c>
      <c r="AA359" t="e">
        <f t="array" ref="AA359">IF(OR(F359&lt;L$3,F359&gt;L$7),F359,#N/A)</f>
        <v>#N/A</v>
      </c>
      <c r="AB359">
        <f t="shared" si="6"/>
        <v>2</v>
      </c>
      <c r="AC359" t="e">
        <f t="array" ref="AC359">IF(OR(G359&lt;M$3,G359&gt;M$7),G359,#N/A)</f>
        <v>#N/A</v>
      </c>
      <c r="AD359">
        <f t="shared" si="6"/>
        <v>3</v>
      </c>
      <c r="AE359" t="e">
        <f t="array" ref="AE359">IF(OR(H359&lt;N$3,H359&gt;N$7),H359,#N/A)</f>
        <v>#N/A</v>
      </c>
      <c r="AF359">
        <f t="shared" si="6"/>
        <v>4</v>
      </c>
      <c r="AG359" t="e">
        <f t="array" ref="AG359">IF(OR(I359&lt;O$3,I359&gt;O$7),I359,#N/A)</f>
        <v>#N/A</v>
      </c>
    </row>
    <row r="360" spans="1:33" x14ac:dyDescent="0.25">
      <c r="A360">
        <v>359</v>
      </c>
      <c r="B360">
        <f ca="1">SMALL(dados!A$23:A$422,A360)</f>
        <v>0.91725846819966561</v>
      </c>
      <c r="E360">
        <v>357</v>
      </c>
      <c r="F360">
        <v>15.818181818181818</v>
      </c>
      <c r="G360">
        <v>13.65</v>
      </c>
      <c r="H360">
        <v>13</v>
      </c>
      <c r="I360">
        <v>14.27</v>
      </c>
      <c r="Z360">
        <v>1</v>
      </c>
      <c r="AA360" t="e">
        <f t="array" ref="AA360">IF(OR(F360&lt;L$3,F360&gt;L$7),F360,#N/A)</f>
        <v>#N/A</v>
      </c>
      <c r="AB360">
        <f t="shared" si="6"/>
        <v>2</v>
      </c>
      <c r="AC360" t="e">
        <f t="array" ref="AC360">IF(OR(G360&lt;M$3,G360&gt;M$7),G360,#N/A)</f>
        <v>#N/A</v>
      </c>
      <c r="AD360">
        <f t="shared" si="6"/>
        <v>3</v>
      </c>
      <c r="AE360" t="e">
        <f t="array" ref="AE360">IF(OR(H360&lt;N$3,H360&gt;N$7),H360,#N/A)</f>
        <v>#N/A</v>
      </c>
      <c r="AF360">
        <f t="shared" si="6"/>
        <v>4</v>
      </c>
      <c r="AG360" t="e">
        <f t="array" ref="AG360">IF(OR(I360&lt;O$3,I360&gt;O$7),I360,#N/A)</f>
        <v>#N/A</v>
      </c>
    </row>
    <row r="361" spans="1:33" x14ac:dyDescent="0.25">
      <c r="A361">
        <v>360</v>
      </c>
      <c r="B361">
        <f ca="1">SMALL(dados!A$23:A$422,A361)</f>
        <v>0.91725955556560101</v>
      </c>
      <c r="E361">
        <v>358</v>
      </c>
      <c r="F361">
        <v>13.454545454545455</v>
      </c>
      <c r="G361">
        <v>14.1</v>
      </c>
      <c r="H361">
        <v>15.36</v>
      </c>
      <c r="I361">
        <v>14.88</v>
      </c>
      <c r="Z361">
        <v>1</v>
      </c>
      <c r="AA361" t="e">
        <f t="array" ref="AA361">IF(OR(F361&lt;L$3,F361&gt;L$7),F361,#N/A)</f>
        <v>#N/A</v>
      </c>
      <c r="AB361">
        <f t="shared" si="6"/>
        <v>2</v>
      </c>
      <c r="AC361" t="e">
        <f t="array" ref="AC361">IF(OR(G361&lt;M$3,G361&gt;M$7),G361,#N/A)</f>
        <v>#N/A</v>
      </c>
      <c r="AD361">
        <f t="shared" si="6"/>
        <v>3</v>
      </c>
      <c r="AE361" t="e">
        <f t="array" ref="AE361">IF(OR(H361&lt;N$3,H361&gt;N$7),H361,#N/A)</f>
        <v>#N/A</v>
      </c>
      <c r="AF361">
        <f t="shared" si="6"/>
        <v>4</v>
      </c>
      <c r="AG361" t="e">
        <f t="array" ref="AG361">IF(OR(I361&lt;O$3,I361&gt;O$7),I361,#N/A)</f>
        <v>#N/A</v>
      </c>
    </row>
    <row r="362" spans="1:33" x14ac:dyDescent="0.25">
      <c r="A362">
        <v>361</v>
      </c>
      <c r="B362">
        <f ca="1">SMALL(dados!A$23:A$422,A362)</f>
        <v>0.92309731937454353</v>
      </c>
      <c r="E362">
        <v>359</v>
      </c>
      <c r="F362">
        <v>12.090909090909092</v>
      </c>
      <c r="G362">
        <v>12.15</v>
      </c>
      <c r="H362">
        <v>14.82</v>
      </c>
      <c r="I362">
        <v>15.34</v>
      </c>
      <c r="Z362">
        <v>1</v>
      </c>
      <c r="AA362" t="e">
        <f t="array" ref="AA362">IF(OR(F362&lt;L$3,F362&gt;L$7),F362,#N/A)</f>
        <v>#N/A</v>
      </c>
      <c r="AB362">
        <f t="shared" si="6"/>
        <v>2</v>
      </c>
      <c r="AC362" t="e">
        <f t="array" ref="AC362">IF(OR(G362&lt;M$3,G362&gt;M$7),G362,#N/A)</f>
        <v>#N/A</v>
      </c>
      <c r="AD362">
        <f t="shared" si="6"/>
        <v>3</v>
      </c>
      <c r="AE362" t="e">
        <f t="array" ref="AE362">IF(OR(H362&lt;N$3,H362&gt;N$7),H362,#N/A)</f>
        <v>#N/A</v>
      </c>
      <c r="AF362">
        <f t="shared" si="6"/>
        <v>4</v>
      </c>
      <c r="AG362" t="e">
        <f t="array" ref="AG362">IF(OR(I362&lt;O$3,I362&gt;O$7),I362,#N/A)</f>
        <v>#N/A</v>
      </c>
    </row>
    <row r="363" spans="1:33" x14ac:dyDescent="0.25">
      <c r="A363">
        <v>362</v>
      </c>
      <c r="B363">
        <f ca="1">SMALL(dados!A$23:A$422,A363)</f>
        <v>0.9256560085461657</v>
      </c>
      <c r="E363">
        <v>360</v>
      </c>
      <c r="F363">
        <v>12.454545454545455</v>
      </c>
      <c r="G363">
        <v>11.4</v>
      </c>
      <c r="H363">
        <v>13.96</v>
      </c>
      <c r="I363">
        <v>14.49</v>
      </c>
      <c r="Z363">
        <v>1</v>
      </c>
      <c r="AA363" t="e">
        <f t="array" ref="AA363">IF(OR(F363&lt;L$3,F363&gt;L$7),F363,#N/A)</f>
        <v>#N/A</v>
      </c>
      <c r="AB363">
        <f t="shared" si="6"/>
        <v>2</v>
      </c>
      <c r="AC363" t="e">
        <f t="array" ref="AC363">IF(OR(G363&lt;M$3,G363&gt;M$7),G363,#N/A)</f>
        <v>#N/A</v>
      </c>
      <c r="AD363">
        <f t="shared" si="6"/>
        <v>3</v>
      </c>
      <c r="AE363" t="e">
        <f t="array" ref="AE363">IF(OR(H363&lt;N$3,H363&gt;N$7),H363,#N/A)</f>
        <v>#N/A</v>
      </c>
      <c r="AF363">
        <f t="shared" si="6"/>
        <v>4</v>
      </c>
      <c r="AG363" t="e">
        <f t="array" ref="AG363">IF(OR(I363&lt;O$3,I363&gt;O$7),I363,#N/A)</f>
        <v>#N/A</v>
      </c>
    </row>
    <row r="364" spans="1:33" x14ac:dyDescent="0.25">
      <c r="A364">
        <v>363</v>
      </c>
      <c r="B364">
        <f ca="1">SMALL(dados!A$23:A$422,A364)</f>
        <v>0.92793852131911947</v>
      </c>
      <c r="E364">
        <v>361</v>
      </c>
      <c r="F364">
        <v>16.181818181818183</v>
      </c>
      <c r="G364">
        <v>14.55</v>
      </c>
      <c r="H364">
        <v>13.04</v>
      </c>
      <c r="I364">
        <v>13.01</v>
      </c>
      <c r="Z364">
        <v>1</v>
      </c>
      <c r="AA364" t="e">
        <f t="array" ref="AA364">IF(OR(F364&lt;L$3,F364&gt;L$7),F364,#N/A)</f>
        <v>#N/A</v>
      </c>
      <c r="AB364">
        <f t="shared" si="6"/>
        <v>2</v>
      </c>
      <c r="AC364" t="e">
        <f t="array" ref="AC364">IF(OR(G364&lt;M$3,G364&gt;M$7),G364,#N/A)</f>
        <v>#N/A</v>
      </c>
      <c r="AD364">
        <f t="shared" si="6"/>
        <v>3</v>
      </c>
      <c r="AE364" t="e">
        <f t="array" ref="AE364">IF(OR(H364&lt;N$3,H364&gt;N$7),H364,#N/A)</f>
        <v>#N/A</v>
      </c>
      <c r="AF364">
        <f t="shared" si="6"/>
        <v>4</v>
      </c>
      <c r="AG364" t="e">
        <f t="array" ref="AG364">IF(OR(I364&lt;O$3,I364&gt;O$7),I364,#N/A)</f>
        <v>#N/A</v>
      </c>
    </row>
    <row r="365" spans="1:33" x14ac:dyDescent="0.25">
      <c r="A365">
        <v>364</v>
      </c>
      <c r="B365">
        <f ca="1">SMALL(dados!A$23:A$422,A365)</f>
        <v>0.93781312686364182</v>
      </c>
      <c r="E365">
        <v>362</v>
      </c>
      <c r="F365">
        <v>13</v>
      </c>
      <c r="G365">
        <v>12.45</v>
      </c>
      <c r="H365">
        <v>14.34</v>
      </c>
      <c r="I365">
        <v>15.21</v>
      </c>
      <c r="Z365">
        <v>1</v>
      </c>
      <c r="AA365" t="e">
        <f t="array" ref="AA365">IF(OR(F365&lt;L$3,F365&gt;L$7),F365,#N/A)</f>
        <v>#N/A</v>
      </c>
      <c r="AB365">
        <f t="shared" si="6"/>
        <v>2</v>
      </c>
      <c r="AC365" t="e">
        <f t="array" ref="AC365">IF(OR(G365&lt;M$3,G365&gt;M$7),G365,#N/A)</f>
        <v>#N/A</v>
      </c>
      <c r="AD365">
        <f t="shared" si="6"/>
        <v>3</v>
      </c>
      <c r="AE365" t="e">
        <f t="array" ref="AE365">IF(OR(H365&lt;N$3,H365&gt;N$7),H365,#N/A)</f>
        <v>#N/A</v>
      </c>
      <c r="AF365">
        <f t="shared" si="6"/>
        <v>4</v>
      </c>
      <c r="AG365" t="e">
        <f t="array" ref="AG365">IF(OR(I365&lt;O$3,I365&gt;O$7),I365,#N/A)</f>
        <v>#N/A</v>
      </c>
    </row>
    <row r="366" spans="1:33" x14ac:dyDescent="0.25">
      <c r="A366">
        <v>365</v>
      </c>
      <c r="B366">
        <f ca="1">SMALL(dados!A$23:A$422,A366)</f>
        <v>0.93959088373689637</v>
      </c>
      <c r="E366">
        <v>363</v>
      </c>
      <c r="F366">
        <v>17</v>
      </c>
      <c r="G366">
        <v>15</v>
      </c>
      <c r="H366">
        <v>14.26</v>
      </c>
      <c r="I366">
        <v>14.26</v>
      </c>
      <c r="Z366">
        <v>1</v>
      </c>
      <c r="AA366" t="e">
        <f t="array" ref="AA366">IF(OR(F366&lt;L$3,F366&gt;L$7),F366,#N/A)</f>
        <v>#N/A</v>
      </c>
      <c r="AB366">
        <f t="shared" si="6"/>
        <v>2</v>
      </c>
      <c r="AC366" t="e">
        <f t="array" ref="AC366">IF(OR(G366&lt;M$3,G366&gt;M$7),G366,#N/A)</f>
        <v>#N/A</v>
      </c>
      <c r="AD366">
        <f t="shared" si="6"/>
        <v>3</v>
      </c>
      <c r="AE366" t="e">
        <f t="array" ref="AE366">IF(OR(H366&lt;N$3,H366&gt;N$7),H366,#N/A)</f>
        <v>#N/A</v>
      </c>
      <c r="AF366">
        <f t="shared" si="6"/>
        <v>4</v>
      </c>
      <c r="AG366" t="e">
        <f t="array" ref="AG366">IF(OR(I366&lt;O$3,I366&gt;O$7),I366,#N/A)</f>
        <v>#N/A</v>
      </c>
    </row>
    <row r="367" spans="1:33" x14ac:dyDescent="0.25">
      <c r="A367">
        <v>366</v>
      </c>
      <c r="B367">
        <f ca="1">SMALL(dados!A$23:A$422,A367)</f>
        <v>0.94148405812845093</v>
      </c>
      <c r="E367">
        <v>364</v>
      </c>
      <c r="F367">
        <v>14.090909090909092</v>
      </c>
      <c r="G367">
        <v>15.2</v>
      </c>
      <c r="H367">
        <v>14.82</v>
      </c>
      <c r="I367">
        <v>14.17</v>
      </c>
      <c r="Z367">
        <v>1</v>
      </c>
      <c r="AA367" t="e">
        <f t="array" ref="AA367">IF(OR(F367&lt;L$3,F367&gt;L$7),F367,#N/A)</f>
        <v>#N/A</v>
      </c>
      <c r="AB367">
        <f t="shared" si="6"/>
        <v>2</v>
      </c>
      <c r="AC367" t="e">
        <f t="array" ref="AC367">IF(OR(G367&lt;M$3,G367&gt;M$7),G367,#N/A)</f>
        <v>#N/A</v>
      </c>
      <c r="AD367">
        <f t="shared" si="6"/>
        <v>3</v>
      </c>
      <c r="AE367" t="e">
        <f t="array" ref="AE367">IF(OR(H367&lt;N$3,H367&gt;N$7),H367,#N/A)</f>
        <v>#N/A</v>
      </c>
      <c r="AF367">
        <f t="shared" si="6"/>
        <v>4</v>
      </c>
      <c r="AG367" t="e">
        <f t="array" ref="AG367">IF(OR(I367&lt;O$3,I367&gt;O$7),I367,#N/A)</f>
        <v>#N/A</v>
      </c>
    </row>
    <row r="368" spans="1:33" x14ac:dyDescent="0.25">
      <c r="A368">
        <v>367</v>
      </c>
      <c r="B368">
        <f ca="1">SMALL(dados!A$23:A$422,A368)</f>
        <v>0.94293984996929647</v>
      </c>
      <c r="E368">
        <v>365</v>
      </c>
      <c r="F368">
        <v>14</v>
      </c>
      <c r="G368">
        <v>12.85</v>
      </c>
      <c r="H368">
        <v>12.82</v>
      </c>
      <c r="I368">
        <v>14.16</v>
      </c>
      <c r="Z368">
        <v>1</v>
      </c>
      <c r="AA368" t="e">
        <f t="array" ref="AA368">IF(OR(F368&lt;L$3,F368&gt;L$7),F368,#N/A)</f>
        <v>#N/A</v>
      </c>
      <c r="AB368">
        <f t="shared" si="6"/>
        <v>2</v>
      </c>
      <c r="AC368" t="e">
        <f t="array" ref="AC368">IF(OR(G368&lt;M$3,G368&gt;M$7),G368,#N/A)</f>
        <v>#N/A</v>
      </c>
      <c r="AD368">
        <f t="shared" si="6"/>
        <v>3</v>
      </c>
      <c r="AE368" t="e">
        <f t="array" ref="AE368">IF(OR(H368&lt;N$3,H368&gt;N$7),H368,#N/A)</f>
        <v>#N/A</v>
      </c>
      <c r="AF368">
        <f t="shared" si="6"/>
        <v>4</v>
      </c>
      <c r="AG368" t="e">
        <f t="array" ref="AG368">IF(OR(I368&lt;O$3,I368&gt;O$7),I368,#N/A)</f>
        <v>#N/A</v>
      </c>
    </row>
    <row r="369" spans="1:33" x14ac:dyDescent="0.25">
      <c r="A369">
        <v>368</v>
      </c>
      <c r="B369">
        <f ca="1">SMALL(dados!A$23:A$422,A369)</f>
        <v>0.94306614060799332</v>
      </c>
      <c r="E369">
        <v>366</v>
      </c>
      <c r="F369">
        <v>15.454545454545455</v>
      </c>
      <c r="G369">
        <v>18.45</v>
      </c>
      <c r="H369">
        <v>14.96</v>
      </c>
      <c r="I369">
        <v>13.95</v>
      </c>
      <c r="Z369">
        <v>1</v>
      </c>
      <c r="AA369" t="e">
        <f t="array" ref="AA369">IF(OR(F369&lt;L$3,F369&gt;L$7),F369,#N/A)</f>
        <v>#N/A</v>
      </c>
      <c r="AB369">
        <f t="shared" si="6"/>
        <v>2</v>
      </c>
      <c r="AC369" t="e">
        <f t="array" ref="AC369">IF(OR(G369&lt;M$3,G369&gt;M$7),G369,#N/A)</f>
        <v>#N/A</v>
      </c>
      <c r="AD369">
        <f t="shared" si="6"/>
        <v>3</v>
      </c>
      <c r="AE369" t="e">
        <f t="array" ref="AE369">IF(OR(H369&lt;N$3,H369&gt;N$7),H369,#N/A)</f>
        <v>#N/A</v>
      </c>
      <c r="AF369">
        <f t="shared" si="6"/>
        <v>4</v>
      </c>
      <c r="AG369" t="e">
        <f t="array" ref="AG369">IF(OR(I369&lt;O$3,I369&gt;O$7),I369,#N/A)</f>
        <v>#N/A</v>
      </c>
    </row>
    <row r="370" spans="1:33" x14ac:dyDescent="0.25">
      <c r="A370">
        <v>369</v>
      </c>
      <c r="B370">
        <f ca="1">SMALL(dados!A$23:A$422,A370)</f>
        <v>0.94365476411490623</v>
      </c>
      <c r="E370">
        <v>367</v>
      </c>
      <c r="F370">
        <v>16.272727272727273</v>
      </c>
      <c r="G370">
        <v>15.6</v>
      </c>
      <c r="H370">
        <v>16.5</v>
      </c>
      <c r="I370">
        <v>15.1</v>
      </c>
      <c r="Z370">
        <v>1</v>
      </c>
      <c r="AA370" t="e">
        <f t="array" ref="AA370">IF(OR(F370&lt;L$3,F370&gt;L$7),F370,#N/A)</f>
        <v>#N/A</v>
      </c>
      <c r="AB370">
        <f t="shared" si="6"/>
        <v>2</v>
      </c>
      <c r="AC370" t="e">
        <f t="array" ref="AC370">IF(OR(G370&lt;M$3,G370&gt;M$7),G370,#N/A)</f>
        <v>#N/A</v>
      </c>
      <c r="AD370">
        <f t="shared" si="6"/>
        <v>3</v>
      </c>
      <c r="AE370" t="e">
        <f t="array" ref="AE370">IF(OR(H370&lt;N$3,H370&gt;N$7),H370,#N/A)</f>
        <v>#N/A</v>
      </c>
      <c r="AF370">
        <f t="shared" si="6"/>
        <v>4</v>
      </c>
      <c r="AG370" t="e">
        <f t="array" ref="AG370">IF(OR(I370&lt;O$3,I370&gt;O$7),I370,#N/A)</f>
        <v>#N/A</v>
      </c>
    </row>
    <row r="371" spans="1:33" x14ac:dyDescent="0.25">
      <c r="A371">
        <v>370</v>
      </c>
      <c r="B371">
        <f ca="1">SMALL(dados!A$23:A$422,A371)</f>
        <v>0.94390544848068669</v>
      </c>
      <c r="E371">
        <v>368</v>
      </c>
      <c r="F371">
        <v>11.727272727272727</v>
      </c>
      <c r="G371">
        <v>14.35</v>
      </c>
      <c r="H371">
        <v>15.24</v>
      </c>
      <c r="I371">
        <v>13.8</v>
      </c>
      <c r="Z371">
        <v>1</v>
      </c>
      <c r="AA371" t="e">
        <f t="array" ref="AA371">IF(OR(F371&lt;L$3,F371&gt;L$7),F371,#N/A)</f>
        <v>#N/A</v>
      </c>
      <c r="AB371">
        <f t="shared" si="6"/>
        <v>2</v>
      </c>
      <c r="AC371" t="e">
        <f t="array" ref="AC371">IF(OR(G371&lt;M$3,G371&gt;M$7),G371,#N/A)</f>
        <v>#N/A</v>
      </c>
      <c r="AD371">
        <f t="shared" si="6"/>
        <v>3</v>
      </c>
      <c r="AE371" t="e">
        <f t="array" ref="AE371">IF(OR(H371&lt;N$3,H371&gt;N$7),H371,#N/A)</f>
        <v>#N/A</v>
      </c>
      <c r="AF371">
        <f t="shared" si="6"/>
        <v>4</v>
      </c>
      <c r="AG371" t="e">
        <f t="array" ref="AG371">IF(OR(I371&lt;O$3,I371&gt;O$7),I371,#N/A)</f>
        <v>#N/A</v>
      </c>
    </row>
    <row r="372" spans="1:33" x14ac:dyDescent="0.25">
      <c r="A372">
        <v>371</v>
      </c>
      <c r="B372">
        <f ca="1">SMALL(dados!A$23:A$422,A372)</f>
        <v>0.94488713458911155</v>
      </c>
      <c r="E372">
        <v>369</v>
      </c>
      <c r="F372">
        <v>13.909090909090908</v>
      </c>
      <c r="G372">
        <v>13.8</v>
      </c>
      <c r="H372">
        <v>13.66</v>
      </c>
      <c r="I372">
        <v>13.36</v>
      </c>
      <c r="Z372">
        <v>1</v>
      </c>
      <c r="AA372" t="e">
        <f t="array" ref="AA372">IF(OR(F372&lt;L$3,F372&gt;L$7),F372,#N/A)</f>
        <v>#N/A</v>
      </c>
      <c r="AB372">
        <f t="shared" si="6"/>
        <v>2</v>
      </c>
      <c r="AC372" t="e">
        <f t="array" ref="AC372">IF(OR(G372&lt;M$3,G372&gt;M$7),G372,#N/A)</f>
        <v>#N/A</v>
      </c>
      <c r="AD372">
        <f t="shared" si="6"/>
        <v>3</v>
      </c>
      <c r="AE372" t="e">
        <f t="array" ref="AE372">IF(OR(H372&lt;N$3,H372&gt;N$7),H372,#N/A)</f>
        <v>#N/A</v>
      </c>
      <c r="AF372">
        <f t="shared" si="6"/>
        <v>4</v>
      </c>
      <c r="AG372" t="e">
        <f t="array" ref="AG372">IF(OR(I372&lt;O$3,I372&gt;O$7),I372,#N/A)</f>
        <v>#N/A</v>
      </c>
    </row>
    <row r="373" spans="1:33" x14ac:dyDescent="0.25">
      <c r="A373">
        <v>372</v>
      </c>
      <c r="B373">
        <f ca="1">SMALL(dados!A$23:A$422,A373)</f>
        <v>0.94726092506722626</v>
      </c>
      <c r="E373">
        <v>370</v>
      </c>
      <c r="F373">
        <v>14.090909090909092</v>
      </c>
      <c r="G373">
        <v>15.25</v>
      </c>
      <c r="H373">
        <v>14.78</v>
      </c>
      <c r="I373">
        <v>15.02</v>
      </c>
      <c r="Z373">
        <v>1</v>
      </c>
      <c r="AA373" t="e">
        <f t="array" ref="AA373">IF(OR(F373&lt;L$3,F373&gt;L$7),F373,#N/A)</f>
        <v>#N/A</v>
      </c>
      <c r="AB373">
        <f t="shared" si="6"/>
        <v>2</v>
      </c>
      <c r="AC373" t="e">
        <f t="array" ref="AC373">IF(OR(G373&lt;M$3,G373&gt;M$7),G373,#N/A)</f>
        <v>#N/A</v>
      </c>
      <c r="AD373">
        <f t="shared" si="6"/>
        <v>3</v>
      </c>
      <c r="AE373" t="e">
        <f t="array" ref="AE373">IF(OR(H373&lt;N$3,H373&gt;N$7),H373,#N/A)</f>
        <v>#N/A</v>
      </c>
      <c r="AF373">
        <f t="shared" si="6"/>
        <v>4</v>
      </c>
      <c r="AG373" t="e">
        <f t="array" ref="AG373">IF(OR(I373&lt;O$3,I373&gt;O$7),I373,#N/A)</f>
        <v>#N/A</v>
      </c>
    </row>
    <row r="374" spans="1:33" x14ac:dyDescent="0.25">
      <c r="A374">
        <v>373</v>
      </c>
      <c r="B374">
        <f ca="1">SMALL(dados!A$23:A$422,A374)</f>
        <v>0.94924002179605071</v>
      </c>
      <c r="E374">
        <v>371</v>
      </c>
      <c r="F374">
        <v>16.818181818181817</v>
      </c>
      <c r="G374">
        <v>15.2</v>
      </c>
      <c r="H374">
        <v>13.6</v>
      </c>
      <c r="I374">
        <v>13.07</v>
      </c>
      <c r="Z374">
        <v>1</v>
      </c>
      <c r="AA374" t="e">
        <f t="array" ref="AA374">IF(OR(F374&lt;L$3,F374&gt;L$7),F374,#N/A)</f>
        <v>#N/A</v>
      </c>
      <c r="AB374">
        <f t="shared" si="6"/>
        <v>2</v>
      </c>
      <c r="AC374" t="e">
        <f t="array" ref="AC374">IF(OR(G374&lt;M$3,G374&gt;M$7),G374,#N/A)</f>
        <v>#N/A</v>
      </c>
      <c r="AD374">
        <f t="shared" si="6"/>
        <v>3</v>
      </c>
      <c r="AE374" t="e">
        <f t="array" ref="AE374">IF(OR(H374&lt;N$3,H374&gt;N$7),H374,#N/A)</f>
        <v>#N/A</v>
      </c>
      <c r="AF374">
        <f t="shared" si="6"/>
        <v>4</v>
      </c>
      <c r="AG374" t="e">
        <f t="array" ref="AG374">IF(OR(I374&lt;O$3,I374&gt;O$7),I374,#N/A)</f>
        <v>#N/A</v>
      </c>
    </row>
    <row r="375" spans="1:33" x14ac:dyDescent="0.25">
      <c r="A375">
        <v>374</v>
      </c>
      <c r="B375">
        <f ca="1">SMALL(dados!A$23:A$422,A375)</f>
        <v>0.95015602777987695</v>
      </c>
      <c r="E375">
        <v>372</v>
      </c>
      <c r="F375">
        <v>12.909090909090908</v>
      </c>
      <c r="G375">
        <v>12.9</v>
      </c>
      <c r="H375">
        <v>13.92</v>
      </c>
      <c r="I375">
        <v>13.78</v>
      </c>
      <c r="Z375">
        <v>1</v>
      </c>
      <c r="AA375" t="e">
        <f t="array" ref="AA375">IF(OR(F375&lt;L$3,F375&gt;L$7),F375,#N/A)</f>
        <v>#N/A</v>
      </c>
      <c r="AB375">
        <f t="shared" si="6"/>
        <v>2</v>
      </c>
      <c r="AC375" t="e">
        <f t="array" ref="AC375">IF(OR(G375&lt;M$3,G375&gt;M$7),G375,#N/A)</f>
        <v>#N/A</v>
      </c>
      <c r="AD375">
        <f t="shared" si="6"/>
        <v>3</v>
      </c>
      <c r="AE375" t="e">
        <f t="array" ref="AE375">IF(OR(H375&lt;N$3,H375&gt;N$7),H375,#N/A)</f>
        <v>#N/A</v>
      </c>
      <c r="AF375">
        <f t="shared" si="6"/>
        <v>4</v>
      </c>
      <c r="AG375" t="e">
        <f t="array" ref="AG375">IF(OR(I375&lt;O$3,I375&gt;O$7),I375,#N/A)</f>
        <v>#N/A</v>
      </c>
    </row>
    <row r="376" spans="1:33" x14ac:dyDescent="0.25">
      <c r="A376">
        <v>375</v>
      </c>
      <c r="B376">
        <f ca="1">SMALL(dados!A$23:A$422,A376)</f>
        <v>0.95029200633839261</v>
      </c>
      <c r="E376">
        <v>373</v>
      </c>
      <c r="F376">
        <v>17.363636363636363</v>
      </c>
      <c r="G376">
        <v>14.95</v>
      </c>
      <c r="H376">
        <v>14.62</v>
      </c>
      <c r="I376">
        <v>13.63</v>
      </c>
      <c r="Z376">
        <v>1</v>
      </c>
      <c r="AA376" t="e">
        <f t="array" ref="AA376">IF(OR(F376&lt;L$3,F376&gt;L$7),F376,#N/A)</f>
        <v>#N/A</v>
      </c>
      <c r="AB376">
        <f t="shared" si="6"/>
        <v>2</v>
      </c>
      <c r="AC376" t="e">
        <f t="array" ref="AC376">IF(OR(G376&lt;M$3,G376&gt;M$7),G376,#N/A)</f>
        <v>#N/A</v>
      </c>
      <c r="AD376">
        <f t="shared" si="6"/>
        <v>3</v>
      </c>
      <c r="AE376" t="e">
        <f t="array" ref="AE376">IF(OR(H376&lt;N$3,H376&gt;N$7),H376,#N/A)</f>
        <v>#N/A</v>
      </c>
      <c r="AF376">
        <f t="shared" si="6"/>
        <v>4</v>
      </c>
      <c r="AG376" t="e">
        <f t="array" ref="AG376">IF(OR(I376&lt;O$3,I376&gt;O$7),I376,#N/A)</f>
        <v>#N/A</v>
      </c>
    </row>
    <row r="377" spans="1:33" x14ac:dyDescent="0.25">
      <c r="A377">
        <v>376</v>
      </c>
      <c r="B377">
        <f ca="1">SMALL(dados!A$23:A$422,A377)</f>
        <v>0.95102635517762824</v>
      </c>
      <c r="E377">
        <v>374</v>
      </c>
      <c r="F377">
        <v>15.181818181818182</v>
      </c>
      <c r="G377">
        <v>16.5</v>
      </c>
      <c r="H377">
        <v>16.22</v>
      </c>
      <c r="I377">
        <v>15.01</v>
      </c>
      <c r="Z377">
        <v>1</v>
      </c>
      <c r="AA377" t="e">
        <f t="array" ref="AA377">IF(OR(F377&lt;L$3,F377&gt;L$7),F377,#N/A)</f>
        <v>#N/A</v>
      </c>
      <c r="AB377">
        <f t="shared" si="6"/>
        <v>2</v>
      </c>
      <c r="AC377" t="e">
        <f t="array" ref="AC377">IF(OR(G377&lt;M$3,G377&gt;M$7),G377,#N/A)</f>
        <v>#N/A</v>
      </c>
      <c r="AD377">
        <f t="shared" si="6"/>
        <v>3</v>
      </c>
      <c r="AE377" t="e">
        <f t="array" ref="AE377">IF(OR(H377&lt;N$3,H377&gt;N$7),H377,#N/A)</f>
        <v>#N/A</v>
      </c>
      <c r="AF377">
        <f t="shared" si="6"/>
        <v>4</v>
      </c>
      <c r="AG377" t="e">
        <f t="array" ref="AG377">IF(OR(I377&lt;O$3,I377&gt;O$7),I377,#N/A)</f>
        <v>#N/A</v>
      </c>
    </row>
    <row r="378" spans="1:33" x14ac:dyDescent="0.25">
      <c r="A378">
        <v>377</v>
      </c>
      <c r="B378">
        <f ca="1">SMALL(dados!A$23:A$422,A378)</f>
        <v>0.9543933657019209</v>
      </c>
      <c r="E378">
        <v>375</v>
      </c>
      <c r="F378">
        <v>11.454545454545455</v>
      </c>
      <c r="G378">
        <v>12.15</v>
      </c>
      <c r="H378">
        <v>13.6</v>
      </c>
      <c r="I378">
        <v>13.26</v>
      </c>
      <c r="Z378">
        <v>1</v>
      </c>
      <c r="AA378" t="e">
        <f t="array" ref="AA378">IF(OR(F378&lt;L$3,F378&gt;L$7),F378,#N/A)</f>
        <v>#N/A</v>
      </c>
      <c r="AB378">
        <f t="shared" si="6"/>
        <v>2</v>
      </c>
      <c r="AC378" t="e">
        <f t="array" ref="AC378">IF(OR(G378&lt;M$3,G378&gt;M$7),G378,#N/A)</f>
        <v>#N/A</v>
      </c>
      <c r="AD378">
        <f t="shared" si="6"/>
        <v>3</v>
      </c>
      <c r="AE378" t="e">
        <f t="array" ref="AE378">IF(OR(H378&lt;N$3,H378&gt;N$7),H378,#N/A)</f>
        <v>#N/A</v>
      </c>
      <c r="AF378">
        <f t="shared" si="6"/>
        <v>4</v>
      </c>
      <c r="AG378" t="e">
        <f t="array" ref="AG378">IF(OR(I378&lt;O$3,I378&gt;O$7),I378,#N/A)</f>
        <v>#N/A</v>
      </c>
    </row>
    <row r="379" spans="1:33" x14ac:dyDescent="0.25">
      <c r="A379">
        <v>378</v>
      </c>
      <c r="B379">
        <f ca="1">SMALL(dados!A$23:A$422,A379)</f>
        <v>0.95870683830142533</v>
      </c>
      <c r="E379">
        <v>376</v>
      </c>
      <c r="F379">
        <v>13.272727272727273</v>
      </c>
      <c r="G379">
        <v>14.35</v>
      </c>
      <c r="H379">
        <v>13.1</v>
      </c>
      <c r="I379">
        <v>13.45</v>
      </c>
      <c r="Z379">
        <v>1</v>
      </c>
      <c r="AA379" t="e">
        <f t="array" ref="AA379">IF(OR(F379&lt;L$3,F379&gt;L$7),F379,#N/A)</f>
        <v>#N/A</v>
      </c>
      <c r="AB379">
        <f t="shared" si="6"/>
        <v>2</v>
      </c>
      <c r="AC379" t="e">
        <f t="array" ref="AC379">IF(OR(G379&lt;M$3,G379&gt;M$7),G379,#N/A)</f>
        <v>#N/A</v>
      </c>
      <c r="AD379">
        <f t="shared" si="6"/>
        <v>3</v>
      </c>
      <c r="AE379" t="e">
        <f t="array" ref="AE379">IF(OR(H379&lt;N$3,H379&gt;N$7),H379,#N/A)</f>
        <v>#N/A</v>
      </c>
      <c r="AF379">
        <f t="shared" si="6"/>
        <v>4</v>
      </c>
      <c r="AG379" t="e">
        <f t="array" ref="AG379">IF(OR(I379&lt;O$3,I379&gt;O$7),I379,#N/A)</f>
        <v>#N/A</v>
      </c>
    </row>
    <row r="380" spans="1:33" x14ac:dyDescent="0.25">
      <c r="A380">
        <v>379</v>
      </c>
      <c r="B380">
        <f ca="1">SMALL(dados!A$23:A$422,A380)</f>
        <v>0.95984080489469503</v>
      </c>
      <c r="E380">
        <v>377</v>
      </c>
      <c r="F380">
        <v>16.454545454545453</v>
      </c>
      <c r="G380">
        <v>14.85</v>
      </c>
      <c r="H380">
        <v>15.34</v>
      </c>
      <c r="I380">
        <v>15.46</v>
      </c>
      <c r="Z380">
        <v>1</v>
      </c>
      <c r="AA380" t="e">
        <f t="array" ref="AA380">IF(OR(F380&lt;L$3,F380&gt;L$7),F380,#N/A)</f>
        <v>#N/A</v>
      </c>
      <c r="AB380">
        <f t="shared" si="6"/>
        <v>2</v>
      </c>
      <c r="AC380" t="e">
        <f t="array" ref="AC380">IF(OR(G380&lt;M$3,G380&gt;M$7),G380,#N/A)</f>
        <v>#N/A</v>
      </c>
      <c r="AD380">
        <f t="shared" si="6"/>
        <v>3</v>
      </c>
      <c r="AE380" t="e">
        <f t="array" ref="AE380">IF(OR(H380&lt;N$3,H380&gt;N$7),H380,#N/A)</f>
        <v>#N/A</v>
      </c>
      <c r="AF380">
        <f t="shared" si="6"/>
        <v>4</v>
      </c>
      <c r="AG380" t="e">
        <f t="array" ref="AG380">IF(OR(I380&lt;O$3,I380&gt;O$7),I380,#N/A)</f>
        <v>#N/A</v>
      </c>
    </row>
    <row r="381" spans="1:33" x14ac:dyDescent="0.25">
      <c r="A381">
        <v>380</v>
      </c>
      <c r="B381">
        <f ca="1">SMALL(dados!A$23:A$422,A381)</f>
        <v>0.96145088795930889</v>
      </c>
      <c r="E381">
        <v>378</v>
      </c>
      <c r="F381">
        <v>13.636363636363637</v>
      </c>
      <c r="G381">
        <v>12.9</v>
      </c>
      <c r="H381">
        <v>13.54</v>
      </c>
      <c r="I381">
        <v>13.58</v>
      </c>
      <c r="Z381">
        <v>1</v>
      </c>
      <c r="AA381" t="e">
        <f t="array" ref="AA381">IF(OR(F381&lt;L$3,F381&gt;L$7),F381,#N/A)</f>
        <v>#N/A</v>
      </c>
      <c r="AB381">
        <f t="shared" si="6"/>
        <v>2</v>
      </c>
      <c r="AC381" t="e">
        <f t="array" ref="AC381">IF(OR(G381&lt;M$3,G381&gt;M$7),G381,#N/A)</f>
        <v>#N/A</v>
      </c>
      <c r="AD381">
        <f t="shared" si="6"/>
        <v>3</v>
      </c>
      <c r="AE381" t="e">
        <f t="array" ref="AE381">IF(OR(H381&lt;N$3,H381&gt;N$7),H381,#N/A)</f>
        <v>#N/A</v>
      </c>
      <c r="AF381">
        <f t="shared" si="6"/>
        <v>4</v>
      </c>
      <c r="AG381" t="e">
        <f t="array" ref="AG381">IF(OR(I381&lt;O$3,I381&gt;O$7),I381,#N/A)</f>
        <v>#N/A</v>
      </c>
    </row>
    <row r="382" spans="1:33" x14ac:dyDescent="0.25">
      <c r="A382">
        <v>381</v>
      </c>
      <c r="B382">
        <f ca="1">SMALL(dados!A$23:A$422,A382)</f>
        <v>0.9627384868349006</v>
      </c>
      <c r="E382">
        <v>379</v>
      </c>
      <c r="F382">
        <v>13.545454545454545</v>
      </c>
      <c r="G382">
        <v>14.75</v>
      </c>
      <c r="H382">
        <v>15.92</v>
      </c>
      <c r="I382">
        <v>15.51</v>
      </c>
      <c r="Z382">
        <v>1</v>
      </c>
      <c r="AA382" t="e">
        <f t="array" ref="AA382">IF(OR(F382&lt;L$3,F382&gt;L$7),F382,#N/A)</f>
        <v>#N/A</v>
      </c>
      <c r="AB382">
        <f t="shared" si="6"/>
        <v>2</v>
      </c>
      <c r="AC382" t="e">
        <f t="array" ref="AC382">IF(OR(G382&lt;M$3,G382&gt;M$7),G382,#N/A)</f>
        <v>#N/A</v>
      </c>
      <c r="AD382">
        <f t="shared" si="6"/>
        <v>3</v>
      </c>
      <c r="AE382" t="e">
        <f t="array" ref="AE382">IF(OR(H382&lt;N$3,H382&gt;N$7),H382,#N/A)</f>
        <v>#N/A</v>
      </c>
      <c r="AF382">
        <f t="shared" si="6"/>
        <v>4</v>
      </c>
      <c r="AG382" t="e">
        <f t="array" ref="AG382">IF(OR(I382&lt;O$3,I382&gt;O$7),I382,#N/A)</f>
        <v>#N/A</v>
      </c>
    </row>
    <row r="383" spans="1:33" x14ac:dyDescent="0.25">
      <c r="A383">
        <v>382</v>
      </c>
      <c r="B383">
        <f ca="1">SMALL(dados!A$23:A$422,A383)</f>
        <v>0.96470816834732676</v>
      </c>
      <c r="E383">
        <v>380</v>
      </c>
      <c r="F383">
        <v>13.818181818181818</v>
      </c>
      <c r="G383">
        <v>12.45</v>
      </c>
      <c r="H383">
        <v>13.56</v>
      </c>
      <c r="I383">
        <v>13.93</v>
      </c>
      <c r="Z383">
        <v>1</v>
      </c>
      <c r="AA383" t="e">
        <f t="array" ref="AA383">IF(OR(F383&lt;L$3,F383&gt;L$7),F383,#N/A)</f>
        <v>#N/A</v>
      </c>
      <c r="AB383">
        <f t="shared" si="6"/>
        <v>2</v>
      </c>
      <c r="AC383" t="e">
        <f t="array" ref="AC383">IF(OR(G383&lt;M$3,G383&gt;M$7),G383,#N/A)</f>
        <v>#N/A</v>
      </c>
      <c r="AD383">
        <f t="shared" si="6"/>
        <v>3</v>
      </c>
      <c r="AE383" t="e">
        <f t="array" ref="AE383">IF(OR(H383&lt;N$3,H383&gt;N$7),H383,#N/A)</f>
        <v>#N/A</v>
      </c>
      <c r="AF383">
        <f t="shared" si="6"/>
        <v>4</v>
      </c>
      <c r="AG383" t="e">
        <f t="array" ref="AG383">IF(OR(I383&lt;O$3,I383&gt;O$7),I383,#N/A)</f>
        <v>#N/A</v>
      </c>
    </row>
    <row r="384" spans="1:33" x14ac:dyDescent="0.25">
      <c r="A384">
        <v>383</v>
      </c>
      <c r="B384">
        <f ca="1">SMALL(dados!A$23:A$422,A384)</f>
        <v>0.96565455589086246</v>
      </c>
      <c r="E384">
        <v>381</v>
      </c>
      <c r="F384">
        <v>16.272727272727273</v>
      </c>
      <c r="G384">
        <v>15.15</v>
      </c>
      <c r="H384">
        <v>15.06</v>
      </c>
      <c r="I384">
        <v>14.05</v>
      </c>
      <c r="Z384">
        <v>1</v>
      </c>
      <c r="AA384" t="e">
        <f t="array" ref="AA384">IF(OR(F384&lt;L$3,F384&gt;L$7),F384,#N/A)</f>
        <v>#N/A</v>
      </c>
      <c r="AB384">
        <f t="shared" si="6"/>
        <v>2</v>
      </c>
      <c r="AC384" t="e">
        <f t="array" ref="AC384">IF(OR(G384&lt;M$3,G384&gt;M$7),G384,#N/A)</f>
        <v>#N/A</v>
      </c>
      <c r="AD384">
        <f t="shared" si="6"/>
        <v>3</v>
      </c>
      <c r="AE384" t="e">
        <f t="array" ref="AE384">IF(OR(H384&lt;N$3,H384&gt;N$7),H384,#N/A)</f>
        <v>#N/A</v>
      </c>
      <c r="AF384">
        <f t="shared" si="6"/>
        <v>4</v>
      </c>
      <c r="AG384" t="e">
        <f t="array" ref="AG384">IF(OR(I384&lt;O$3,I384&gt;O$7),I384,#N/A)</f>
        <v>#N/A</v>
      </c>
    </row>
    <row r="385" spans="1:33" x14ac:dyDescent="0.25">
      <c r="A385">
        <v>384</v>
      </c>
      <c r="B385">
        <f ca="1">SMALL(dados!A$23:A$422,A385)</f>
        <v>0.9657520687911153</v>
      </c>
      <c r="E385">
        <v>382</v>
      </c>
      <c r="F385">
        <v>12.363636363636363</v>
      </c>
      <c r="G385">
        <v>12.45</v>
      </c>
      <c r="H385">
        <v>14.5</v>
      </c>
      <c r="I385">
        <v>14.25</v>
      </c>
      <c r="Z385">
        <v>1</v>
      </c>
      <c r="AA385" t="e">
        <f t="array" ref="AA385">IF(OR(F385&lt;L$3,F385&gt;L$7),F385,#N/A)</f>
        <v>#N/A</v>
      </c>
      <c r="AB385">
        <f t="shared" si="6"/>
        <v>2</v>
      </c>
      <c r="AC385" t="e">
        <f t="array" ref="AC385">IF(OR(G385&lt;M$3,G385&gt;M$7),G385,#N/A)</f>
        <v>#N/A</v>
      </c>
      <c r="AD385">
        <f t="shared" si="6"/>
        <v>3</v>
      </c>
      <c r="AE385" t="e">
        <f t="array" ref="AE385">IF(OR(H385&lt;N$3,H385&gt;N$7),H385,#N/A)</f>
        <v>#N/A</v>
      </c>
      <c r="AF385">
        <f t="shared" si="6"/>
        <v>4</v>
      </c>
      <c r="AG385" t="e">
        <f t="array" ref="AG385">IF(OR(I385&lt;O$3,I385&gt;O$7),I385,#N/A)</f>
        <v>#N/A</v>
      </c>
    </row>
    <row r="386" spans="1:33" x14ac:dyDescent="0.25">
      <c r="A386">
        <v>385</v>
      </c>
      <c r="B386">
        <f ca="1">SMALL(dados!A$23:A$422,A386)</f>
        <v>0.96742844038880649</v>
      </c>
      <c r="E386">
        <v>383</v>
      </c>
      <c r="F386">
        <v>18.818181818181817</v>
      </c>
      <c r="G386">
        <v>17</v>
      </c>
      <c r="H386">
        <v>16.98</v>
      </c>
      <c r="I386">
        <v>15.95</v>
      </c>
      <c r="Z386">
        <v>1</v>
      </c>
      <c r="AA386" t="e">
        <f t="array" ref="AA386">IF(OR(F386&lt;L$3,F386&gt;L$7),F386,#N/A)</f>
        <v>#N/A</v>
      </c>
      <c r="AB386">
        <f t="shared" si="6"/>
        <v>2</v>
      </c>
      <c r="AC386" t="e">
        <f t="array" ref="AC386">IF(OR(G386&lt;M$3,G386&gt;M$7),G386,#N/A)</f>
        <v>#N/A</v>
      </c>
      <c r="AD386">
        <f t="shared" si="6"/>
        <v>3</v>
      </c>
      <c r="AE386">
        <f t="array" ref="AE386">IF(OR(H386&lt;N$3,H386&gt;N$7),H386,#N/A)</f>
        <v>16.98</v>
      </c>
      <c r="AF386">
        <f t="shared" si="6"/>
        <v>4</v>
      </c>
      <c r="AG386">
        <f t="array" ref="AG386">IF(OR(I386&lt;O$3,I386&gt;O$7),I386,#N/A)</f>
        <v>15.95</v>
      </c>
    </row>
    <row r="387" spans="1:33" x14ac:dyDescent="0.25">
      <c r="A387">
        <v>386</v>
      </c>
      <c r="B387">
        <f ca="1">SMALL(dados!A$23:A$422,A387)</f>
        <v>0.9681443527848359</v>
      </c>
      <c r="E387">
        <v>384</v>
      </c>
      <c r="F387">
        <v>12.818181818181818</v>
      </c>
      <c r="G387">
        <v>12.25</v>
      </c>
      <c r="H387">
        <v>13.2</v>
      </c>
      <c r="I387">
        <v>13.77</v>
      </c>
      <c r="Z387">
        <v>1</v>
      </c>
      <c r="AA387" t="e">
        <f t="array" ref="AA387">IF(OR(F387&lt;L$3,F387&gt;L$7),F387,#N/A)</f>
        <v>#N/A</v>
      </c>
      <c r="AB387">
        <f t="shared" si="6"/>
        <v>2</v>
      </c>
      <c r="AC387" t="e">
        <f t="array" ref="AC387">IF(OR(G387&lt;M$3,G387&gt;M$7),G387,#N/A)</f>
        <v>#N/A</v>
      </c>
      <c r="AD387">
        <f t="shared" si="6"/>
        <v>3</v>
      </c>
      <c r="AE387" t="e">
        <f t="array" ref="AE387">IF(OR(H387&lt;N$3,H387&gt;N$7),H387,#N/A)</f>
        <v>#N/A</v>
      </c>
      <c r="AF387">
        <f t="shared" si="6"/>
        <v>4</v>
      </c>
      <c r="AG387" t="e">
        <f t="array" ref="AG387">IF(OR(I387&lt;O$3,I387&gt;O$7),I387,#N/A)</f>
        <v>#N/A</v>
      </c>
    </row>
    <row r="388" spans="1:33" x14ac:dyDescent="0.25">
      <c r="A388">
        <v>387</v>
      </c>
      <c r="B388">
        <f ca="1">SMALL(dados!A$23:A$422,A388)</f>
        <v>0.97154175849322821</v>
      </c>
      <c r="E388">
        <v>385</v>
      </c>
      <c r="F388">
        <v>10.909090909090908</v>
      </c>
      <c r="G388">
        <v>13</v>
      </c>
      <c r="H388">
        <v>12.92</v>
      </c>
      <c r="I388">
        <v>12.5</v>
      </c>
      <c r="Z388">
        <v>1</v>
      </c>
      <c r="AA388" t="e">
        <f t="array" ref="AA388">IF(OR(F388&lt;L$3,F388&gt;L$7),F388,#N/A)</f>
        <v>#N/A</v>
      </c>
      <c r="AB388">
        <f t="shared" si="6"/>
        <v>2</v>
      </c>
      <c r="AC388" t="e">
        <f t="array" ref="AC388">IF(OR(G388&lt;M$3,G388&gt;M$7),G388,#N/A)</f>
        <v>#N/A</v>
      </c>
      <c r="AD388">
        <f t="shared" si="6"/>
        <v>3</v>
      </c>
      <c r="AE388" t="e">
        <f t="array" ref="AE388">IF(OR(H388&lt;N$3,H388&gt;N$7),H388,#N/A)</f>
        <v>#N/A</v>
      </c>
      <c r="AF388">
        <f t="shared" si="6"/>
        <v>4</v>
      </c>
      <c r="AG388" t="e">
        <f t="array" ref="AG388">IF(OR(I388&lt;O$3,I388&gt;O$7),I388,#N/A)</f>
        <v>#N/A</v>
      </c>
    </row>
    <row r="389" spans="1:33" x14ac:dyDescent="0.25">
      <c r="A389">
        <v>388</v>
      </c>
      <c r="B389">
        <f ca="1">SMALL(dados!A$23:A$422,A389)</f>
        <v>0.97200403124349333</v>
      </c>
      <c r="E389">
        <v>386</v>
      </c>
      <c r="F389">
        <v>15.272727272727273</v>
      </c>
      <c r="G389">
        <v>14.8</v>
      </c>
      <c r="H389">
        <v>13.68</v>
      </c>
      <c r="I389">
        <v>14.68</v>
      </c>
      <c r="Z389">
        <v>1</v>
      </c>
      <c r="AA389" t="e">
        <f t="array" ref="AA389">IF(OR(F389&lt;L$3,F389&gt;L$7),F389,#N/A)</f>
        <v>#N/A</v>
      </c>
      <c r="AB389">
        <f t="shared" ref="AB389:AF452" si="7">Z389+1</f>
        <v>2</v>
      </c>
      <c r="AC389" t="e">
        <f t="array" ref="AC389">IF(OR(G389&lt;M$3,G389&gt;M$7),G389,#N/A)</f>
        <v>#N/A</v>
      </c>
      <c r="AD389">
        <f t="shared" si="7"/>
        <v>3</v>
      </c>
      <c r="AE389" t="e">
        <f t="array" ref="AE389">IF(OR(H389&lt;N$3,H389&gt;N$7),H389,#N/A)</f>
        <v>#N/A</v>
      </c>
      <c r="AF389">
        <f t="shared" si="7"/>
        <v>4</v>
      </c>
      <c r="AG389" t="e">
        <f t="array" ref="AG389">IF(OR(I389&lt;O$3,I389&gt;O$7),I389,#N/A)</f>
        <v>#N/A</v>
      </c>
    </row>
    <row r="390" spans="1:33" x14ac:dyDescent="0.25">
      <c r="A390">
        <v>389</v>
      </c>
      <c r="B390">
        <f ca="1">SMALL(dados!A$23:A$422,A390)</f>
        <v>0.97226573341833378</v>
      </c>
      <c r="E390">
        <v>387</v>
      </c>
      <c r="F390">
        <v>14</v>
      </c>
      <c r="G390">
        <v>15.7</v>
      </c>
      <c r="H390">
        <v>14.78</v>
      </c>
      <c r="I390">
        <v>14.66</v>
      </c>
      <c r="Z390">
        <v>1</v>
      </c>
      <c r="AA390" t="e">
        <f t="array" ref="AA390">IF(OR(F390&lt;L$3,F390&gt;L$7),F390,#N/A)</f>
        <v>#N/A</v>
      </c>
      <c r="AB390">
        <f t="shared" si="7"/>
        <v>2</v>
      </c>
      <c r="AC390" t="e">
        <f t="array" ref="AC390">IF(OR(G390&lt;M$3,G390&gt;M$7),G390,#N/A)</f>
        <v>#N/A</v>
      </c>
      <c r="AD390">
        <f t="shared" si="7"/>
        <v>3</v>
      </c>
      <c r="AE390" t="e">
        <f t="array" ref="AE390">IF(OR(H390&lt;N$3,H390&gt;N$7),H390,#N/A)</f>
        <v>#N/A</v>
      </c>
      <c r="AF390">
        <f t="shared" si="7"/>
        <v>4</v>
      </c>
      <c r="AG390" t="e">
        <f t="array" ref="AG390">IF(OR(I390&lt;O$3,I390&gt;O$7),I390,#N/A)</f>
        <v>#N/A</v>
      </c>
    </row>
    <row r="391" spans="1:33" x14ac:dyDescent="0.25">
      <c r="A391">
        <v>390</v>
      </c>
      <c r="B391">
        <f ca="1">SMALL(dados!A$23:A$422,A391)</f>
        <v>0.97443404090897856</v>
      </c>
      <c r="E391">
        <v>388</v>
      </c>
      <c r="F391">
        <v>15.545454545454545</v>
      </c>
      <c r="G391">
        <v>17.75</v>
      </c>
      <c r="H391">
        <v>17.12</v>
      </c>
      <c r="I391">
        <v>16.12</v>
      </c>
      <c r="Z391">
        <v>1</v>
      </c>
      <c r="AA391" t="e">
        <f t="array" ref="AA391">IF(OR(F391&lt;L$3,F391&gt;L$7),F391,#N/A)</f>
        <v>#N/A</v>
      </c>
      <c r="AB391">
        <f t="shared" si="7"/>
        <v>2</v>
      </c>
      <c r="AC391" t="e">
        <f t="array" ref="AC391">IF(OR(G391&lt;M$3,G391&gt;M$7),G391,#N/A)</f>
        <v>#N/A</v>
      </c>
      <c r="AD391">
        <f t="shared" si="7"/>
        <v>3</v>
      </c>
      <c r="AE391">
        <f t="array" ref="AE391">IF(OR(H391&lt;N$3,H391&gt;N$7),H391,#N/A)</f>
        <v>17.12</v>
      </c>
      <c r="AF391">
        <f t="shared" si="7"/>
        <v>4</v>
      </c>
      <c r="AG391">
        <f t="array" ref="AG391">IF(OR(I391&lt;O$3,I391&gt;O$7),I391,#N/A)</f>
        <v>16.12</v>
      </c>
    </row>
    <row r="392" spans="1:33" x14ac:dyDescent="0.25">
      <c r="A392">
        <v>391</v>
      </c>
      <c r="B392">
        <f ca="1">SMALL(dados!A$23:A$422,A392)</f>
        <v>0.98247235672682665</v>
      </c>
      <c r="E392">
        <v>389</v>
      </c>
      <c r="F392">
        <v>12.545454545454545</v>
      </c>
      <c r="G392">
        <v>13.15</v>
      </c>
      <c r="H392">
        <v>14.82</v>
      </c>
      <c r="I392">
        <v>14.43</v>
      </c>
      <c r="Z392">
        <v>1</v>
      </c>
      <c r="AA392" t="e">
        <f t="array" ref="AA392">IF(OR(F392&lt;L$3,F392&gt;L$7),F392,#N/A)</f>
        <v>#N/A</v>
      </c>
      <c r="AB392">
        <f t="shared" si="7"/>
        <v>2</v>
      </c>
      <c r="AC392" t="e">
        <f t="array" ref="AC392">IF(OR(G392&lt;M$3,G392&gt;M$7),G392,#N/A)</f>
        <v>#N/A</v>
      </c>
      <c r="AD392">
        <f t="shared" si="7"/>
        <v>3</v>
      </c>
      <c r="AE392" t="e">
        <f t="array" ref="AE392">IF(OR(H392&lt;N$3,H392&gt;N$7),H392,#N/A)</f>
        <v>#N/A</v>
      </c>
      <c r="AF392">
        <f t="shared" si="7"/>
        <v>4</v>
      </c>
      <c r="AG392" t="e">
        <f t="array" ref="AG392">IF(OR(I392&lt;O$3,I392&gt;O$7),I392,#N/A)</f>
        <v>#N/A</v>
      </c>
    </row>
    <row r="393" spans="1:33" x14ac:dyDescent="0.25">
      <c r="A393">
        <v>392</v>
      </c>
      <c r="B393">
        <f ca="1">SMALL(dados!A$23:A$422,A393)</f>
        <v>0.98429656655727193</v>
      </c>
      <c r="E393">
        <v>390</v>
      </c>
      <c r="F393">
        <v>17.363636363636363</v>
      </c>
      <c r="G393">
        <v>15.2</v>
      </c>
      <c r="H393">
        <v>14.18</v>
      </c>
      <c r="I393">
        <v>14.03</v>
      </c>
      <c r="Z393">
        <v>1</v>
      </c>
      <c r="AA393" t="e">
        <f t="array" ref="AA393">IF(OR(F393&lt;L$3,F393&gt;L$7),F393,#N/A)</f>
        <v>#N/A</v>
      </c>
      <c r="AB393">
        <f t="shared" si="7"/>
        <v>2</v>
      </c>
      <c r="AC393" t="e">
        <f t="array" ref="AC393">IF(OR(G393&lt;M$3,G393&gt;M$7),G393,#N/A)</f>
        <v>#N/A</v>
      </c>
      <c r="AD393">
        <f t="shared" si="7"/>
        <v>3</v>
      </c>
      <c r="AE393" t="e">
        <f t="array" ref="AE393">IF(OR(H393&lt;N$3,H393&gt;N$7),H393,#N/A)</f>
        <v>#N/A</v>
      </c>
      <c r="AF393">
        <f t="shared" si="7"/>
        <v>4</v>
      </c>
      <c r="AG393" t="e">
        <f t="array" ref="AG393">IF(OR(I393&lt;O$3,I393&gt;O$7),I393,#N/A)</f>
        <v>#N/A</v>
      </c>
    </row>
    <row r="394" spans="1:33" x14ac:dyDescent="0.25">
      <c r="A394">
        <v>393</v>
      </c>
      <c r="B394">
        <f ca="1">SMALL(dados!A$23:A$422,A394)</f>
        <v>0.98812679476203136</v>
      </c>
      <c r="E394">
        <v>391</v>
      </c>
      <c r="F394">
        <v>18.181818181818183</v>
      </c>
      <c r="G394">
        <v>14.9</v>
      </c>
      <c r="H394">
        <v>12.94</v>
      </c>
      <c r="I394">
        <v>14.16</v>
      </c>
      <c r="Z394">
        <v>1</v>
      </c>
      <c r="AA394" t="e">
        <f t="array" ref="AA394">IF(OR(F394&lt;L$3,F394&gt;L$7),F394,#N/A)</f>
        <v>#N/A</v>
      </c>
      <c r="AB394">
        <f t="shared" si="7"/>
        <v>2</v>
      </c>
      <c r="AC394" t="e">
        <f t="array" ref="AC394">IF(OR(G394&lt;M$3,G394&gt;M$7),G394,#N/A)</f>
        <v>#N/A</v>
      </c>
      <c r="AD394">
        <f t="shared" si="7"/>
        <v>3</v>
      </c>
      <c r="AE394" t="e">
        <f t="array" ref="AE394">IF(OR(H394&lt;N$3,H394&gt;N$7),H394,#N/A)</f>
        <v>#N/A</v>
      </c>
      <c r="AF394">
        <f t="shared" si="7"/>
        <v>4</v>
      </c>
      <c r="AG394" t="e">
        <f t="array" ref="AG394">IF(OR(I394&lt;O$3,I394&gt;O$7),I394,#N/A)</f>
        <v>#N/A</v>
      </c>
    </row>
    <row r="395" spans="1:33" x14ac:dyDescent="0.25">
      <c r="A395">
        <v>394</v>
      </c>
      <c r="B395">
        <f ca="1">SMALL(dados!A$23:A$422,A395)</f>
        <v>0.98824452585817035</v>
      </c>
      <c r="E395">
        <v>392</v>
      </c>
      <c r="F395">
        <v>12.818181818181818</v>
      </c>
      <c r="G395">
        <v>11.4</v>
      </c>
      <c r="H395">
        <v>13.42</v>
      </c>
      <c r="I395">
        <v>13.58</v>
      </c>
      <c r="Z395">
        <v>1</v>
      </c>
      <c r="AA395" t="e">
        <f t="array" ref="AA395">IF(OR(F395&lt;L$3,F395&gt;L$7),F395,#N/A)</f>
        <v>#N/A</v>
      </c>
      <c r="AB395">
        <f t="shared" si="7"/>
        <v>2</v>
      </c>
      <c r="AC395" t="e">
        <f t="array" ref="AC395">IF(OR(G395&lt;M$3,G395&gt;M$7),G395,#N/A)</f>
        <v>#N/A</v>
      </c>
      <c r="AD395">
        <f t="shared" si="7"/>
        <v>3</v>
      </c>
      <c r="AE395" t="e">
        <f t="array" ref="AE395">IF(OR(H395&lt;N$3,H395&gt;N$7),H395,#N/A)</f>
        <v>#N/A</v>
      </c>
      <c r="AF395">
        <f t="shared" si="7"/>
        <v>4</v>
      </c>
      <c r="AG395" t="e">
        <f t="array" ref="AG395">IF(OR(I395&lt;O$3,I395&gt;O$7),I395,#N/A)</f>
        <v>#N/A</v>
      </c>
    </row>
    <row r="396" spans="1:33" x14ac:dyDescent="0.25">
      <c r="A396">
        <v>395</v>
      </c>
      <c r="B396">
        <f ca="1">SMALL(dados!A$23:A$422,A396)</f>
        <v>0.99558553105019609</v>
      </c>
      <c r="E396">
        <v>393</v>
      </c>
      <c r="F396">
        <v>12.636363636363637</v>
      </c>
      <c r="G396">
        <v>12.05</v>
      </c>
      <c r="H396">
        <v>15.1</v>
      </c>
      <c r="I396">
        <v>15.46</v>
      </c>
      <c r="Z396">
        <v>1</v>
      </c>
      <c r="AA396" t="e">
        <f t="array" ref="AA396">IF(OR(F396&lt;L$3,F396&gt;L$7),F396,#N/A)</f>
        <v>#N/A</v>
      </c>
      <c r="AB396">
        <f t="shared" si="7"/>
        <v>2</v>
      </c>
      <c r="AC396" t="e">
        <f t="array" ref="AC396">IF(OR(G396&lt;M$3,G396&gt;M$7),G396,#N/A)</f>
        <v>#N/A</v>
      </c>
      <c r="AD396">
        <f t="shared" si="7"/>
        <v>3</v>
      </c>
      <c r="AE396" t="e">
        <f t="array" ref="AE396">IF(OR(H396&lt;N$3,H396&gt;N$7),H396,#N/A)</f>
        <v>#N/A</v>
      </c>
      <c r="AF396">
        <f t="shared" si="7"/>
        <v>4</v>
      </c>
      <c r="AG396" t="e">
        <f t="array" ref="AG396">IF(OR(I396&lt;O$3,I396&gt;O$7),I396,#N/A)</f>
        <v>#N/A</v>
      </c>
    </row>
    <row r="397" spans="1:33" x14ac:dyDescent="0.25">
      <c r="A397">
        <v>396</v>
      </c>
      <c r="B397">
        <f ca="1">SMALL(dados!A$23:A$422,A397)</f>
        <v>0.9966665489762232</v>
      </c>
      <c r="E397">
        <v>394</v>
      </c>
      <c r="F397">
        <v>17.727272727272727</v>
      </c>
      <c r="G397">
        <v>15.95</v>
      </c>
      <c r="H397">
        <v>15.78</v>
      </c>
      <c r="I397">
        <v>14.25</v>
      </c>
      <c r="Z397">
        <v>1</v>
      </c>
      <c r="AA397" t="e">
        <f t="array" ref="AA397">IF(OR(F397&lt;L$3,F397&gt;L$7),F397,#N/A)</f>
        <v>#N/A</v>
      </c>
      <c r="AB397">
        <f t="shared" si="7"/>
        <v>2</v>
      </c>
      <c r="AC397" t="e">
        <f t="array" ref="AC397">IF(OR(G397&lt;M$3,G397&gt;M$7),G397,#N/A)</f>
        <v>#N/A</v>
      </c>
      <c r="AD397">
        <f t="shared" si="7"/>
        <v>3</v>
      </c>
      <c r="AE397" t="e">
        <f t="array" ref="AE397">IF(OR(H397&lt;N$3,H397&gt;N$7),H397,#N/A)</f>
        <v>#N/A</v>
      </c>
      <c r="AF397">
        <f t="shared" si="7"/>
        <v>4</v>
      </c>
      <c r="AG397" t="e">
        <f t="array" ref="AG397">IF(OR(I397&lt;O$3,I397&gt;O$7),I397,#N/A)</f>
        <v>#N/A</v>
      </c>
    </row>
    <row r="398" spans="1:33" x14ac:dyDescent="0.25">
      <c r="A398">
        <v>397</v>
      </c>
      <c r="B398">
        <f ca="1">SMALL(dados!A$23:A$422,A398)</f>
        <v>0.99688403064595577</v>
      </c>
      <c r="E398">
        <v>395</v>
      </c>
      <c r="F398">
        <v>9.9090909090909083</v>
      </c>
      <c r="G398">
        <v>13</v>
      </c>
      <c r="H398">
        <v>14.54</v>
      </c>
      <c r="I398">
        <v>13.39</v>
      </c>
      <c r="Z398">
        <v>1</v>
      </c>
      <c r="AA398" t="e">
        <f t="array" ref="AA398">IF(OR(F398&lt;L$3,F398&gt;L$7),F398,#N/A)</f>
        <v>#N/A</v>
      </c>
      <c r="AB398">
        <f t="shared" si="7"/>
        <v>2</v>
      </c>
      <c r="AC398" t="e">
        <f t="array" ref="AC398">IF(OR(G398&lt;M$3,G398&gt;M$7),G398,#N/A)</f>
        <v>#N/A</v>
      </c>
      <c r="AD398">
        <f t="shared" si="7"/>
        <v>3</v>
      </c>
      <c r="AE398" t="e">
        <f t="array" ref="AE398">IF(OR(H398&lt;N$3,H398&gt;N$7),H398,#N/A)</f>
        <v>#N/A</v>
      </c>
      <c r="AF398">
        <f t="shared" si="7"/>
        <v>4</v>
      </c>
      <c r="AG398" t="e">
        <f t="array" ref="AG398">IF(OR(I398&lt;O$3,I398&gt;O$7),I398,#N/A)</f>
        <v>#N/A</v>
      </c>
    </row>
    <row r="399" spans="1:33" x14ac:dyDescent="0.25">
      <c r="A399">
        <v>398</v>
      </c>
      <c r="B399">
        <f ca="1">SMALL(dados!A$23:A$422,A399)</f>
        <v>0.9972814916639392</v>
      </c>
      <c r="E399">
        <v>396</v>
      </c>
      <c r="F399">
        <v>14.818181818181818</v>
      </c>
      <c r="G399">
        <v>14.45</v>
      </c>
      <c r="H399">
        <v>13.14</v>
      </c>
      <c r="I399">
        <v>14.05</v>
      </c>
      <c r="Z399">
        <v>1</v>
      </c>
      <c r="AA399" t="e">
        <f t="array" ref="AA399">IF(OR(F399&lt;L$3,F399&gt;L$7),F399,#N/A)</f>
        <v>#N/A</v>
      </c>
      <c r="AB399">
        <f t="shared" si="7"/>
        <v>2</v>
      </c>
      <c r="AC399" t="e">
        <f t="array" ref="AC399">IF(OR(G399&lt;M$3,G399&gt;M$7),G399,#N/A)</f>
        <v>#N/A</v>
      </c>
      <c r="AD399">
        <f t="shared" si="7"/>
        <v>3</v>
      </c>
      <c r="AE399" t="e">
        <f t="array" ref="AE399">IF(OR(H399&lt;N$3,H399&gt;N$7),H399,#N/A)</f>
        <v>#N/A</v>
      </c>
      <c r="AF399">
        <f t="shared" si="7"/>
        <v>4</v>
      </c>
      <c r="AG399" t="e">
        <f t="array" ref="AG399">IF(OR(I399&lt;O$3,I399&gt;O$7),I399,#N/A)</f>
        <v>#N/A</v>
      </c>
    </row>
    <row r="400" spans="1:33" x14ac:dyDescent="0.25">
      <c r="A400">
        <v>399</v>
      </c>
      <c r="B400">
        <f ca="1">SMALL(dados!A$23:A$422,A400)</f>
        <v>0.99915729156337429</v>
      </c>
      <c r="E400">
        <v>397</v>
      </c>
      <c r="F400">
        <v>10.818181818181818</v>
      </c>
      <c r="G400">
        <v>10.55</v>
      </c>
      <c r="H400">
        <v>11.26</v>
      </c>
      <c r="I400">
        <v>12.98</v>
      </c>
      <c r="Z400">
        <v>1</v>
      </c>
      <c r="AA400" t="e">
        <f t="array" ref="AA400">IF(OR(F400&lt;L$3,F400&gt;L$7),F400,#N/A)</f>
        <v>#N/A</v>
      </c>
      <c r="AB400">
        <f t="shared" si="7"/>
        <v>2</v>
      </c>
      <c r="AC400" t="e">
        <f t="array" ref="AC400">IF(OR(G400&lt;M$3,G400&gt;M$7),G400,#N/A)</f>
        <v>#N/A</v>
      </c>
      <c r="AD400">
        <f t="shared" si="7"/>
        <v>3</v>
      </c>
      <c r="AE400" t="e">
        <f t="array" ref="AE400">IF(OR(H400&lt;N$3,H400&gt;N$7),H400,#N/A)</f>
        <v>#N/A</v>
      </c>
      <c r="AF400">
        <f t="shared" si="7"/>
        <v>4</v>
      </c>
      <c r="AG400" t="e">
        <f t="array" ref="AG400">IF(OR(I400&lt;O$3,I400&gt;O$7),I400,#N/A)</f>
        <v>#N/A</v>
      </c>
    </row>
    <row r="401" spans="1:33" x14ac:dyDescent="0.25">
      <c r="A401">
        <v>400</v>
      </c>
      <c r="B401">
        <f ca="1">SMALL(dados!A$23:A$422,A401)</f>
        <v>0.99976439301662989</v>
      </c>
      <c r="E401">
        <v>398</v>
      </c>
      <c r="F401">
        <v>11.727272727272727</v>
      </c>
      <c r="G401">
        <v>12.75</v>
      </c>
      <c r="H401">
        <v>14.6</v>
      </c>
      <c r="I401">
        <v>14.65</v>
      </c>
      <c r="Z401">
        <v>1</v>
      </c>
      <c r="AA401" t="e">
        <f t="array" ref="AA401">IF(OR(F401&lt;L$3,F401&gt;L$7),F401,#N/A)</f>
        <v>#N/A</v>
      </c>
      <c r="AB401">
        <f t="shared" si="7"/>
        <v>2</v>
      </c>
      <c r="AC401" t="e">
        <f t="array" ref="AC401">IF(OR(G401&lt;M$3,G401&gt;M$7),G401,#N/A)</f>
        <v>#N/A</v>
      </c>
      <c r="AD401">
        <f t="shared" si="7"/>
        <v>3</v>
      </c>
      <c r="AE401" t="e">
        <f t="array" ref="AE401">IF(OR(H401&lt;N$3,H401&gt;N$7),H401,#N/A)</f>
        <v>#N/A</v>
      </c>
      <c r="AF401">
        <f t="shared" si="7"/>
        <v>4</v>
      </c>
      <c r="AG401" t="e">
        <f t="array" ref="AG401">IF(OR(I401&lt;O$3,I401&gt;O$7),I401,#N/A)</f>
        <v>#N/A</v>
      </c>
    </row>
    <row r="402" spans="1:33" x14ac:dyDescent="0.25">
      <c r="E402">
        <v>399</v>
      </c>
      <c r="F402">
        <v>18.90909090909091</v>
      </c>
      <c r="G402">
        <v>14.8</v>
      </c>
      <c r="H402">
        <v>15.42</v>
      </c>
      <c r="I402">
        <v>14.67</v>
      </c>
      <c r="Z402">
        <v>1</v>
      </c>
      <c r="AA402" t="e">
        <f t="array" ref="AA402">IF(OR(F402&lt;L$3,F402&gt;L$7),F402,#N/A)</f>
        <v>#N/A</v>
      </c>
      <c r="AB402">
        <f t="shared" si="7"/>
        <v>2</v>
      </c>
      <c r="AC402" t="e">
        <f t="array" ref="AC402">IF(OR(G402&lt;M$3,G402&gt;M$7),G402,#N/A)</f>
        <v>#N/A</v>
      </c>
      <c r="AD402">
        <f t="shared" si="7"/>
        <v>3</v>
      </c>
      <c r="AE402" t="e">
        <f t="array" ref="AE402">IF(OR(H402&lt;N$3,H402&gt;N$7),H402,#N/A)</f>
        <v>#N/A</v>
      </c>
      <c r="AF402">
        <f t="shared" si="7"/>
        <v>4</v>
      </c>
      <c r="AG402" t="e">
        <f t="array" ref="AG402">IF(OR(I402&lt;O$3,I402&gt;O$7),I402,#N/A)</f>
        <v>#N/A</v>
      </c>
    </row>
    <row r="403" spans="1:33" x14ac:dyDescent="0.25">
      <c r="E403">
        <v>400</v>
      </c>
      <c r="F403">
        <v>9.454545454545455</v>
      </c>
      <c r="G403">
        <v>10.9</v>
      </c>
      <c r="H403">
        <v>11.34</v>
      </c>
      <c r="I403">
        <v>13.53</v>
      </c>
      <c r="Z403">
        <v>1</v>
      </c>
      <c r="AA403" t="e">
        <f t="array" ref="AA403">IF(OR(F403&lt;L$3,F403&gt;L$7),F403,#N/A)</f>
        <v>#N/A</v>
      </c>
      <c r="AB403">
        <f t="shared" si="7"/>
        <v>2</v>
      </c>
      <c r="AC403" t="e">
        <f t="array" ref="AC403">IF(OR(G403&lt;M$3,G403&gt;M$7),G403,#N/A)</f>
        <v>#N/A</v>
      </c>
      <c r="AD403">
        <f t="shared" si="7"/>
        <v>3</v>
      </c>
      <c r="AE403" t="e">
        <f t="array" ref="AE403">IF(OR(H403&lt;N$3,H403&gt;N$7),H403,#N/A)</f>
        <v>#N/A</v>
      </c>
      <c r="AF403">
        <f t="shared" si="7"/>
        <v>4</v>
      </c>
      <c r="AG403" t="e">
        <f t="array" ref="AG403">IF(OR(I403&lt;O$3,I403&gt;O$7),I403,#N/A)</f>
        <v>#N/A</v>
      </c>
    </row>
    <row r="404" spans="1:33" x14ac:dyDescent="0.25">
      <c r="E404">
        <v>401</v>
      </c>
      <c r="F404">
        <v>14.636363636363637</v>
      </c>
      <c r="G404">
        <v>13.75</v>
      </c>
      <c r="H404">
        <v>13.02</v>
      </c>
      <c r="I404">
        <v>13.17</v>
      </c>
      <c r="Z404">
        <v>1</v>
      </c>
      <c r="AA404" t="e">
        <f t="array" ref="AA404">IF(OR(F404&lt;L$3,F404&gt;L$7),F404,#N/A)</f>
        <v>#N/A</v>
      </c>
      <c r="AB404">
        <f t="shared" si="7"/>
        <v>2</v>
      </c>
      <c r="AC404" t="e">
        <f t="array" ref="AC404">IF(OR(G404&lt;M$3,G404&gt;M$7),G404,#N/A)</f>
        <v>#N/A</v>
      </c>
      <c r="AD404">
        <f t="shared" si="7"/>
        <v>3</v>
      </c>
      <c r="AE404" t="e">
        <f t="array" ref="AE404">IF(OR(H404&lt;N$3,H404&gt;N$7),H404,#N/A)</f>
        <v>#N/A</v>
      </c>
      <c r="AF404">
        <f t="shared" si="7"/>
        <v>4</v>
      </c>
      <c r="AG404" t="e">
        <f t="array" ref="AG404">IF(OR(I404&lt;O$3,I404&gt;O$7),I404,#N/A)</f>
        <v>#N/A</v>
      </c>
    </row>
    <row r="405" spans="1:33" x14ac:dyDescent="0.25">
      <c r="E405">
        <v>402</v>
      </c>
      <c r="F405">
        <v>11.636363636363637</v>
      </c>
      <c r="G405">
        <v>14.65</v>
      </c>
      <c r="H405">
        <v>14.66</v>
      </c>
      <c r="I405">
        <v>14.33</v>
      </c>
      <c r="Z405">
        <v>1</v>
      </c>
      <c r="AA405" t="e">
        <f t="array" ref="AA405">IF(OR(F405&lt;L$3,F405&gt;L$7),F405,#N/A)</f>
        <v>#N/A</v>
      </c>
      <c r="AB405">
        <f t="shared" si="7"/>
        <v>2</v>
      </c>
      <c r="AC405" t="e">
        <f t="array" ref="AC405">IF(OR(G405&lt;M$3,G405&gt;M$7),G405,#N/A)</f>
        <v>#N/A</v>
      </c>
      <c r="AD405">
        <f t="shared" si="7"/>
        <v>3</v>
      </c>
      <c r="AE405" t="e">
        <f t="array" ref="AE405">IF(OR(H405&lt;N$3,H405&gt;N$7),H405,#N/A)</f>
        <v>#N/A</v>
      </c>
      <c r="AF405">
        <f t="shared" si="7"/>
        <v>4</v>
      </c>
      <c r="AG405" t="e">
        <f t="array" ref="AG405">IF(OR(I405&lt;O$3,I405&gt;O$7),I405,#N/A)</f>
        <v>#N/A</v>
      </c>
    </row>
    <row r="406" spans="1:33" x14ac:dyDescent="0.25">
      <c r="E406">
        <v>403</v>
      </c>
      <c r="F406">
        <v>15.272727272727273</v>
      </c>
      <c r="G406">
        <v>14.7</v>
      </c>
      <c r="H406">
        <v>13.32</v>
      </c>
      <c r="I406">
        <v>14.76</v>
      </c>
      <c r="Z406">
        <v>1</v>
      </c>
      <c r="AA406" t="e">
        <f t="array" ref="AA406">IF(OR(F406&lt;L$3,F406&gt;L$7),F406,#N/A)</f>
        <v>#N/A</v>
      </c>
      <c r="AB406">
        <f t="shared" si="7"/>
        <v>2</v>
      </c>
      <c r="AC406" t="e">
        <f t="array" ref="AC406">IF(OR(G406&lt;M$3,G406&gt;M$7),G406,#N/A)</f>
        <v>#N/A</v>
      </c>
      <c r="AD406">
        <f t="shared" si="7"/>
        <v>3</v>
      </c>
      <c r="AE406" t="e">
        <f t="array" ref="AE406">IF(OR(H406&lt;N$3,H406&gt;N$7),H406,#N/A)</f>
        <v>#N/A</v>
      </c>
      <c r="AF406">
        <f t="shared" si="7"/>
        <v>4</v>
      </c>
      <c r="AG406" t="e">
        <f t="array" ref="AG406">IF(OR(I406&lt;O$3,I406&gt;O$7),I406,#N/A)</f>
        <v>#N/A</v>
      </c>
    </row>
    <row r="407" spans="1:33" x14ac:dyDescent="0.25">
      <c r="E407">
        <v>404</v>
      </c>
      <c r="F407">
        <v>15.090909090909092</v>
      </c>
      <c r="G407">
        <v>13.55</v>
      </c>
      <c r="H407">
        <v>13.26</v>
      </c>
      <c r="I407">
        <v>13.16</v>
      </c>
      <c r="Z407">
        <v>1</v>
      </c>
      <c r="AA407" t="e">
        <f t="array" ref="AA407">IF(OR(F407&lt;L$3,F407&gt;L$7),F407,#N/A)</f>
        <v>#N/A</v>
      </c>
      <c r="AB407">
        <f t="shared" si="7"/>
        <v>2</v>
      </c>
      <c r="AC407" t="e">
        <f t="array" ref="AC407">IF(OR(G407&lt;M$3,G407&gt;M$7),G407,#N/A)</f>
        <v>#N/A</v>
      </c>
      <c r="AD407">
        <f t="shared" si="7"/>
        <v>3</v>
      </c>
      <c r="AE407" t="e">
        <f t="array" ref="AE407">IF(OR(H407&lt;N$3,H407&gt;N$7),H407,#N/A)</f>
        <v>#N/A</v>
      </c>
      <c r="AF407">
        <f t="shared" si="7"/>
        <v>4</v>
      </c>
      <c r="AG407" t="e">
        <f t="array" ref="AG407">IF(OR(I407&lt;O$3,I407&gt;O$7),I407,#N/A)</f>
        <v>#N/A</v>
      </c>
    </row>
    <row r="408" spans="1:33" x14ac:dyDescent="0.25">
      <c r="E408">
        <v>405</v>
      </c>
      <c r="F408">
        <v>17.363636363636363</v>
      </c>
      <c r="G408">
        <v>13.6</v>
      </c>
      <c r="H408">
        <v>15.38</v>
      </c>
      <c r="I408">
        <v>14.5</v>
      </c>
      <c r="Z408">
        <v>1</v>
      </c>
      <c r="AA408" t="e">
        <f t="array" ref="AA408">IF(OR(F408&lt;L$3,F408&gt;L$7),F408,#N/A)</f>
        <v>#N/A</v>
      </c>
      <c r="AB408">
        <f t="shared" si="7"/>
        <v>2</v>
      </c>
      <c r="AC408" t="e">
        <f t="array" ref="AC408">IF(OR(G408&lt;M$3,G408&gt;M$7),G408,#N/A)</f>
        <v>#N/A</v>
      </c>
      <c r="AD408">
        <f t="shared" si="7"/>
        <v>3</v>
      </c>
      <c r="AE408" t="e">
        <f t="array" ref="AE408">IF(OR(H408&lt;N$3,H408&gt;N$7),H408,#N/A)</f>
        <v>#N/A</v>
      </c>
      <c r="AF408">
        <f t="shared" si="7"/>
        <v>4</v>
      </c>
      <c r="AG408" t="e">
        <f t="array" ref="AG408">IF(OR(I408&lt;O$3,I408&gt;O$7),I408,#N/A)</f>
        <v>#N/A</v>
      </c>
    </row>
    <row r="409" spans="1:33" x14ac:dyDescent="0.25">
      <c r="E409">
        <v>406</v>
      </c>
      <c r="F409">
        <v>12.636363636363637</v>
      </c>
      <c r="G409">
        <v>12.9</v>
      </c>
      <c r="H409">
        <v>13.98</v>
      </c>
      <c r="I409">
        <v>13.93</v>
      </c>
      <c r="Z409">
        <v>1</v>
      </c>
      <c r="AA409" t="e">
        <f t="array" ref="AA409">IF(OR(F409&lt;L$3,F409&gt;L$7),F409,#N/A)</f>
        <v>#N/A</v>
      </c>
      <c r="AB409">
        <f t="shared" si="7"/>
        <v>2</v>
      </c>
      <c r="AC409" t="e">
        <f t="array" ref="AC409">IF(OR(G409&lt;M$3,G409&gt;M$7),G409,#N/A)</f>
        <v>#N/A</v>
      </c>
      <c r="AD409">
        <f t="shared" si="7"/>
        <v>3</v>
      </c>
      <c r="AE409" t="e">
        <f t="array" ref="AE409">IF(OR(H409&lt;N$3,H409&gt;N$7),H409,#N/A)</f>
        <v>#N/A</v>
      </c>
      <c r="AF409">
        <f t="shared" si="7"/>
        <v>4</v>
      </c>
      <c r="AG409" t="e">
        <f t="array" ref="AG409">IF(OR(I409&lt;O$3,I409&gt;O$7),I409,#N/A)</f>
        <v>#N/A</v>
      </c>
    </row>
    <row r="410" spans="1:33" x14ac:dyDescent="0.25">
      <c r="E410">
        <v>407</v>
      </c>
      <c r="F410">
        <v>11.818181818181818</v>
      </c>
      <c r="G410">
        <v>13.75</v>
      </c>
      <c r="H410">
        <v>14.2</v>
      </c>
      <c r="I410">
        <v>14.81</v>
      </c>
      <c r="Z410">
        <v>1</v>
      </c>
      <c r="AA410" t="e">
        <f t="array" ref="AA410">IF(OR(F410&lt;L$3,F410&gt;L$7),F410,#N/A)</f>
        <v>#N/A</v>
      </c>
      <c r="AB410">
        <f t="shared" si="7"/>
        <v>2</v>
      </c>
      <c r="AC410" t="e">
        <f t="array" ref="AC410">IF(OR(G410&lt;M$3,G410&gt;M$7),G410,#N/A)</f>
        <v>#N/A</v>
      </c>
      <c r="AD410">
        <f t="shared" si="7"/>
        <v>3</v>
      </c>
      <c r="AE410" t="e">
        <f t="array" ref="AE410">IF(OR(H410&lt;N$3,H410&gt;N$7),H410,#N/A)</f>
        <v>#N/A</v>
      </c>
      <c r="AF410">
        <f t="shared" si="7"/>
        <v>4</v>
      </c>
      <c r="AG410" t="e">
        <f t="array" ref="AG410">IF(OR(I410&lt;O$3,I410&gt;O$7),I410,#N/A)</f>
        <v>#N/A</v>
      </c>
    </row>
    <row r="411" spans="1:33" x14ac:dyDescent="0.25">
      <c r="E411">
        <v>408</v>
      </c>
      <c r="F411">
        <v>12.454545454545455</v>
      </c>
      <c r="G411">
        <v>12.05</v>
      </c>
      <c r="H411">
        <v>13.02</v>
      </c>
      <c r="I411">
        <v>15.25</v>
      </c>
      <c r="Z411">
        <v>1</v>
      </c>
      <c r="AA411" t="e">
        <f t="array" ref="AA411">IF(OR(F411&lt;L$3,F411&gt;L$7),F411,#N/A)</f>
        <v>#N/A</v>
      </c>
      <c r="AB411">
        <f t="shared" si="7"/>
        <v>2</v>
      </c>
      <c r="AC411" t="e">
        <f t="array" ref="AC411">IF(OR(G411&lt;M$3,G411&gt;M$7),G411,#N/A)</f>
        <v>#N/A</v>
      </c>
      <c r="AD411">
        <f t="shared" si="7"/>
        <v>3</v>
      </c>
      <c r="AE411" t="e">
        <f t="array" ref="AE411">IF(OR(H411&lt;N$3,H411&gt;N$7),H411,#N/A)</f>
        <v>#N/A</v>
      </c>
      <c r="AF411">
        <f t="shared" si="7"/>
        <v>4</v>
      </c>
      <c r="AG411" t="e">
        <f t="array" ref="AG411">IF(OR(I411&lt;O$3,I411&gt;O$7),I411,#N/A)</f>
        <v>#N/A</v>
      </c>
    </row>
    <row r="412" spans="1:33" x14ac:dyDescent="0.25">
      <c r="E412">
        <v>409</v>
      </c>
      <c r="F412">
        <v>14.727272727272727</v>
      </c>
      <c r="G412">
        <v>15</v>
      </c>
      <c r="H412">
        <v>15</v>
      </c>
      <c r="I412">
        <v>13.81</v>
      </c>
      <c r="Z412">
        <v>1</v>
      </c>
      <c r="AA412" t="e">
        <f t="array" ref="AA412">IF(OR(F412&lt;L$3,F412&gt;L$7),F412,#N/A)</f>
        <v>#N/A</v>
      </c>
      <c r="AB412">
        <f t="shared" si="7"/>
        <v>2</v>
      </c>
      <c r="AC412" t="e">
        <f t="array" ref="AC412">IF(OR(G412&lt;M$3,G412&gt;M$7),G412,#N/A)</f>
        <v>#N/A</v>
      </c>
      <c r="AD412">
        <f t="shared" si="7"/>
        <v>3</v>
      </c>
      <c r="AE412" t="e">
        <f t="array" ref="AE412">IF(OR(H412&lt;N$3,H412&gt;N$7),H412,#N/A)</f>
        <v>#N/A</v>
      </c>
      <c r="AF412">
        <f t="shared" si="7"/>
        <v>4</v>
      </c>
      <c r="AG412" t="e">
        <f t="array" ref="AG412">IF(OR(I412&lt;O$3,I412&gt;O$7),I412,#N/A)</f>
        <v>#N/A</v>
      </c>
    </row>
    <row r="413" spans="1:33" x14ac:dyDescent="0.25">
      <c r="E413">
        <v>410</v>
      </c>
      <c r="F413">
        <v>13.727272727272727</v>
      </c>
      <c r="G413">
        <v>13.6</v>
      </c>
      <c r="H413">
        <v>14.76</v>
      </c>
      <c r="I413">
        <v>14.33</v>
      </c>
      <c r="Z413">
        <v>1</v>
      </c>
      <c r="AA413" t="e">
        <f t="array" ref="AA413">IF(OR(F413&lt;L$3,F413&gt;L$7),F413,#N/A)</f>
        <v>#N/A</v>
      </c>
      <c r="AB413">
        <f t="shared" si="7"/>
        <v>2</v>
      </c>
      <c r="AC413" t="e">
        <f t="array" ref="AC413">IF(OR(G413&lt;M$3,G413&gt;M$7),G413,#N/A)</f>
        <v>#N/A</v>
      </c>
      <c r="AD413">
        <f t="shared" si="7"/>
        <v>3</v>
      </c>
      <c r="AE413" t="e">
        <f t="array" ref="AE413">IF(OR(H413&lt;N$3,H413&gt;N$7),H413,#N/A)</f>
        <v>#N/A</v>
      </c>
      <c r="AF413">
        <f t="shared" si="7"/>
        <v>4</v>
      </c>
      <c r="AG413" t="e">
        <f t="array" ref="AG413">IF(OR(I413&lt;O$3,I413&gt;O$7),I413,#N/A)</f>
        <v>#N/A</v>
      </c>
    </row>
    <row r="414" spans="1:33" x14ac:dyDescent="0.25">
      <c r="E414">
        <v>411</v>
      </c>
      <c r="F414">
        <v>13.545454545454545</v>
      </c>
      <c r="G414">
        <v>11.65</v>
      </c>
      <c r="H414">
        <v>13.1</v>
      </c>
      <c r="I414">
        <v>14.14</v>
      </c>
      <c r="Z414">
        <v>1</v>
      </c>
      <c r="AA414" t="e">
        <f t="array" ref="AA414">IF(OR(F414&lt;L$3,F414&gt;L$7),F414,#N/A)</f>
        <v>#N/A</v>
      </c>
      <c r="AB414">
        <f t="shared" si="7"/>
        <v>2</v>
      </c>
      <c r="AC414" t="e">
        <f t="array" ref="AC414">IF(OR(G414&lt;M$3,G414&gt;M$7),G414,#N/A)</f>
        <v>#N/A</v>
      </c>
      <c r="AD414">
        <f t="shared" si="7"/>
        <v>3</v>
      </c>
      <c r="AE414" t="e">
        <f t="array" ref="AE414">IF(OR(H414&lt;N$3,H414&gt;N$7),H414,#N/A)</f>
        <v>#N/A</v>
      </c>
      <c r="AF414">
        <f t="shared" si="7"/>
        <v>4</v>
      </c>
      <c r="AG414" t="e">
        <f t="array" ref="AG414">IF(OR(I414&lt;O$3,I414&gt;O$7),I414,#N/A)</f>
        <v>#N/A</v>
      </c>
    </row>
    <row r="415" spans="1:33" x14ac:dyDescent="0.25">
      <c r="E415">
        <v>412</v>
      </c>
      <c r="F415">
        <v>10.727272727272727</v>
      </c>
      <c r="G415">
        <v>12.35</v>
      </c>
      <c r="H415">
        <v>12.64</v>
      </c>
      <c r="I415">
        <v>13.88</v>
      </c>
      <c r="Z415">
        <v>1</v>
      </c>
      <c r="AA415" t="e">
        <f t="array" ref="AA415">IF(OR(F415&lt;L$3,F415&gt;L$7),F415,#N/A)</f>
        <v>#N/A</v>
      </c>
      <c r="AB415">
        <f t="shared" si="7"/>
        <v>2</v>
      </c>
      <c r="AC415" t="e">
        <f t="array" ref="AC415">IF(OR(G415&lt;M$3,G415&gt;M$7),G415,#N/A)</f>
        <v>#N/A</v>
      </c>
      <c r="AD415">
        <f t="shared" si="7"/>
        <v>3</v>
      </c>
      <c r="AE415" t="e">
        <f t="array" ref="AE415">IF(OR(H415&lt;N$3,H415&gt;N$7),H415,#N/A)</f>
        <v>#N/A</v>
      </c>
      <c r="AF415">
        <f t="shared" si="7"/>
        <v>4</v>
      </c>
      <c r="AG415" t="e">
        <f t="array" ref="AG415">IF(OR(I415&lt;O$3,I415&gt;O$7),I415,#N/A)</f>
        <v>#N/A</v>
      </c>
    </row>
    <row r="416" spans="1:33" x14ac:dyDescent="0.25">
      <c r="E416">
        <v>413</v>
      </c>
      <c r="F416">
        <v>16.09090909090909</v>
      </c>
      <c r="G416">
        <v>13.7</v>
      </c>
      <c r="H416">
        <v>13.62</v>
      </c>
      <c r="I416">
        <v>13.59</v>
      </c>
      <c r="Z416">
        <v>1</v>
      </c>
      <c r="AA416" t="e">
        <f t="array" ref="AA416">IF(OR(F416&lt;L$3,F416&gt;L$7),F416,#N/A)</f>
        <v>#N/A</v>
      </c>
      <c r="AB416">
        <f t="shared" si="7"/>
        <v>2</v>
      </c>
      <c r="AC416" t="e">
        <f t="array" ref="AC416">IF(OR(G416&lt;M$3,G416&gt;M$7),G416,#N/A)</f>
        <v>#N/A</v>
      </c>
      <c r="AD416">
        <f t="shared" si="7"/>
        <v>3</v>
      </c>
      <c r="AE416" t="e">
        <f t="array" ref="AE416">IF(OR(H416&lt;N$3,H416&gt;N$7),H416,#N/A)</f>
        <v>#N/A</v>
      </c>
      <c r="AF416">
        <f t="shared" si="7"/>
        <v>4</v>
      </c>
      <c r="AG416" t="e">
        <f t="array" ref="AG416">IF(OR(I416&lt;O$3,I416&gt;O$7),I416,#N/A)</f>
        <v>#N/A</v>
      </c>
    </row>
    <row r="417" spans="5:33" x14ac:dyDescent="0.25">
      <c r="E417">
        <v>414</v>
      </c>
      <c r="F417">
        <v>18.454545454545453</v>
      </c>
      <c r="G417">
        <v>16.649999999999999</v>
      </c>
      <c r="H417">
        <v>13.64</v>
      </c>
      <c r="I417">
        <v>13.67</v>
      </c>
      <c r="Z417">
        <v>1</v>
      </c>
      <c r="AA417" t="e">
        <f t="array" ref="AA417">IF(OR(F417&lt;L$3,F417&gt;L$7),F417,#N/A)</f>
        <v>#N/A</v>
      </c>
      <c r="AB417">
        <f t="shared" si="7"/>
        <v>2</v>
      </c>
      <c r="AC417" t="e">
        <f t="array" ref="AC417">IF(OR(G417&lt;M$3,G417&gt;M$7),G417,#N/A)</f>
        <v>#N/A</v>
      </c>
      <c r="AD417">
        <f t="shared" si="7"/>
        <v>3</v>
      </c>
      <c r="AE417" t="e">
        <f t="array" ref="AE417">IF(OR(H417&lt;N$3,H417&gt;N$7),H417,#N/A)</f>
        <v>#N/A</v>
      </c>
      <c r="AF417">
        <f t="shared" si="7"/>
        <v>4</v>
      </c>
      <c r="AG417" t="e">
        <f t="array" ref="AG417">IF(OR(I417&lt;O$3,I417&gt;O$7),I417,#N/A)</f>
        <v>#N/A</v>
      </c>
    </row>
    <row r="418" spans="5:33" x14ac:dyDescent="0.25">
      <c r="E418">
        <v>415</v>
      </c>
      <c r="F418">
        <v>13.181818181818182</v>
      </c>
      <c r="G418">
        <v>12.65</v>
      </c>
      <c r="H418">
        <v>13.18</v>
      </c>
      <c r="I418">
        <v>12.92</v>
      </c>
      <c r="Z418">
        <v>1</v>
      </c>
      <c r="AA418" t="e">
        <f t="array" ref="AA418">IF(OR(F418&lt;L$3,F418&gt;L$7),F418,#N/A)</f>
        <v>#N/A</v>
      </c>
      <c r="AB418">
        <f t="shared" si="7"/>
        <v>2</v>
      </c>
      <c r="AC418" t="e">
        <f t="array" ref="AC418">IF(OR(G418&lt;M$3,G418&gt;M$7),G418,#N/A)</f>
        <v>#N/A</v>
      </c>
      <c r="AD418">
        <f t="shared" si="7"/>
        <v>3</v>
      </c>
      <c r="AE418" t="e">
        <f t="array" ref="AE418">IF(OR(H418&lt;N$3,H418&gt;N$7),H418,#N/A)</f>
        <v>#N/A</v>
      </c>
      <c r="AF418">
        <f t="shared" si="7"/>
        <v>4</v>
      </c>
      <c r="AG418" t="e">
        <f t="array" ref="AG418">IF(OR(I418&lt;O$3,I418&gt;O$7),I418,#N/A)</f>
        <v>#N/A</v>
      </c>
    </row>
    <row r="419" spans="5:33" x14ac:dyDescent="0.25">
      <c r="E419">
        <v>416</v>
      </c>
      <c r="F419">
        <v>14.818181818181818</v>
      </c>
      <c r="G419">
        <v>13.9</v>
      </c>
      <c r="H419">
        <v>14.68</v>
      </c>
      <c r="I419">
        <v>14.45</v>
      </c>
      <c r="Z419">
        <v>1</v>
      </c>
      <c r="AA419" t="e">
        <f t="array" ref="AA419">IF(OR(F419&lt;L$3,F419&gt;L$7),F419,#N/A)</f>
        <v>#N/A</v>
      </c>
      <c r="AB419">
        <f t="shared" si="7"/>
        <v>2</v>
      </c>
      <c r="AC419" t="e">
        <f t="array" ref="AC419">IF(OR(G419&lt;M$3,G419&gt;M$7),G419,#N/A)</f>
        <v>#N/A</v>
      </c>
      <c r="AD419">
        <f t="shared" si="7"/>
        <v>3</v>
      </c>
      <c r="AE419" t="e">
        <f t="array" ref="AE419">IF(OR(H419&lt;N$3,H419&gt;N$7),H419,#N/A)</f>
        <v>#N/A</v>
      </c>
      <c r="AF419">
        <f t="shared" si="7"/>
        <v>4</v>
      </c>
      <c r="AG419" t="e">
        <f t="array" ref="AG419">IF(OR(I419&lt;O$3,I419&gt;O$7),I419,#N/A)</f>
        <v>#N/A</v>
      </c>
    </row>
    <row r="420" spans="5:33" x14ac:dyDescent="0.25">
      <c r="E420">
        <v>417</v>
      </c>
      <c r="F420">
        <v>11.727272727272727</v>
      </c>
      <c r="G420">
        <v>13.85</v>
      </c>
      <c r="H420">
        <v>13.4</v>
      </c>
      <c r="I420">
        <v>15.24</v>
      </c>
      <c r="Z420">
        <v>1</v>
      </c>
      <c r="AA420" t="e">
        <f t="array" ref="AA420">IF(OR(F420&lt;L$3,F420&gt;L$7),F420,#N/A)</f>
        <v>#N/A</v>
      </c>
      <c r="AB420">
        <f t="shared" si="7"/>
        <v>2</v>
      </c>
      <c r="AC420" t="e">
        <f t="array" ref="AC420">IF(OR(G420&lt;M$3,G420&gt;M$7),G420,#N/A)</f>
        <v>#N/A</v>
      </c>
      <c r="AD420">
        <f t="shared" si="7"/>
        <v>3</v>
      </c>
      <c r="AE420" t="e">
        <f t="array" ref="AE420">IF(OR(H420&lt;N$3,H420&gt;N$7),H420,#N/A)</f>
        <v>#N/A</v>
      </c>
      <c r="AF420">
        <f t="shared" si="7"/>
        <v>4</v>
      </c>
      <c r="AG420" t="e">
        <f t="array" ref="AG420">IF(OR(I420&lt;O$3,I420&gt;O$7),I420,#N/A)</f>
        <v>#N/A</v>
      </c>
    </row>
    <row r="421" spans="5:33" x14ac:dyDescent="0.25">
      <c r="E421">
        <v>418</v>
      </c>
      <c r="F421">
        <v>16.181818181818183</v>
      </c>
      <c r="G421">
        <v>13.6</v>
      </c>
      <c r="H421">
        <v>12.24</v>
      </c>
      <c r="I421">
        <v>14.49</v>
      </c>
      <c r="Z421">
        <v>1</v>
      </c>
      <c r="AA421" t="e">
        <f t="array" ref="AA421">IF(OR(F421&lt;L$3,F421&gt;L$7),F421,#N/A)</f>
        <v>#N/A</v>
      </c>
      <c r="AB421">
        <f t="shared" si="7"/>
        <v>2</v>
      </c>
      <c r="AC421" t="e">
        <f t="array" ref="AC421">IF(OR(G421&lt;M$3,G421&gt;M$7),G421,#N/A)</f>
        <v>#N/A</v>
      </c>
      <c r="AD421">
        <f t="shared" si="7"/>
        <v>3</v>
      </c>
      <c r="AE421" t="e">
        <f t="array" ref="AE421">IF(OR(H421&lt;N$3,H421&gt;N$7),H421,#N/A)</f>
        <v>#N/A</v>
      </c>
      <c r="AF421">
        <f t="shared" si="7"/>
        <v>4</v>
      </c>
      <c r="AG421" t="e">
        <f t="array" ref="AG421">IF(OR(I421&lt;O$3,I421&gt;O$7),I421,#N/A)</f>
        <v>#N/A</v>
      </c>
    </row>
    <row r="422" spans="5:33" x14ac:dyDescent="0.25">
      <c r="E422">
        <v>419</v>
      </c>
      <c r="F422">
        <v>16.454545454545453</v>
      </c>
      <c r="G422">
        <v>14.95</v>
      </c>
      <c r="H422">
        <v>14.06</v>
      </c>
      <c r="I422">
        <v>13.52</v>
      </c>
      <c r="Z422">
        <v>1</v>
      </c>
      <c r="AA422" t="e">
        <f t="array" ref="AA422">IF(OR(F422&lt;L$3,F422&gt;L$7),F422,#N/A)</f>
        <v>#N/A</v>
      </c>
      <c r="AB422">
        <f t="shared" si="7"/>
        <v>2</v>
      </c>
      <c r="AC422" t="e">
        <f t="array" ref="AC422">IF(OR(G422&lt;M$3,G422&gt;M$7),G422,#N/A)</f>
        <v>#N/A</v>
      </c>
      <c r="AD422">
        <f t="shared" si="7"/>
        <v>3</v>
      </c>
      <c r="AE422" t="e">
        <f t="array" ref="AE422">IF(OR(H422&lt;N$3,H422&gt;N$7),H422,#N/A)</f>
        <v>#N/A</v>
      </c>
      <c r="AF422">
        <f t="shared" si="7"/>
        <v>4</v>
      </c>
      <c r="AG422" t="e">
        <f t="array" ref="AG422">IF(OR(I422&lt;O$3,I422&gt;O$7),I422,#N/A)</f>
        <v>#N/A</v>
      </c>
    </row>
    <row r="423" spans="5:33" x14ac:dyDescent="0.25">
      <c r="E423">
        <v>420</v>
      </c>
      <c r="F423">
        <v>14.363636363636363</v>
      </c>
      <c r="G423">
        <v>13.9</v>
      </c>
      <c r="H423">
        <v>13.46</v>
      </c>
      <c r="I423">
        <v>13.56</v>
      </c>
      <c r="Z423">
        <v>1</v>
      </c>
      <c r="AA423" t="e">
        <f t="array" ref="AA423">IF(OR(F423&lt;L$3,F423&gt;L$7),F423,#N/A)</f>
        <v>#N/A</v>
      </c>
      <c r="AB423">
        <f t="shared" si="7"/>
        <v>2</v>
      </c>
      <c r="AC423" t="e">
        <f t="array" ref="AC423">IF(OR(G423&lt;M$3,G423&gt;M$7),G423,#N/A)</f>
        <v>#N/A</v>
      </c>
      <c r="AD423">
        <f t="shared" si="7"/>
        <v>3</v>
      </c>
      <c r="AE423" t="e">
        <f t="array" ref="AE423">IF(OR(H423&lt;N$3,H423&gt;N$7),H423,#N/A)</f>
        <v>#N/A</v>
      </c>
      <c r="AF423">
        <f t="shared" si="7"/>
        <v>4</v>
      </c>
      <c r="AG423" t="e">
        <f t="array" ref="AG423">IF(OR(I423&lt;O$3,I423&gt;O$7),I423,#N/A)</f>
        <v>#N/A</v>
      </c>
    </row>
    <row r="424" spans="5:33" x14ac:dyDescent="0.25">
      <c r="E424">
        <v>421</v>
      </c>
      <c r="F424">
        <v>12.090909090909092</v>
      </c>
      <c r="G424">
        <v>11.75</v>
      </c>
      <c r="H424">
        <v>14.48</v>
      </c>
      <c r="I424">
        <v>13.89</v>
      </c>
      <c r="Z424">
        <v>1</v>
      </c>
      <c r="AA424" t="e">
        <f t="array" ref="AA424">IF(OR(F424&lt;L$3,F424&gt;L$7),F424,#N/A)</f>
        <v>#N/A</v>
      </c>
      <c r="AB424">
        <f t="shared" si="7"/>
        <v>2</v>
      </c>
      <c r="AC424" t="e">
        <f t="array" ref="AC424">IF(OR(G424&lt;M$3,G424&gt;M$7),G424,#N/A)</f>
        <v>#N/A</v>
      </c>
      <c r="AD424">
        <f t="shared" si="7"/>
        <v>3</v>
      </c>
      <c r="AE424" t="e">
        <f t="array" ref="AE424">IF(OR(H424&lt;N$3,H424&gt;N$7),H424,#N/A)</f>
        <v>#N/A</v>
      </c>
      <c r="AF424">
        <f t="shared" si="7"/>
        <v>4</v>
      </c>
      <c r="AG424" t="e">
        <f t="array" ref="AG424">IF(OR(I424&lt;O$3,I424&gt;O$7),I424,#N/A)</f>
        <v>#N/A</v>
      </c>
    </row>
    <row r="425" spans="5:33" x14ac:dyDescent="0.25">
      <c r="E425">
        <v>422</v>
      </c>
      <c r="F425">
        <v>12.272727272727273</v>
      </c>
      <c r="G425">
        <v>11.75</v>
      </c>
      <c r="H425">
        <v>12.74</v>
      </c>
      <c r="I425">
        <v>12.58</v>
      </c>
      <c r="Z425">
        <v>1</v>
      </c>
      <c r="AA425" t="e">
        <f t="array" ref="AA425">IF(OR(F425&lt;L$3,F425&gt;L$7),F425,#N/A)</f>
        <v>#N/A</v>
      </c>
      <c r="AB425">
        <f t="shared" si="7"/>
        <v>2</v>
      </c>
      <c r="AC425" t="e">
        <f t="array" ref="AC425">IF(OR(G425&lt;M$3,G425&gt;M$7),G425,#N/A)</f>
        <v>#N/A</v>
      </c>
      <c r="AD425">
        <f t="shared" si="7"/>
        <v>3</v>
      </c>
      <c r="AE425" t="e">
        <f t="array" ref="AE425">IF(OR(H425&lt;N$3,H425&gt;N$7),H425,#N/A)</f>
        <v>#N/A</v>
      </c>
      <c r="AF425">
        <f t="shared" si="7"/>
        <v>4</v>
      </c>
      <c r="AG425" t="e">
        <f t="array" ref="AG425">IF(OR(I425&lt;O$3,I425&gt;O$7),I425,#N/A)</f>
        <v>#N/A</v>
      </c>
    </row>
    <row r="426" spans="5:33" x14ac:dyDescent="0.25">
      <c r="E426">
        <v>423</v>
      </c>
      <c r="F426">
        <v>12.545454545454545</v>
      </c>
      <c r="G426">
        <v>13.65</v>
      </c>
      <c r="H426">
        <v>13.88</v>
      </c>
      <c r="I426">
        <v>13.55</v>
      </c>
      <c r="Z426">
        <v>1</v>
      </c>
      <c r="AA426" t="e">
        <f t="array" ref="AA426">IF(OR(F426&lt;L$3,F426&gt;L$7),F426,#N/A)</f>
        <v>#N/A</v>
      </c>
      <c r="AB426">
        <f t="shared" si="7"/>
        <v>2</v>
      </c>
      <c r="AC426" t="e">
        <f t="array" ref="AC426">IF(OR(G426&lt;M$3,G426&gt;M$7),G426,#N/A)</f>
        <v>#N/A</v>
      </c>
      <c r="AD426">
        <f t="shared" si="7"/>
        <v>3</v>
      </c>
      <c r="AE426" t="e">
        <f t="array" ref="AE426">IF(OR(H426&lt;N$3,H426&gt;N$7),H426,#N/A)</f>
        <v>#N/A</v>
      </c>
      <c r="AF426">
        <f t="shared" si="7"/>
        <v>4</v>
      </c>
      <c r="AG426" t="e">
        <f t="array" ref="AG426">IF(OR(I426&lt;O$3,I426&gt;O$7),I426,#N/A)</f>
        <v>#N/A</v>
      </c>
    </row>
    <row r="427" spans="5:33" x14ac:dyDescent="0.25">
      <c r="E427">
        <v>424</v>
      </c>
      <c r="F427">
        <v>14.454545454545455</v>
      </c>
      <c r="G427">
        <v>13.7</v>
      </c>
      <c r="H427">
        <v>13.4</v>
      </c>
      <c r="I427">
        <v>13.44</v>
      </c>
      <c r="Z427">
        <v>1</v>
      </c>
      <c r="AA427" t="e">
        <f t="array" ref="AA427">IF(OR(F427&lt;L$3,F427&gt;L$7),F427,#N/A)</f>
        <v>#N/A</v>
      </c>
      <c r="AB427">
        <f t="shared" si="7"/>
        <v>2</v>
      </c>
      <c r="AC427" t="e">
        <f t="array" ref="AC427">IF(OR(G427&lt;M$3,G427&gt;M$7),G427,#N/A)</f>
        <v>#N/A</v>
      </c>
      <c r="AD427">
        <f t="shared" si="7"/>
        <v>3</v>
      </c>
      <c r="AE427" t="e">
        <f t="array" ref="AE427">IF(OR(H427&lt;N$3,H427&gt;N$7),H427,#N/A)</f>
        <v>#N/A</v>
      </c>
      <c r="AF427">
        <f t="shared" si="7"/>
        <v>4</v>
      </c>
      <c r="AG427" t="e">
        <f t="array" ref="AG427">IF(OR(I427&lt;O$3,I427&gt;O$7),I427,#N/A)</f>
        <v>#N/A</v>
      </c>
    </row>
    <row r="428" spans="5:33" x14ac:dyDescent="0.25">
      <c r="E428">
        <v>425</v>
      </c>
      <c r="F428">
        <v>15.181818181818182</v>
      </c>
      <c r="G428">
        <v>15.25</v>
      </c>
      <c r="H428">
        <v>13.7</v>
      </c>
      <c r="I428">
        <v>13.7</v>
      </c>
      <c r="Z428">
        <v>1</v>
      </c>
      <c r="AA428" t="e">
        <f t="array" ref="AA428">IF(OR(F428&lt;L$3,F428&gt;L$7),F428,#N/A)</f>
        <v>#N/A</v>
      </c>
      <c r="AB428">
        <f t="shared" si="7"/>
        <v>2</v>
      </c>
      <c r="AC428" t="e">
        <f t="array" ref="AC428">IF(OR(G428&lt;M$3,G428&gt;M$7),G428,#N/A)</f>
        <v>#N/A</v>
      </c>
      <c r="AD428">
        <f t="shared" si="7"/>
        <v>3</v>
      </c>
      <c r="AE428" t="e">
        <f t="array" ref="AE428">IF(OR(H428&lt;N$3,H428&gt;N$7),H428,#N/A)</f>
        <v>#N/A</v>
      </c>
      <c r="AF428">
        <f t="shared" si="7"/>
        <v>4</v>
      </c>
      <c r="AG428" t="e">
        <f t="array" ref="AG428">IF(OR(I428&lt;O$3,I428&gt;O$7),I428,#N/A)</f>
        <v>#N/A</v>
      </c>
    </row>
    <row r="429" spans="5:33" x14ac:dyDescent="0.25">
      <c r="E429">
        <v>426</v>
      </c>
      <c r="F429">
        <v>11.454545454545455</v>
      </c>
      <c r="G429">
        <v>12.5</v>
      </c>
      <c r="H429">
        <v>13.06</v>
      </c>
      <c r="I429">
        <v>13.86</v>
      </c>
      <c r="Z429">
        <v>1</v>
      </c>
      <c r="AA429" t="e">
        <f t="array" ref="AA429">IF(OR(F429&lt;L$3,F429&gt;L$7),F429,#N/A)</f>
        <v>#N/A</v>
      </c>
      <c r="AB429">
        <f t="shared" si="7"/>
        <v>2</v>
      </c>
      <c r="AC429" t="e">
        <f t="array" ref="AC429">IF(OR(G429&lt;M$3,G429&gt;M$7),G429,#N/A)</f>
        <v>#N/A</v>
      </c>
      <c r="AD429">
        <f t="shared" si="7"/>
        <v>3</v>
      </c>
      <c r="AE429" t="e">
        <f t="array" ref="AE429">IF(OR(H429&lt;N$3,H429&gt;N$7),H429,#N/A)</f>
        <v>#N/A</v>
      </c>
      <c r="AF429">
        <f t="shared" si="7"/>
        <v>4</v>
      </c>
      <c r="AG429" t="e">
        <f t="array" ref="AG429">IF(OR(I429&lt;O$3,I429&gt;O$7),I429,#N/A)</f>
        <v>#N/A</v>
      </c>
    </row>
    <row r="430" spans="5:33" x14ac:dyDescent="0.25">
      <c r="E430">
        <v>427</v>
      </c>
      <c r="F430">
        <v>13.090909090909092</v>
      </c>
      <c r="G430">
        <v>11.85</v>
      </c>
      <c r="H430">
        <v>13.24</v>
      </c>
      <c r="I430">
        <v>14.23</v>
      </c>
      <c r="Z430">
        <v>1</v>
      </c>
      <c r="AA430" t="e">
        <f t="array" ref="AA430">IF(OR(F430&lt;L$3,F430&gt;L$7),F430,#N/A)</f>
        <v>#N/A</v>
      </c>
      <c r="AB430">
        <f t="shared" si="7"/>
        <v>2</v>
      </c>
      <c r="AC430" t="e">
        <f t="array" ref="AC430">IF(OR(G430&lt;M$3,G430&gt;M$7),G430,#N/A)</f>
        <v>#N/A</v>
      </c>
      <c r="AD430">
        <f t="shared" si="7"/>
        <v>3</v>
      </c>
      <c r="AE430" t="e">
        <f t="array" ref="AE430">IF(OR(H430&lt;N$3,H430&gt;N$7),H430,#N/A)</f>
        <v>#N/A</v>
      </c>
      <c r="AF430">
        <f t="shared" si="7"/>
        <v>4</v>
      </c>
      <c r="AG430" t="e">
        <f t="array" ref="AG430">IF(OR(I430&lt;O$3,I430&gt;O$7),I430,#N/A)</f>
        <v>#N/A</v>
      </c>
    </row>
    <row r="431" spans="5:33" x14ac:dyDescent="0.25">
      <c r="E431">
        <v>428</v>
      </c>
      <c r="F431">
        <v>13</v>
      </c>
      <c r="G431">
        <v>11.35</v>
      </c>
      <c r="H431">
        <v>13.26</v>
      </c>
      <c r="I431">
        <v>14.47</v>
      </c>
      <c r="Z431">
        <v>1</v>
      </c>
      <c r="AA431" t="e">
        <f t="array" ref="AA431">IF(OR(F431&lt;L$3,F431&gt;L$7),F431,#N/A)</f>
        <v>#N/A</v>
      </c>
      <c r="AB431">
        <f t="shared" si="7"/>
        <v>2</v>
      </c>
      <c r="AC431" t="e">
        <f t="array" ref="AC431">IF(OR(G431&lt;M$3,G431&gt;M$7),G431,#N/A)</f>
        <v>#N/A</v>
      </c>
      <c r="AD431">
        <f t="shared" si="7"/>
        <v>3</v>
      </c>
      <c r="AE431" t="e">
        <f t="array" ref="AE431">IF(OR(H431&lt;N$3,H431&gt;N$7),H431,#N/A)</f>
        <v>#N/A</v>
      </c>
      <c r="AF431">
        <f t="shared" si="7"/>
        <v>4</v>
      </c>
      <c r="AG431" t="e">
        <f t="array" ref="AG431">IF(OR(I431&lt;O$3,I431&gt;O$7),I431,#N/A)</f>
        <v>#N/A</v>
      </c>
    </row>
    <row r="432" spans="5:33" x14ac:dyDescent="0.25">
      <c r="E432">
        <v>429</v>
      </c>
      <c r="F432">
        <v>14.181818181818182</v>
      </c>
      <c r="G432">
        <v>14.15</v>
      </c>
      <c r="H432">
        <v>13.72</v>
      </c>
      <c r="I432">
        <v>14.07</v>
      </c>
      <c r="Z432">
        <v>1</v>
      </c>
      <c r="AA432" t="e">
        <f t="array" ref="AA432">IF(OR(F432&lt;L$3,F432&gt;L$7),F432,#N/A)</f>
        <v>#N/A</v>
      </c>
      <c r="AB432">
        <f t="shared" si="7"/>
        <v>2</v>
      </c>
      <c r="AC432" t="e">
        <f t="array" ref="AC432">IF(OR(G432&lt;M$3,G432&gt;M$7),G432,#N/A)</f>
        <v>#N/A</v>
      </c>
      <c r="AD432">
        <f t="shared" si="7"/>
        <v>3</v>
      </c>
      <c r="AE432" t="e">
        <f t="array" ref="AE432">IF(OR(H432&lt;N$3,H432&gt;N$7),H432,#N/A)</f>
        <v>#N/A</v>
      </c>
      <c r="AF432">
        <f t="shared" si="7"/>
        <v>4</v>
      </c>
      <c r="AG432" t="e">
        <f t="array" ref="AG432">IF(OR(I432&lt;O$3,I432&gt;O$7),I432,#N/A)</f>
        <v>#N/A</v>
      </c>
    </row>
    <row r="433" spans="5:33" x14ac:dyDescent="0.25">
      <c r="E433">
        <v>430</v>
      </c>
      <c r="F433">
        <v>13.909090909090908</v>
      </c>
      <c r="G433">
        <v>13.9</v>
      </c>
      <c r="H433">
        <v>15.62</v>
      </c>
      <c r="I433">
        <v>14.97</v>
      </c>
      <c r="Z433">
        <v>1</v>
      </c>
      <c r="AA433" t="e">
        <f t="array" ref="AA433">IF(OR(F433&lt;L$3,F433&gt;L$7),F433,#N/A)</f>
        <v>#N/A</v>
      </c>
      <c r="AB433">
        <f t="shared" si="7"/>
        <v>2</v>
      </c>
      <c r="AC433" t="e">
        <f t="array" ref="AC433">IF(OR(G433&lt;M$3,G433&gt;M$7),G433,#N/A)</f>
        <v>#N/A</v>
      </c>
      <c r="AD433">
        <f t="shared" si="7"/>
        <v>3</v>
      </c>
      <c r="AE433" t="e">
        <f t="array" ref="AE433">IF(OR(H433&lt;N$3,H433&gt;N$7),H433,#N/A)</f>
        <v>#N/A</v>
      </c>
      <c r="AF433">
        <f t="shared" si="7"/>
        <v>4</v>
      </c>
      <c r="AG433" t="e">
        <f t="array" ref="AG433">IF(OR(I433&lt;O$3,I433&gt;O$7),I433,#N/A)</f>
        <v>#N/A</v>
      </c>
    </row>
    <row r="434" spans="5:33" x14ac:dyDescent="0.25">
      <c r="E434">
        <v>431</v>
      </c>
      <c r="F434">
        <v>15.909090909090908</v>
      </c>
      <c r="G434">
        <v>17.55</v>
      </c>
      <c r="H434">
        <v>17.38</v>
      </c>
      <c r="I434">
        <v>14.33</v>
      </c>
      <c r="Z434">
        <v>1</v>
      </c>
      <c r="AA434" t="e">
        <f t="array" ref="AA434">IF(OR(F434&lt;L$3,F434&gt;L$7),F434,#N/A)</f>
        <v>#N/A</v>
      </c>
      <c r="AB434">
        <f t="shared" si="7"/>
        <v>2</v>
      </c>
      <c r="AC434" t="e">
        <f t="array" ref="AC434">IF(OR(G434&lt;M$3,G434&gt;M$7),G434,#N/A)</f>
        <v>#N/A</v>
      </c>
      <c r="AD434">
        <f t="shared" si="7"/>
        <v>3</v>
      </c>
      <c r="AE434">
        <f t="array" ref="AE434">IF(OR(H434&lt;N$3,H434&gt;N$7),H434,#N/A)</f>
        <v>17.38</v>
      </c>
      <c r="AF434">
        <f t="shared" si="7"/>
        <v>4</v>
      </c>
      <c r="AG434" t="e">
        <f t="array" ref="AG434">IF(OR(I434&lt;O$3,I434&gt;O$7),I434,#N/A)</f>
        <v>#N/A</v>
      </c>
    </row>
    <row r="435" spans="5:33" x14ac:dyDescent="0.25">
      <c r="E435">
        <v>432</v>
      </c>
      <c r="F435">
        <v>12.272727272727273</v>
      </c>
      <c r="G435">
        <v>10.7</v>
      </c>
      <c r="H435">
        <v>12</v>
      </c>
      <c r="I435">
        <v>12.57</v>
      </c>
      <c r="Z435">
        <v>1</v>
      </c>
      <c r="AA435" t="e">
        <f t="array" ref="AA435">IF(OR(F435&lt;L$3,F435&gt;L$7),F435,#N/A)</f>
        <v>#N/A</v>
      </c>
      <c r="AB435">
        <f t="shared" si="7"/>
        <v>2</v>
      </c>
      <c r="AC435" t="e">
        <f t="array" ref="AC435">IF(OR(G435&lt;M$3,G435&gt;M$7),G435,#N/A)</f>
        <v>#N/A</v>
      </c>
      <c r="AD435">
        <f t="shared" si="7"/>
        <v>3</v>
      </c>
      <c r="AE435" t="e">
        <f t="array" ref="AE435">IF(OR(H435&lt;N$3,H435&gt;N$7),H435,#N/A)</f>
        <v>#N/A</v>
      </c>
      <c r="AF435">
        <f t="shared" si="7"/>
        <v>4</v>
      </c>
      <c r="AG435" t="e">
        <f t="array" ref="AG435">IF(OR(I435&lt;O$3,I435&gt;O$7),I435,#N/A)</f>
        <v>#N/A</v>
      </c>
    </row>
    <row r="436" spans="5:33" x14ac:dyDescent="0.25">
      <c r="E436">
        <v>433</v>
      </c>
      <c r="F436">
        <v>9.8181818181818183</v>
      </c>
      <c r="G436">
        <v>12.1</v>
      </c>
      <c r="H436">
        <v>14.98</v>
      </c>
      <c r="I436">
        <v>14.23</v>
      </c>
      <c r="Z436">
        <v>1</v>
      </c>
      <c r="AA436" t="e">
        <f t="array" ref="AA436">IF(OR(F436&lt;L$3,F436&gt;L$7),F436,#N/A)</f>
        <v>#N/A</v>
      </c>
      <c r="AB436">
        <f t="shared" si="7"/>
        <v>2</v>
      </c>
      <c r="AC436" t="e">
        <f t="array" ref="AC436">IF(OR(G436&lt;M$3,G436&gt;M$7),G436,#N/A)</f>
        <v>#N/A</v>
      </c>
      <c r="AD436">
        <f t="shared" si="7"/>
        <v>3</v>
      </c>
      <c r="AE436" t="e">
        <f t="array" ref="AE436">IF(OR(H436&lt;N$3,H436&gt;N$7),H436,#N/A)</f>
        <v>#N/A</v>
      </c>
      <c r="AF436">
        <f t="shared" si="7"/>
        <v>4</v>
      </c>
      <c r="AG436" t="e">
        <f t="array" ref="AG436">IF(OR(I436&lt;O$3,I436&gt;O$7),I436,#N/A)</f>
        <v>#N/A</v>
      </c>
    </row>
    <row r="437" spans="5:33" x14ac:dyDescent="0.25">
      <c r="E437">
        <v>434</v>
      </c>
      <c r="F437">
        <v>12.363636363636363</v>
      </c>
      <c r="G437">
        <v>15</v>
      </c>
      <c r="H437">
        <v>13.94</v>
      </c>
      <c r="I437">
        <v>14.29</v>
      </c>
      <c r="Z437">
        <v>1</v>
      </c>
      <c r="AA437" t="e">
        <f t="array" ref="AA437">IF(OR(F437&lt;L$3,F437&gt;L$7),F437,#N/A)</f>
        <v>#N/A</v>
      </c>
      <c r="AB437">
        <f t="shared" si="7"/>
        <v>2</v>
      </c>
      <c r="AC437" t="e">
        <f t="array" ref="AC437">IF(OR(G437&lt;M$3,G437&gt;M$7),G437,#N/A)</f>
        <v>#N/A</v>
      </c>
      <c r="AD437">
        <f t="shared" si="7"/>
        <v>3</v>
      </c>
      <c r="AE437" t="e">
        <f t="array" ref="AE437">IF(OR(H437&lt;N$3,H437&gt;N$7),H437,#N/A)</f>
        <v>#N/A</v>
      </c>
      <c r="AF437">
        <f t="shared" si="7"/>
        <v>4</v>
      </c>
      <c r="AG437" t="e">
        <f t="array" ref="AG437">IF(OR(I437&lt;O$3,I437&gt;O$7),I437,#N/A)</f>
        <v>#N/A</v>
      </c>
    </row>
    <row r="438" spans="5:33" x14ac:dyDescent="0.25">
      <c r="E438">
        <v>435</v>
      </c>
      <c r="F438">
        <v>12.272727272727273</v>
      </c>
      <c r="G438">
        <v>14.25</v>
      </c>
      <c r="H438">
        <v>15.58</v>
      </c>
      <c r="I438">
        <v>14.66</v>
      </c>
      <c r="Z438">
        <v>1</v>
      </c>
      <c r="AA438" t="e">
        <f t="array" ref="AA438">IF(OR(F438&lt;L$3,F438&gt;L$7),F438,#N/A)</f>
        <v>#N/A</v>
      </c>
      <c r="AB438">
        <f t="shared" si="7"/>
        <v>2</v>
      </c>
      <c r="AC438" t="e">
        <f t="array" ref="AC438">IF(OR(G438&lt;M$3,G438&gt;M$7),G438,#N/A)</f>
        <v>#N/A</v>
      </c>
      <c r="AD438">
        <f t="shared" si="7"/>
        <v>3</v>
      </c>
      <c r="AE438" t="e">
        <f t="array" ref="AE438">IF(OR(H438&lt;N$3,H438&gt;N$7),H438,#N/A)</f>
        <v>#N/A</v>
      </c>
      <c r="AF438">
        <f t="shared" si="7"/>
        <v>4</v>
      </c>
      <c r="AG438" t="e">
        <f t="array" ref="AG438">IF(OR(I438&lt;O$3,I438&gt;O$7),I438,#N/A)</f>
        <v>#N/A</v>
      </c>
    </row>
    <row r="439" spans="5:33" x14ac:dyDescent="0.25">
      <c r="E439">
        <v>436</v>
      </c>
      <c r="F439">
        <v>15.636363636363637</v>
      </c>
      <c r="G439">
        <v>15.45</v>
      </c>
      <c r="H439">
        <v>13.1</v>
      </c>
      <c r="I439">
        <v>14.22</v>
      </c>
      <c r="Z439">
        <v>1</v>
      </c>
      <c r="AA439" t="e">
        <f t="array" ref="AA439">IF(OR(F439&lt;L$3,F439&gt;L$7),F439,#N/A)</f>
        <v>#N/A</v>
      </c>
      <c r="AB439">
        <f t="shared" si="7"/>
        <v>2</v>
      </c>
      <c r="AC439" t="e">
        <f t="array" ref="AC439">IF(OR(G439&lt;M$3,G439&gt;M$7),G439,#N/A)</f>
        <v>#N/A</v>
      </c>
      <c r="AD439">
        <f t="shared" si="7"/>
        <v>3</v>
      </c>
      <c r="AE439" t="e">
        <f t="array" ref="AE439">IF(OR(H439&lt;N$3,H439&gt;N$7),H439,#N/A)</f>
        <v>#N/A</v>
      </c>
      <c r="AF439">
        <f t="shared" si="7"/>
        <v>4</v>
      </c>
      <c r="AG439" t="e">
        <f t="array" ref="AG439">IF(OR(I439&lt;O$3,I439&gt;O$7),I439,#N/A)</f>
        <v>#N/A</v>
      </c>
    </row>
    <row r="440" spans="5:33" x14ac:dyDescent="0.25">
      <c r="E440">
        <v>437</v>
      </c>
      <c r="F440">
        <v>12.454545454545455</v>
      </c>
      <c r="G440">
        <v>14.05</v>
      </c>
      <c r="H440">
        <v>12.56</v>
      </c>
      <c r="I440">
        <v>13.59</v>
      </c>
      <c r="Z440">
        <v>1</v>
      </c>
      <c r="AA440" t="e">
        <f t="array" ref="AA440">IF(OR(F440&lt;L$3,F440&gt;L$7),F440,#N/A)</f>
        <v>#N/A</v>
      </c>
      <c r="AB440">
        <f t="shared" si="7"/>
        <v>2</v>
      </c>
      <c r="AC440" t="e">
        <f t="array" ref="AC440">IF(OR(G440&lt;M$3,G440&gt;M$7),G440,#N/A)</f>
        <v>#N/A</v>
      </c>
      <c r="AD440">
        <f t="shared" si="7"/>
        <v>3</v>
      </c>
      <c r="AE440" t="e">
        <f t="array" ref="AE440">IF(OR(H440&lt;N$3,H440&gt;N$7),H440,#N/A)</f>
        <v>#N/A</v>
      </c>
      <c r="AF440">
        <f t="shared" si="7"/>
        <v>4</v>
      </c>
      <c r="AG440" t="e">
        <f t="array" ref="AG440">IF(OR(I440&lt;O$3,I440&gt;O$7),I440,#N/A)</f>
        <v>#N/A</v>
      </c>
    </row>
    <row r="441" spans="5:33" x14ac:dyDescent="0.25">
      <c r="E441">
        <v>438</v>
      </c>
      <c r="F441">
        <v>12.909090909090908</v>
      </c>
      <c r="G441">
        <v>12.75</v>
      </c>
      <c r="H441">
        <v>13.64</v>
      </c>
      <c r="I441">
        <v>14.27</v>
      </c>
      <c r="Z441">
        <v>1</v>
      </c>
      <c r="AA441" t="e">
        <f t="array" ref="AA441">IF(OR(F441&lt;L$3,F441&gt;L$7),F441,#N/A)</f>
        <v>#N/A</v>
      </c>
      <c r="AB441">
        <f t="shared" si="7"/>
        <v>2</v>
      </c>
      <c r="AC441" t="e">
        <f t="array" ref="AC441">IF(OR(G441&lt;M$3,G441&gt;M$7),G441,#N/A)</f>
        <v>#N/A</v>
      </c>
      <c r="AD441">
        <f t="shared" si="7"/>
        <v>3</v>
      </c>
      <c r="AE441" t="e">
        <f t="array" ref="AE441">IF(OR(H441&lt;N$3,H441&gt;N$7),H441,#N/A)</f>
        <v>#N/A</v>
      </c>
      <c r="AF441">
        <f t="shared" si="7"/>
        <v>4</v>
      </c>
      <c r="AG441" t="e">
        <f t="array" ref="AG441">IF(OR(I441&lt;O$3,I441&gt;O$7),I441,#N/A)</f>
        <v>#N/A</v>
      </c>
    </row>
    <row r="442" spans="5:33" x14ac:dyDescent="0.25">
      <c r="E442">
        <v>439</v>
      </c>
      <c r="F442">
        <v>13.363636363636363</v>
      </c>
      <c r="G442">
        <v>13.45</v>
      </c>
      <c r="H442">
        <v>13.44</v>
      </c>
      <c r="I442">
        <v>13.41</v>
      </c>
      <c r="Z442">
        <v>1</v>
      </c>
      <c r="AA442" t="e">
        <f t="array" ref="AA442">IF(OR(F442&lt;L$3,F442&gt;L$7),F442,#N/A)</f>
        <v>#N/A</v>
      </c>
      <c r="AB442">
        <f t="shared" si="7"/>
        <v>2</v>
      </c>
      <c r="AC442" t="e">
        <f t="array" ref="AC442">IF(OR(G442&lt;M$3,G442&gt;M$7),G442,#N/A)</f>
        <v>#N/A</v>
      </c>
      <c r="AD442">
        <f t="shared" si="7"/>
        <v>3</v>
      </c>
      <c r="AE442" t="e">
        <f t="array" ref="AE442">IF(OR(H442&lt;N$3,H442&gt;N$7),H442,#N/A)</f>
        <v>#N/A</v>
      </c>
      <c r="AF442">
        <f t="shared" si="7"/>
        <v>4</v>
      </c>
      <c r="AG442" t="e">
        <f t="array" ref="AG442">IF(OR(I442&lt;O$3,I442&gt;O$7),I442,#N/A)</f>
        <v>#N/A</v>
      </c>
    </row>
    <row r="443" spans="5:33" x14ac:dyDescent="0.25">
      <c r="E443">
        <v>440</v>
      </c>
      <c r="F443">
        <v>12.454545454545455</v>
      </c>
      <c r="G443">
        <v>12.5</v>
      </c>
      <c r="H443">
        <v>11.92</v>
      </c>
      <c r="I443">
        <v>13.06</v>
      </c>
      <c r="Z443">
        <v>1</v>
      </c>
      <c r="AA443" t="e">
        <f t="array" ref="AA443">IF(OR(F443&lt;L$3,F443&gt;L$7),F443,#N/A)</f>
        <v>#N/A</v>
      </c>
      <c r="AB443">
        <f t="shared" si="7"/>
        <v>2</v>
      </c>
      <c r="AC443" t="e">
        <f t="array" ref="AC443">IF(OR(G443&lt;M$3,G443&gt;M$7),G443,#N/A)</f>
        <v>#N/A</v>
      </c>
      <c r="AD443">
        <f t="shared" si="7"/>
        <v>3</v>
      </c>
      <c r="AE443" t="e">
        <f t="array" ref="AE443">IF(OR(H443&lt;N$3,H443&gt;N$7),H443,#N/A)</f>
        <v>#N/A</v>
      </c>
      <c r="AF443">
        <f t="shared" si="7"/>
        <v>4</v>
      </c>
      <c r="AG443" t="e">
        <f t="array" ref="AG443">IF(OR(I443&lt;O$3,I443&gt;O$7),I443,#N/A)</f>
        <v>#N/A</v>
      </c>
    </row>
    <row r="444" spans="5:33" x14ac:dyDescent="0.25">
      <c r="E444">
        <v>441</v>
      </c>
      <c r="F444">
        <v>11.454545454545455</v>
      </c>
      <c r="G444">
        <v>13</v>
      </c>
      <c r="H444">
        <v>13.22</v>
      </c>
      <c r="I444">
        <v>13.78</v>
      </c>
      <c r="Z444">
        <v>1</v>
      </c>
      <c r="AA444" t="e">
        <f t="array" ref="AA444">IF(OR(F444&lt;L$3,F444&gt;L$7),F444,#N/A)</f>
        <v>#N/A</v>
      </c>
      <c r="AB444">
        <f t="shared" si="7"/>
        <v>2</v>
      </c>
      <c r="AC444" t="e">
        <f t="array" ref="AC444">IF(OR(G444&lt;M$3,G444&gt;M$7),G444,#N/A)</f>
        <v>#N/A</v>
      </c>
      <c r="AD444">
        <f t="shared" si="7"/>
        <v>3</v>
      </c>
      <c r="AE444" t="e">
        <f t="array" ref="AE444">IF(OR(H444&lt;N$3,H444&gt;N$7),H444,#N/A)</f>
        <v>#N/A</v>
      </c>
      <c r="AF444">
        <f t="shared" si="7"/>
        <v>4</v>
      </c>
      <c r="AG444" t="e">
        <f t="array" ref="AG444">IF(OR(I444&lt;O$3,I444&gt;O$7),I444,#N/A)</f>
        <v>#N/A</v>
      </c>
    </row>
    <row r="445" spans="5:33" x14ac:dyDescent="0.25">
      <c r="E445">
        <v>442</v>
      </c>
      <c r="F445">
        <v>16.545454545454547</v>
      </c>
      <c r="G445">
        <v>14.45</v>
      </c>
      <c r="H445">
        <v>13.64</v>
      </c>
      <c r="I445">
        <v>14.87</v>
      </c>
      <c r="Z445">
        <v>1</v>
      </c>
      <c r="AA445" t="e">
        <f t="array" ref="AA445">IF(OR(F445&lt;L$3,F445&gt;L$7),F445,#N/A)</f>
        <v>#N/A</v>
      </c>
      <c r="AB445">
        <f t="shared" si="7"/>
        <v>2</v>
      </c>
      <c r="AC445" t="e">
        <f t="array" ref="AC445">IF(OR(G445&lt;M$3,G445&gt;M$7),G445,#N/A)</f>
        <v>#N/A</v>
      </c>
      <c r="AD445">
        <f t="shared" si="7"/>
        <v>3</v>
      </c>
      <c r="AE445" t="e">
        <f t="array" ref="AE445">IF(OR(H445&lt;N$3,H445&gt;N$7),H445,#N/A)</f>
        <v>#N/A</v>
      </c>
      <c r="AF445">
        <f t="shared" si="7"/>
        <v>4</v>
      </c>
      <c r="AG445" t="e">
        <f t="array" ref="AG445">IF(OR(I445&lt;O$3,I445&gt;O$7),I445,#N/A)</f>
        <v>#N/A</v>
      </c>
    </row>
    <row r="446" spans="5:33" x14ac:dyDescent="0.25">
      <c r="E446">
        <v>443</v>
      </c>
      <c r="F446">
        <v>15.272727272727273</v>
      </c>
      <c r="G446">
        <v>15.35</v>
      </c>
      <c r="H446">
        <v>14.42</v>
      </c>
      <c r="I446">
        <v>13.42</v>
      </c>
      <c r="Z446">
        <v>1</v>
      </c>
      <c r="AA446" t="e">
        <f t="array" ref="AA446">IF(OR(F446&lt;L$3,F446&gt;L$7),F446,#N/A)</f>
        <v>#N/A</v>
      </c>
      <c r="AB446">
        <f t="shared" si="7"/>
        <v>2</v>
      </c>
      <c r="AC446" t="e">
        <f t="array" ref="AC446">IF(OR(G446&lt;M$3,G446&gt;M$7),G446,#N/A)</f>
        <v>#N/A</v>
      </c>
      <c r="AD446">
        <f t="shared" si="7"/>
        <v>3</v>
      </c>
      <c r="AE446" t="e">
        <f t="array" ref="AE446">IF(OR(H446&lt;N$3,H446&gt;N$7),H446,#N/A)</f>
        <v>#N/A</v>
      </c>
      <c r="AF446">
        <f t="shared" si="7"/>
        <v>4</v>
      </c>
      <c r="AG446" t="e">
        <f t="array" ref="AG446">IF(OR(I446&lt;O$3,I446&gt;O$7),I446,#N/A)</f>
        <v>#N/A</v>
      </c>
    </row>
    <row r="447" spans="5:33" x14ac:dyDescent="0.25">
      <c r="E447">
        <v>444</v>
      </c>
      <c r="F447">
        <v>14.090909090909092</v>
      </c>
      <c r="G447">
        <v>13.7</v>
      </c>
      <c r="H447">
        <v>14.22</v>
      </c>
      <c r="I447">
        <v>14.43</v>
      </c>
      <c r="Z447">
        <v>1</v>
      </c>
      <c r="AA447" t="e">
        <f t="array" ref="AA447">IF(OR(F447&lt;L$3,F447&gt;L$7),F447,#N/A)</f>
        <v>#N/A</v>
      </c>
      <c r="AB447">
        <f t="shared" si="7"/>
        <v>2</v>
      </c>
      <c r="AC447" t="e">
        <f t="array" ref="AC447">IF(OR(G447&lt;M$3,G447&gt;M$7),G447,#N/A)</f>
        <v>#N/A</v>
      </c>
      <c r="AD447">
        <f t="shared" si="7"/>
        <v>3</v>
      </c>
      <c r="AE447" t="e">
        <f t="array" ref="AE447">IF(OR(H447&lt;N$3,H447&gt;N$7),H447,#N/A)</f>
        <v>#N/A</v>
      </c>
      <c r="AF447">
        <f t="shared" si="7"/>
        <v>4</v>
      </c>
      <c r="AG447" t="e">
        <f t="array" ref="AG447">IF(OR(I447&lt;O$3,I447&gt;O$7),I447,#N/A)</f>
        <v>#N/A</v>
      </c>
    </row>
    <row r="448" spans="5:33" x14ac:dyDescent="0.25">
      <c r="E448">
        <v>445</v>
      </c>
      <c r="F448">
        <v>13.454545454545455</v>
      </c>
      <c r="G448">
        <v>15.7</v>
      </c>
      <c r="H448">
        <v>13.94</v>
      </c>
      <c r="I448">
        <v>14.49</v>
      </c>
      <c r="Z448">
        <v>1</v>
      </c>
      <c r="AA448" t="e">
        <f t="array" ref="AA448">IF(OR(F448&lt;L$3,F448&gt;L$7),F448,#N/A)</f>
        <v>#N/A</v>
      </c>
      <c r="AB448">
        <f t="shared" si="7"/>
        <v>2</v>
      </c>
      <c r="AC448" t="e">
        <f t="array" ref="AC448">IF(OR(G448&lt;M$3,G448&gt;M$7),G448,#N/A)</f>
        <v>#N/A</v>
      </c>
      <c r="AD448">
        <f t="shared" si="7"/>
        <v>3</v>
      </c>
      <c r="AE448" t="e">
        <f t="array" ref="AE448">IF(OR(H448&lt;N$3,H448&gt;N$7),H448,#N/A)</f>
        <v>#N/A</v>
      </c>
      <c r="AF448">
        <f t="shared" si="7"/>
        <v>4</v>
      </c>
      <c r="AG448" t="e">
        <f t="array" ref="AG448">IF(OR(I448&lt;O$3,I448&gt;O$7),I448,#N/A)</f>
        <v>#N/A</v>
      </c>
    </row>
    <row r="449" spans="5:33" x14ac:dyDescent="0.25">
      <c r="E449">
        <v>446</v>
      </c>
      <c r="F449">
        <v>15.090909090909092</v>
      </c>
      <c r="G449">
        <v>16.600000000000001</v>
      </c>
      <c r="H449">
        <v>13.58</v>
      </c>
      <c r="I449">
        <v>13.21</v>
      </c>
      <c r="Z449">
        <v>1</v>
      </c>
      <c r="AA449" t="e">
        <f t="array" ref="AA449">IF(OR(F449&lt;L$3,F449&gt;L$7),F449,#N/A)</f>
        <v>#N/A</v>
      </c>
      <c r="AB449">
        <f t="shared" si="7"/>
        <v>2</v>
      </c>
      <c r="AC449" t="e">
        <f t="array" ref="AC449">IF(OR(G449&lt;M$3,G449&gt;M$7),G449,#N/A)</f>
        <v>#N/A</v>
      </c>
      <c r="AD449">
        <f t="shared" si="7"/>
        <v>3</v>
      </c>
      <c r="AE449" t="e">
        <f t="array" ref="AE449">IF(OR(H449&lt;N$3,H449&gt;N$7),H449,#N/A)</f>
        <v>#N/A</v>
      </c>
      <c r="AF449">
        <f t="shared" si="7"/>
        <v>4</v>
      </c>
      <c r="AG449" t="e">
        <f t="array" ref="AG449">IF(OR(I449&lt;O$3,I449&gt;O$7),I449,#N/A)</f>
        <v>#N/A</v>
      </c>
    </row>
    <row r="450" spans="5:33" x14ac:dyDescent="0.25">
      <c r="E450">
        <v>447</v>
      </c>
      <c r="F450">
        <v>11.818181818181818</v>
      </c>
      <c r="G450">
        <v>13.2</v>
      </c>
      <c r="H450">
        <v>13.84</v>
      </c>
      <c r="I450">
        <v>13.14</v>
      </c>
      <c r="Z450">
        <v>1</v>
      </c>
      <c r="AA450" t="e">
        <f t="array" ref="AA450">IF(OR(F450&lt;L$3,F450&gt;L$7),F450,#N/A)</f>
        <v>#N/A</v>
      </c>
      <c r="AB450">
        <f t="shared" si="7"/>
        <v>2</v>
      </c>
      <c r="AC450" t="e">
        <f t="array" ref="AC450">IF(OR(G450&lt;M$3,G450&gt;M$7),G450,#N/A)</f>
        <v>#N/A</v>
      </c>
      <c r="AD450">
        <f t="shared" si="7"/>
        <v>3</v>
      </c>
      <c r="AE450" t="e">
        <f t="array" ref="AE450">IF(OR(H450&lt;N$3,H450&gt;N$7),H450,#N/A)</f>
        <v>#N/A</v>
      </c>
      <c r="AF450">
        <f t="shared" si="7"/>
        <v>4</v>
      </c>
      <c r="AG450" t="e">
        <f t="array" ref="AG450">IF(OR(I450&lt;O$3,I450&gt;O$7),I450,#N/A)</f>
        <v>#N/A</v>
      </c>
    </row>
    <row r="451" spans="5:33" x14ac:dyDescent="0.25">
      <c r="E451">
        <v>448</v>
      </c>
      <c r="F451">
        <v>15</v>
      </c>
      <c r="G451">
        <v>14.25</v>
      </c>
      <c r="H451">
        <v>13.94</v>
      </c>
      <c r="I451">
        <v>13.37</v>
      </c>
      <c r="Z451">
        <v>1</v>
      </c>
      <c r="AA451" t="e">
        <f t="array" ref="AA451">IF(OR(F451&lt;L$3,F451&gt;L$7),F451,#N/A)</f>
        <v>#N/A</v>
      </c>
      <c r="AB451">
        <f t="shared" si="7"/>
        <v>2</v>
      </c>
      <c r="AC451" t="e">
        <f t="array" ref="AC451">IF(OR(G451&lt;M$3,G451&gt;M$7),G451,#N/A)</f>
        <v>#N/A</v>
      </c>
      <c r="AD451">
        <f t="shared" si="7"/>
        <v>3</v>
      </c>
      <c r="AE451" t="e">
        <f t="array" ref="AE451">IF(OR(H451&lt;N$3,H451&gt;N$7),H451,#N/A)</f>
        <v>#N/A</v>
      </c>
      <c r="AF451">
        <f t="shared" si="7"/>
        <v>4</v>
      </c>
      <c r="AG451" t="e">
        <f t="array" ref="AG451">IF(OR(I451&lt;O$3,I451&gt;O$7),I451,#N/A)</f>
        <v>#N/A</v>
      </c>
    </row>
    <row r="452" spans="5:33" x14ac:dyDescent="0.25">
      <c r="E452">
        <v>449</v>
      </c>
      <c r="F452">
        <v>16.727272727272727</v>
      </c>
      <c r="G452">
        <v>15.05</v>
      </c>
      <c r="H452">
        <v>14.44</v>
      </c>
      <c r="I452">
        <v>14.62</v>
      </c>
      <c r="Z452">
        <v>1</v>
      </c>
      <c r="AA452" t="e">
        <f t="array" ref="AA452">IF(OR(F452&lt;L$3,F452&gt;L$7),F452,#N/A)</f>
        <v>#N/A</v>
      </c>
      <c r="AB452">
        <f t="shared" si="7"/>
        <v>2</v>
      </c>
      <c r="AC452" t="e">
        <f t="array" ref="AC452">IF(OR(G452&lt;M$3,G452&gt;M$7),G452,#N/A)</f>
        <v>#N/A</v>
      </c>
      <c r="AD452">
        <f t="shared" si="7"/>
        <v>3</v>
      </c>
      <c r="AE452" t="e">
        <f t="array" ref="AE452">IF(OR(H452&lt;N$3,H452&gt;N$7),H452,#N/A)</f>
        <v>#N/A</v>
      </c>
      <c r="AF452">
        <f t="shared" si="7"/>
        <v>4</v>
      </c>
      <c r="AG452" t="e">
        <f t="array" ref="AG452">IF(OR(I452&lt;O$3,I452&gt;O$7),I452,#N/A)</f>
        <v>#N/A</v>
      </c>
    </row>
    <row r="453" spans="5:33" x14ac:dyDescent="0.25">
      <c r="E453">
        <v>450</v>
      </c>
      <c r="F453">
        <v>15.454545454545455</v>
      </c>
      <c r="G453">
        <v>15.25</v>
      </c>
      <c r="H453">
        <v>14.72</v>
      </c>
      <c r="I453">
        <v>14.64</v>
      </c>
      <c r="Z453">
        <v>1</v>
      </c>
      <c r="AA453" t="e">
        <f t="array" ref="AA453">IF(OR(F453&lt;L$3,F453&gt;L$7),F453,#N/A)</f>
        <v>#N/A</v>
      </c>
      <c r="AB453">
        <f t="shared" ref="AB453:AF516" si="8">Z453+1</f>
        <v>2</v>
      </c>
      <c r="AC453" t="e">
        <f t="array" ref="AC453">IF(OR(G453&lt;M$3,G453&gt;M$7),G453,#N/A)</f>
        <v>#N/A</v>
      </c>
      <c r="AD453">
        <f t="shared" si="8"/>
        <v>3</v>
      </c>
      <c r="AE453" t="e">
        <f t="array" ref="AE453">IF(OR(H453&lt;N$3,H453&gt;N$7),H453,#N/A)</f>
        <v>#N/A</v>
      </c>
      <c r="AF453">
        <f t="shared" si="8"/>
        <v>4</v>
      </c>
      <c r="AG453" t="e">
        <f t="array" ref="AG453">IF(OR(I453&lt;O$3,I453&gt;O$7),I453,#N/A)</f>
        <v>#N/A</v>
      </c>
    </row>
    <row r="454" spans="5:33" x14ac:dyDescent="0.25">
      <c r="E454">
        <v>451</v>
      </c>
      <c r="F454">
        <v>14.727272727272727</v>
      </c>
      <c r="G454">
        <v>13.8</v>
      </c>
      <c r="H454">
        <v>13.38</v>
      </c>
      <c r="I454">
        <v>14.74</v>
      </c>
      <c r="Z454">
        <v>1</v>
      </c>
      <c r="AA454" t="e">
        <f t="array" ref="AA454">IF(OR(F454&lt;L$3,F454&gt;L$7),F454,#N/A)</f>
        <v>#N/A</v>
      </c>
      <c r="AB454">
        <f t="shared" si="8"/>
        <v>2</v>
      </c>
      <c r="AC454" t="e">
        <f t="array" ref="AC454">IF(OR(G454&lt;M$3,G454&gt;M$7),G454,#N/A)</f>
        <v>#N/A</v>
      </c>
      <c r="AD454">
        <f t="shared" si="8"/>
        <v>3</v>
      </c>
      <c r="AE454" t="e">
        <f t="array" ref="AE454">IF(OR(H454&lt;N$3,H454&gt;N$7),H454,#N/A)</f>
        <v>#N/A</v>
      </c>
      <c r="AF454">
        <f t="shared" si="8"/>
        <v>4</v>
      </c>
      <c r="AG454" t="e">
        <f t="array" ref="AG454">IF(OR(I454&lt;O$3,I454&gt;O$7),I454,#N/A)</f>
        <v>#N/A</v>
      </c>
    </row>
    <row r="455" spans="5:33" x14ac:dyDescent="0.25">
      <c r="E455">
        <v>452</v>
      </c>
      <c r="F455">
        <v>14.454545454545455</v>
      </c>
      <c r="G455">
        <v>12.4</v>
      </c>
      <c r="H455">
        <v>12.58</v>
      </c>
      <c r="I455">
        <v>13.18</v>
      </c>
      <c r="Z455">
        <v>1</v>
      </c>
      <c r="AA455" t="e">
        <f t="array" ref="AA455">IF(OR(F455&lt;L$3,F455&gt;L$7),F455,#N/A)</f>
        <v>#N/A</v>
      </c>
      <c r="AB455">
        <f t="shared" si="8"/>
        <v>2</v>
      </c>
      <c r="AC455" t="e">
        <f t="array" ref="AC455">IF(OR(G455&lt;M$3,G455&gt;M$7),G455,#N/A)</f>
        <v>#N/A</v>
      </c>
      <c r="AD455">
        <f t="shared" si="8"/>
        <v>3</v>
      </c>
      <c r="AE455" t="e">
        <f t="array" ref="AE455">IF(OR(H455&lt;N$3,H455&gt;N$7),H455,#N/A)</f>
        <v>#N/A</v>
      </c>
      <c r="AF455">
        <f t="shared" si="8"/>
        <v>4</v>
      </c>
      <c r="AG455" t="e">
        <f t="array" ref="AG455">IF(OR(I455&lt;O$3,I455&gt;O$7),I455,#N/A)</f>
        <v>#N/A</v>
      </c>
    </row>
    <row r="456" spans="5:33" x14ac:dyDescent="0.25">
      <c r="E456">
        <v>453</v>
      </c>
      <c r="F456">
        <v>14.727272727272727</v>
      </c>
      <c r="G456">
        <v>15.3</v>
      </c>
      <c r="H456">
        <v>13.56</v>
      </c>
      <c r="I456">
        <v>14.1</v>
      </c>
      <c r="Z456">
        <v>1</v>
      </c>
      <c r="AA456" t="e">
        <f t="array" ref="AA456">IF(OR(F456&lt;L$3,F456&gt;L$7),F456,#N/A)</f>
        <v>#N/A</v>
      </c>
      <c r="AB456">
        <f t="shared" si="8"/>
        <v>2</v>
      </c>
      <c r="AC456" t="e">
        <f t="array" ref="AC456">IF(OR(G456&lt;M$3,G456&gt;M$7),G456,#N/A)</f>
        <v>#N/A</v>
      </c>
      <c r="AD456">
        <f t="shared" si="8"/>
        <v>3</v>
      </c>
      <c r="AE456" t="e">
        <f t="array" ref="AE456">IF(OR(H456&lt;N$3,H456&gt;N$7),H456,#N/A)</f>
        <v>#N/A</v>
      </c>
      <c r="AF456">
        <f t="shared" si="8"/>
        <v>4</v>
      </c>
      <c r="AG456" t="e">
        <f t="array" ref="AG456">IF(OR(I456&lt;O$3,I456&gt;O$7),I456,#N/A)</f>
        <v>#N/A</v>
      </c>
    </row>
    <row r="457" spans="5:33" x14ac:dyDescent="0.25">
      <c r="E457">
        <v>454</v>
      </c>
      <c r="F457">
        <v>12.636363636363637</v>
      </c>
      <c r="G457">
        <v>16.2</v>
      </c>
      <c r="H457">
        <v>13.78</v>
      </c>
      <c r="I457">
        <v>13.78</v>
      </c>
      <c r="Z457">
        <v>1</v>
      </c>
      <c r="AA457" t="e">
        <f t="array" ref="AA457">IF(OR(F457&lt;L$3,F457&gt;L$7),F457,#N/A)</f>
        <v>#N/A</v>
      </c>
      <c r="AB457">
        <f t="shared" si="8"/>
        <v>2</v>
      </c>
      <c r="AC457" t="e">
        <f t="array" ref="AC457">IF(OR(G457&lt;M$3,G457&gt;M$7),G457,#N/A)</f>
        <v>#N/A</v>
      </c>
      <c r="AD457">
        <f t="shared" si="8"/>
        <v>3</v>
      </c>
      <c r="AE457" t="e">
        <f t="array" ref="AE457">IF(OR(H457&lt;N$3,H457&gt;N$7),H457,#N/A)</f>
        <v>#N/A</v>
      </c>
      <c r="AF457">
        <f t="shared" si="8"/>
        <v>4</v>
      </c>
      <c r="AG457" t="e">
        <f t="array" ref="AG457">IF(OR(I457&lt;O$3,I457&gt;O$7),I457,#N/A)</f>
        <v>#N/A</v>
      </c>
    </row>
    <row r="458" spans="5:33" x14ac:dyDescent="0.25">
      <c r="E458">
        <v>455</v>
      </c>
      <c r="F458">
        <v>12</v>
      </c>
      <c r="G458">
        <v>15.75</v>
      </c>
      <c r="H458">
        <v>14.04</v>
      </c>
      <c r="I458">
        <v>13.53</v>
      </c>
      <c r="Z458">
        <v>1</v>
      </c>
      <c r="AA458" t="e">
        <f t="array" ref="AA458">IF(OR(F458&lt;L$3,F458&gt;L$7),F458,#N/A)</f>
        <v>#N/A</v>
      </c>
      <c r="AB458">
        <f t="shared" si="8"/>
        <v>2</v>
      </c>
      <c r="AC458" t="e">
        <f t="array" ref="AC458">IF(OR(G458&lt;M$3,G458&gt;M$7),G458,#N/A)</f>
        <v>#N/A</v>
      </c>
      <c r="AD458">
        <f t="shared" si="8"/>
        <v>3</v>
      </c>
      <c r="AE458" t="e">
        <f t="array" ref="AE458">IF(OR(H458&lt;N$3,H458&gt;N$7),H458,#N/A)</f>
        <v>#N/A</v>
      </c>
      <c r="AF458">
        <f t="shared" si="8"/>
        <v>4</v>
      </c>
      <c r="AG458" t="e">
        <f t="array" ref="AG458">IF(OR(I458&lt;O$3,I458&gt;O$7),I458,#N/A)</f>
        <v>#N/A</v>
      </c>
    </row>
    <row r="459" spans="5:33" x14ac:dyDescent="0.25">
      <c r="E459">
        <v>456</v>
      </c>
      <c r="F459">
        <v>14.454545454545455</v>
      </c>
      <c r="G459">
        <v>13.8</v>
      </c>
      <c r="H459">
        <v>14.4</v>
      </c>
      <c r="I459">
        <v>13.2</v>
      </c>
      <c r="Z459">
        <v>1</v>
      </c>
      <c r="AA459" t="e">
        <f t="array" ref="AA459">IF(OR(F459&lt;L$3,F459&gt;L$7),F459,#N/A)</f>
        <v>#N/A</v>
      </c>
      <c r="AB459">
        <f t="shared" si="8"/>
        <v>2</v>
      </c>
      <c r="AC459" t="e">
        <f t="array" ref="AC459">IF(OR(G459&lt;M$3,G459&gt;M$7),G459,#N/A)</f>
        <v>#N/A</v>
      </c>
      <c r="AD459">
        <f t="shared" si="8"/>
        <v>3</v>
      </c>
      <c r="AE459" t="e">
        <f t="array" ref="AE459">IF(OR(H459&lt;N$3,H459&gt;N$7),H459,#N/A)</f>
        <v>#N/A</v>
      </c>
      <c r="AF459">
        <f t="shared" si="8"/>
        <v>4</v>
      </c>
      <c r="AG459" t="e">
        <f t="array" ref="AG459">IF(OR(I459&lt;O$3,I459&gt;O$7),I459,#N/A)</f>
        <v>#N/A</v>
      </c>
    </row>
    <row r="460" spans="5:33" x14ac:dyDescent="0.25">
      <c r="E460">
        <v>457</v>
      </c>
      <c r="F460">
        <v>16.636363636363637</v>
      </c>
      <c r="G460">
        <v>13.95</v>
      </c>
      <c r="H460">
        <v>14.9</v>
      </c>
      <c r="I460">
        <v>15.09</v>
      </c>
      <c r="Z460">
        <v>1</v>
      </c>
      <c r="AA460" t="e">
        <f t="array" ref="AA460">IF(OR(F460&lt;L$3,F460&gt;L$7),F460,#N/A)</f>
        <v>#N/A</v>
      </c>
      <c r="AB460">
        <f t="shared" si="8"/>
        <v>2</v>
      </c>
      <c r="AC460" t="e">
        <f t="array" ref="AC460">IF(OR(G460&lt;M$3,G460&gt;M$7),G460,#N/A)</f>
        <v>#N/A</v>
      </c>
      <c r="AD460">
        <f t="shared" si="8"/>
        <v>3</v>
      </c>
      <c r="AE460" t="e">
        <f t="array" ref="AE460">IF(OR(H460&lt;N$3,H460&gt;N$7),H460,#N/A)</f>
        <v>#N/A</v>
      </c>
      <c r="AF460">
        <f t="shared" si="8"/>
        <v>4</v>
      </c>
      <c r="AG460" t="e">
        <f t="array" ref="AG460">IF(OR(I460&lt;O$3,I460&gt;O$7),I460,#N/A)</f>
        <v>#N/A</v>
      </c>
    </row>
    <row r="461" spans="5:33" x14ac:dyDescent="0.25">
      <c r="E461">
        <v>458</v>
      </c>
      <c r="F461">
        <v>9.9090909090909083</v>
      </c>
      <c r="G461">
        <v>10.7</v>
      </c>
      <c r="H461">
        <v>14.62</v>
      </c>
      <c r="I461">
        <v>15.18</v>
      </c>
      <c r="Z461">
        <v>1</v>
      </c>
      <c r="AA461" t="e">
        <f t="array" ref="AA461">IF(OR(F461&lt;L$3,F461&gt;L$7),F461,#N/A)</f>
        <v>#N/A</v>
      </c>
      <c r="AB461">
        <f t="shared" si="8"/>
        <v>2</v>
      </c>
      <c r="AC461" t="e">
        <f t="array" ref="AC461">IF(OR(G461&lt;M$3,G461&gt;M$7),G461,#N/A)</f>
        <v>#N/A</v>
      </c>
      <c r="AD461">
        <f t="shared" si="8"/>
        <v>3</v>
      </c>
      <c r="AE461" t="e">
        <f t="array" ref="AE461">IF(OR(H461&lt;N$3,H461&gt;N$7),H461,#N/A)</f>
        <v>#N/A</v>
      </c>
      <c r="AF461">
        <f t="shared" si="8"/>
        <v>4</v>
      </c>
      <c r="AG461" t="e">
        <f t="array" ref="AG461">IF(OR(I461&lt;O$3,I461&gt;O$7),I461,#N/A)</f>
        <v>#N/A</v>
      </c>
    </row>
    <row r="462" spans="5:33" x14ac:dyDescent="0.25">
      <c r="E462">
        <v>459</v>
      </c>
      <c r="F462">
        <v>13</v>
      </c>
      <c r="G462">
        <v>11</v>
      </c>
      <c r="H462">
        <v>15.34</v>
      </c>
      <c r="I462">
        <v>14.08</v>
      </c>
      <c r="Z462">
        <v>1</v>
      </c>
      <c r="AA462" t="e">
        <f t="array" ref="AA462">IF(OR(F462&lt;L$3,F462&gt;L$7),F462,#N/A)</f>
        <v>#N/A</v>
      </c>
      <c r="AB462">
        <f t="shared" si="8"/>
        <v>2</v>
      </c>
      <c r="AC462" t="e">
        <f t="array" ref="AC462">IF(OR(G462&lt;M$3,G462&gt;M$7),G462,#N/A)</f>
        <v>#N/A</v>
      </c>
      <c r="AD462">
        <f t="shared" si="8"/>
        <v>3</v>
      </c>
      <c r="AE462" t="e">
        <f t="array" ref="AE462">IF(OR(H462&lt;N$3,H462&gt;N$7),H462,#N/A)</f>
        <v>#N/A</v>
      </c>
      <c r="AF462">
        <f t="shared" si="8"/>
        <v>4</v>
      </c>
      <c r="AG462" t="e">
        <f t="array" ref="AG462">IF(OR(I462&lt;O$3,I462&gt;O$7),I462,#N/A)</f>
        <v>#N/A</v>
      </c>
    </row>
    <row r="463" spans="5:33" x14ac:dyDescent="0.25">
      <c r="E463">
        <v>460</v>
      </c>
      <c r="F463">
        <v>13.272727272727273</v>
      </c>
      <c r="G463">
        <v>12.25</v>
      </c>
      <c r="H463">
        <v>13.06</v>
      </c>
      <c r="I463">
        <v>13.16</v>
      </c>
      <c r="Z463">
        <v>1</v>
      </c>
      <c r="AA463" t="e">
        <f t="array" ref="AA463">IF(OR(F463&lt;L$3,F463&gt;L$7),F463,#N/A)</f>
        <v>#N/A</v>
      </c>
      <c r="AB463">
        <f t="shared" si="8"/>
        <v>2</v>
      </c>
      <c r="AC463" t="e">
        <f t="array" ref="AC463">IF(OR(G463&lt;M$3,G463&gt;M$7),G463,#N/A)</f>
        <v>#N/A</v>
      </c>
      <c r="AD463">
        <f t="shared" si="8"/>
        <v>3</v>
      </c>
      <c r="AE463" t="e">
        <f t="array" ref="AE463">IF(OR(H463&lt;N$3,H463&gt;N$7),H463,#N/A)</f>
        <v>#N/A</v>
      </c>
      <c r="AF463">
        <f t="shared" si="8"/>
        <v>4</v>
      </c>
      <c r="AG463" t="e">
        <f t="array" ref="AG463">IF(OR(I463&lt;O$3,I463&gt;O$7),I463,#N/A)</f>
        <v>#N/A</v>
      </c>
    </row>
    <row r="464" spans="5:33" x14ac:dyDescent="0.25">
      <c r="E464">
        <v>461</v>
      </c>
      <c r="F464">
        <v>12.090909090909092</v>
      </c>
      <c r="G464">
        <v>12.95</v>
      </c>
      <c r="H464">
        <v>12.78</v>
      </c>
      <c r="I464">
        <v>14.12</v>
      </c>
      <c r="Z464">
        <v>1</v>
      </c>
      <c r="AA464" t="e">
        <f t="array" ref="AA464">IF(OR(F464&lt;L$3,F464&gt;L$7),F464,#N/A)</f>
        <v>#N/A</v>
      </c>
      <c r="AB464">
        <f t="shared" si="8"/>
        <v>2</v>
      </c>
      <c r="AC464" t="e">
        <f t="array" ref="AC464">IF(OR(G464&lt;M$3,G464&gt;M$7),G464,#N/A)</f>
        <v>#N/A</v>
      </c>
      <c r="AD464">
        <f t="shared" si="8"/>
        <v>3</v>
      </c>
      <c r="AE464" t="e">
        <f t="array" ref="AE464">IF(OR(H464&lt;N$3,H464&gt;N$7),H464,#N/A)</f>
        <v>#N/A</v>
      </c>
      <c r="AF464">
        <f t="shared" si="8"/>
        <v>4</v>
      </c>
      <c r="AG464" t="e">
        <f t="array" ref="AG464">IF(OR(I464&lt;O$3,I464&gt;O$7),I464,#N/A)</f>
        <v>#N/A</v>
      </c>
    </row>
    <row r="465" spans="5:33" x14ac:dyDescent="0.25">
      <c r="E465">
        <v>462</v>
      </c>
      <c r="F465">
        <v>14.909090909090908</v>
      </c>
      <c r="G465">
        <v>15.55</v>
      </c>
      <c r="H465">
        <v>15.36</v>
      </c>
      <c r="I465">
        <v>14.16</v>
      </c>
      <c r="Z465">
        <v>1</v>
      </c>
      <c r="AA465" t="e">
        <f t="array" ref="AA465">IF(OR(F465&lt;L$3,F465&gt;L$7),F465,#N/A)</f>
        <v>#N/A</v>
      </c>
      <c r="AB465">
        <f t="shared" si="8"/>
        <v>2</v>
      </c>
      <c r="AC465" t="e">
        <f t="array" ref="AC465">IF(OR(G465&lt;M$3,G465&gt;M$7),G465,#N/A)</f>
        <v>#N/A</v>
      </c>
      <c r="AD465">
        <f t="shared" si="8"/>
        <v>3</v>
      </c>
      <c r="AE465" t="e">
        <f t="array" ref="AE465">IF(OR(H465&lt;N$3,H465&gt;N$7),H465,#N/A)</f>
        <v>#N/A</v>
      </c>
      <c r="AF465">
        <f t="shared" si="8"/>
        <v>4</v>
      </c>
      <c r="AG465" t="e">
        <f t="array" ref="AG465">IF(OR(I465&lt;O$3,I465&gt;O$7),I465,#N/A)</f>
        <v>#N/A</v>
      </c>
    </row>
    <row r="466" spans="5:33" x14ac:dyDescent="0.25">
      <c r="E466">
        <v>463</v>
      </c>
      <c r="F466">
        <v>13.727272727272727</v>
      </c>
      <c r="G466">
        <v>14.25</v>
      </c>
      <c r="H466">
        <v>14.06</v>
      </c>
      <c r="I466">
        <v>13.37</v>
      </c>
      <c r="Z466">
        <v>1</v>
      </c>
      <c r="AA466" t="e">
        <f t="array" ref="AA466">IF(OR(F466&lt;L$3,F466&gt;L$7),F466,#N/A)</f>
        <v>#N/A</v>
      </c>
      <c r="AB466">
        <f t="shared" si="8"/>
        <v>2</v>
      </c>
      <c r="AC466" t="e">
        <f t="array" ref="AC466">IF(OR(G466&lt;M$3,G466&gt;M$7),G466,#N/A)</f>
        <v>#N/A</v>
      </c>
      <c r="AD466">
        <f t="shared" si="8"/>
        <v>3</v>
      </c>
      <c r="AE466" t="e">
        <f t="array" ref="AE466">IF(OR(H466&lt;N$3,H466&gt;N$7),H466,#N/A)</f>
        <v>#N/A</v>
      </c>
      <c r="AF466">
        <f t="shared" si="8"/>
        <v>4</v>
      </c>
      <c r="AG466" t="e">
        <f t="array" ref="AG466">IF(OR(I466&lt;O$3,I466&gt;O$7),I466,#N/A)</f>
        <v>#N/A</v>
      </c>
    </row>
    <row r="467" spans="5:33" x14ac:dyDescent="0.25">
      <c r="E467">
        <v>464</v>
      </c>
      <c r="F467">
        <v>14.272727272727273</v>
      </c>
      <c r="G467">
        <v>14.1</v>
      </c>
      <c r="H467">
        <v>12.8</v>
      </c>
      <c r="I467">
        <v>13.86</v>
      </c>
      <c r="Z467">
        <v>1</v>
      </c>
      <c r="AA467" t="e">
        <f t="array" ref="AA467">IF(OR(F467&lt;L$3,F467&gt;L$7),F467,#N/A)</f>
        <v>#N/A</v>
      </c>
      <c r="AB467">
        <f t="shared" si="8"/>
        <v>2</v>
      </c>
      <c r="AC467" t="e">
        <f t="array" ref="AC467">IF(OR(G467&lt;M$3,G467&gt;M$7),G467,#N/A)</f>
        <v>#N/A</v>
      </c>
      <c r="AD467">
        <f t="shared" si="8"/>
        <v>3</v>
      </c>
      <c r="AE467" t="e">
        <f t="array" ref="AE467">IF(OR(H467&lt;N$3,H467&gt;N$7),H467,#N/A)</f>
        <v>#N/A</v>
      </c>
      <c r="AF467">
        <f t="shared" si="8"/>
        <v>4</v>
      </c>
      <c r="AG467" t="e">
        <f t="array" ref="AG467">IF(OR(I467&lt;O$3,I467&gt;O$7),I467,#N/A)</f>
        <v>#N/A</v>
      </c>
    </row>
    <row r="468" spans="5:33" x14ac:dyDescent="0.25">
      <c r="E468">
        <v>465</v>
      </c>
      <c r="F468">
        <v>12.818181818181818</v>
      </c>
      <c r="G468">
        <v>13.35</v>
      </c>
      <c r="H468">
        <v>13.96</v>
      </c>
      <c r="I468">
        <v>14.35</v>
      </c>
      <c r="Z468">
        <v>1</v>
      </c>
      <c r="AA468" t="e">
        <f t="array" ref="AA468">IF(OR(F468&lt;L$3,F468&gt;L$7),F468,#N/A)</f>
        <v>#N/A</v>
      </c>
      <c r="AB468">
        <f t="shared" si="8"/>
        <v>2</v>
      </c>
      <c r="AC468" t="e">
        <f t="array" ref="AC468">IF(OR(G468&lt;M$3,G468&gt;M$7),G468,#N/A)</f>
        <v>#N/A</v>
      </c>
      <c r="AD468">
        <f t="shared" si="8"/>
        <v>3</v>
      </c>
      <c r="AE468" t="e">
        <f t="array" ref="AE468">IF(OR(H468&lt;N$3,H468&gt;N$7),H468,#N/A)</f>
        <v>#N/A</v>
      </c>
      <c r="AF468">
        <f t="shared" si="8"/>
        <v>4</v>
      </c>
      <c r="AG468" t="e">
        <f t="array" ref="AG468">IF(OR(I468&lt;O$3,I468&gt;O$7),I468,#N/A)</f>
        <v>#N/A</v>
      </c>
    </row>
    <row r="469" spans="5:33" x14ac:dyDescent="0.25">
      <c r="E469">
        <v>466</v>
      </c>
      <c r="F469">
        <v>10.636363636363637</v>
      </c>
      <c r="G469">
        <v>10.5</v>
      </c>
      <c r="H469">
        <v>11.46</v>
      </c>
      <c r="I469">
        <v>13.68</v>
      </c>
      <c r="Z469">
        <v>1</v>
      </c>
      <c r="AA469" t="e">
        <f t="array" ref="AA469">IF(OR(F469&lt;L$3,F469&gt;L$7),F469,#N/A)</f>
        <v>#N/A</v>
      </c>
      <c r="AB469">
        <f t="shared" si="8"/>
        <v>2</v>
      </c>
      <c r="AC469" t="e">
        <f t="array" ref="AC469">IF(OR(G469&lt;M$3,G469&gt;M$7),G469,#N/A)</f>
        <v>#N/A</v>
      </c>
      <c r="AD469">
        <f t="shared" si="8"/>
        <v>3</v>
      </c>
      <c r="AE469" t="e">
        <f t="array" ref="AE469">IF(OR(H469&lt;N$3,H469&gt;N$7),H469,#N/A)</f>
        <v>#N/A</v>
      </c>
      <c r="AF469">
        <f t="shared" si="8"/>
        <v>4</v>
      </c>
      <c r="AG469" t="e">
        <f t="array" ref="AG469">IF(OR(I469&lt;O$3,I469&gt;O$7),I469,#N/A)</f>
        <v>#N/A</v>
      </c>
    </row>
    <row r="470" spans="5:33" x14ac:dyDescent="0.25">
      <c r="E470">
        <v>467</v>
      </c>
      <c r="F470">
        <v>15.454545454545455</v>
      </c>
      <c r="G470">
        <v>13.7</v>
      </c>
      <c r="H470">
        <v>13.24</v>
      </c>
      <c r="I470">
        <v>13.82</v>
      </c>
      <c r="Z470">
        <v>1</v>
      </c>
      <c r="AA470" t="e">
        <f t="array" ref="AA470">IF(OR(F470&lt;L$3,F470&gt;L$7),F470,#N/A)</f>
        <v>#N/A</v>
      </c>
      <c r="AB470">
        <f t="shared" si="8"/>
        <v>2</v>
      </c>
      <c r="AC470" t="e">
        <f t="array" ref="AC470">IF(OR(G470&lt;M$3,G470&gt;M$7),G470,#N/A)</f>
        <v>#N/A</v>
      </c>
      <c r="AD470">
        <f t="shared" si="8"/>
        <v>3</v>
      </c>
      <c r="AE470" t="e">
        <f t="array" ref="AE470">IF(OR(H470&lt;N$3,H470&gt;N$7),H470,#N/A)</f>
        <v>#N/A</v>
      </c>
      <c r="AF470">
        <f t="shared" si="8"/>
        <v>4</v>
      </c>
      <c r="AG470" t="e">
        <f t="array" ref="AG470">IF(OR(I470&lt;O$3,I470&gt;O$7),I470,#N/A)</f>
        <v>#N/A</v>
      </c>
    </row>
    <row r="471" spans="5:33" x14ac:dyDescent="0.25">
      <c r="E471">
        <v>468</v>
      </c>
      <c r="F471">
        <v>13.272727272727273</v>
      </c>
      <c r="G471">
        <v>13.9</v>
      </c>
      <c r="H471">
        <v>14.54</v>
      </c>
      <c r="I471">
        <v>14.09</v>
      </c>
      <c r="Z471">
        <v>1</v>
      </c>
      <c r="AA471" t="e">
        <f t="array" ref="AA471">IF(OR(F471&lt;L$3,F471&gt;L$7),F471,#N/A)</f>
        <v>#N/A</v>
      </c>
      <c r="AB471">
        <f t="shared" si="8"/>
        <v>2</v>
      </c>
      <c r="AC471" t="e">
        <f t="array" ref="AC471">IF(OR(G471&lt;M$3,G471&gt;M$7),G471,#N/A)</f>
        <v>#N/A</v>
      </c>
      <c r="AD471">
        <f t="shared" si="8"/>
        <v>3</v>
      </c>
      <c r="AE471" t="e">
        <f t="array" ref="AE471">IF(OR(H471&lt;N$3,H471&gt;N$7),H471,#N/A)</f>
        <v>#N/A</v>
      </c>
      <c r="AF471">
        <f t="shared" si="8"/>
        <v>4</v>
      </c>
      <c r="AG471" t="e">
        <f t="array" ref="AG471">IF(OR(I471&lt;O$3,I471&gt;O$7),I471,#N/A)</f>
        <v>#N/A</v>
      </c>
    </row>
    <row r="472" spans="5:33" x14ac:dyDescent="0.25">
      <c r="E472">
        <v>469</v>
      </c>
      <c r="F472">
        <v>11.636363636363637</v>
      </c>
      <c r="G472">
        <v>10.9</v>
      </c>
      <c r="H472">
        <v>13.38</v>
      </c>
      <c r="I472">
        <v>13.6</v>
      </c>
      <c r="Z472">
        <v>1</v>
      </c>
      <c r="AA472" t="e">
        <f t="array" ref="AA472">IF(OR(F472&lt;L$3,F472&gt;L$7),F472,#N/A)</f>
        <v>#N/A</v>
      </c>
      <c r="AB472">
        <f t="shared" si="8"/>
        <v>2</v>
      </c>
      <c r="AC472" t="e">
        <f t="array" ref="AC472">IF(OR(G472&lt;M$3,G472&gt;M$7),G472,#N/A)</f>
        <v>#N/A</v>
      </c>
      <c r="AD472">
        <f t="shared" si="8"/>
        <v>3</v>
      </c>
      <c r="AE472" t="e">
        <f t="array" ref="AE472">IF(OR(H472&lt;N$3,H472&gt;N$7),H472,#N/A)</f>
        <v>#N/A</v>
      </c>
      <c r="AF472">
        <f t="shared" si="8"/>
        <v>4</v>
      </c>
      <c r="AG472" t="e">
        <f t="array" ref="AG472">IF(OR(I472&lt;O$3,I472&gt;O$7),I472,#N/A)</f>
        <v>#N/A</v>
      </c>
    </row>
    <row r="473" spans="5:33" x14ac:dyDescent="0.25">
      <c r="E473">
        <v>470</v>
      </c>
      <c r="F473">
        <v>14.818181818181818</v>
      </c>
      <c r="G473">
        <v>16.399999999999999</v>
      </c>
      <c r="H473">
        <v>15.72</v>
      </c>
      <c r="I473">
        <v>14.05</v>
      </c>
      <c r="Z473">
        <v>1</v>
      </c>
      <c r="AA473" t="e">
        <f t="array" ref="AA473">IF(OR(F473&lt;L$3,F473&gt;L$7),F473,#N/A)</f>
        <v>#N/A</v>
      </c>
      <c r="AB473">
        <f t="shared" si="8"/>
        <v>2</v>
      </c>
      <c r="AC473" t="e">
        <f t="array" ref="AC473">IF(OR(G473&lt;M$3,G473&gt;M$7),G473,#N/A)</f>
        <v>#N/A</v>
      </c>
      <c r="AD473">
        <f t="shared" si="8"/>
        <v>3</v>
      </c>
      <c r="AE473" t="e">
        <f t="array" ref="AE473">IF(OR(H473&lt;N$3,H473&gt;N$7),H473,#N/A)</f>
        <v>#N/A</v>
      </c>
      <c r="AF473">
        <f t="shared" si="8"/>
        <v>4</v>
      </c>
      <c r="AG473" t="e">
        <f t="array" ref="AG473">IF(OR(I473&lt;O$3,I473&gt;O$7),I473,#N/A)</f>
        <v>#N/A</v>
      </c>
    </row>
    <row r="474" spans="5:33" x14ac:dyDescent="0.25">
      <c r="E474">
        <v>471</v>
      </c>
      <c r="F474">
        <v>12.363636363636363</v>
      </c>
      <c r="G474">
        <v>13.95</v>
      </c>
      <c r="H474">
        <v>12.74</v>
      </c>
      <c r="I474">
        <v>12.7</v>
      </c>
      <c r="Z474">
        <v>1</v>
      </c>
      <c r="AA474" t="e">
        <f t="array" ref="AA474">IF(OR(F474&lt;L$3,F474&gt;L$7),F474,#N/A)</f>
        <v>#N/A</v>
      </c>
      <c r="AB474">
        <f t="shared" si="8"/>
        <v>2</v>
      </c>
      <c r="AC474" t="e">
        <f t="array" ref="AC474">IF(OR(G474&lt;M$3,G474&gt;M$7),G474,#N/A)</f>
        <v>#N/A</v>
      </c>
      <c r="AD474">
        <f t="shared" si="8"/>
        <v>3</v>
      </c>
      <c r="AE474" t="e">
        <f t="array" ref="AE474">IF(OR(H474&lt;N$3,H474&gt;N$7),H474,#N/A)</f>
        <v>#N/A</v>
      </c>
      <c r="AF474">
        <f t="shared" si="8"/>
        <v>4</v>
      </c>
      <c r="AG474" t="e">
        <f t="array" ref="AG474">IF(OR(I474&lt;O$3,I474&gt;O$7),I474,#N/A)</f>
        <v>#N/A</v>
      </c>
    </row>
    <row r="475" spans="5:33" x14ac:dyDescent="0.25">
      <c r="E475">
        <v>472</v>
      </c>
      <c r="F475">
        <v>12.727272727272727</v>
      </c>
      <c r="G475">
        <v>13.75</v>
      </c>
      <c r="H475">
        <v>14.38</v>
      </c>
      <c r="I475">
        <v>13.64</v>
      </c>
      <c r="Z475">
        <v>1</v>
      </c>
      <c r="AA475" t="e">
        <f t="array" ref="AA475">IF(OR(F475&lt;L$3,F475&gt;L$7),F475,#N/A)</f>
        <v>#N/A</v>
      </c>
      <c r="AB475">
        <f t="shared" si="8"/>
        <v>2</v>
      </c>
      <c r="AC475" t="e">
        <f t="array" ref="AC475">IF(OR(G475&lt;M$3,G475&gt;M$7),G475,#N/A)</f>
        <v>#N/A</v>
      </c>
      <c r="AD475">
        <f t="shared" si="8"/>
        <v>3</v>
      </c>
      <c r="AE475" t="e">
        <f t="array" ref="AE475">IF(OR(H475&lt;N$3,H475&gt;N$7),H475,#N/A)</f>
        <v>#N/A</v>
      </c>
      <c r="AF475">
        <f t="shared" si="8"/>
        <v>4</v>
      </c>
      <c r="AG475" t="e">
        <f t="array" ref="AG475">IF(OR(I475&lt;O$3,I475&gt;O$7),I475,#N/A)</f>
        <v>#N/A</v>
      </c>
    </row>
    <row r="476" spans="5:33" x14ac:dyDescent="0.25">
      <c r="E476">
        <v>473</v>
      </c>
      <c r="F476">
        <v>15.090909090909092</v>
      </c>
      <c r="G476">
        <v>13.3</v>
      </c>
      <c r="H476">
        <v>13.52</v>
      </c>
      <c r="I476">
        <v>14.21</v>
      </c>
      <c r="Z476">
        <v>1</v>
      </c>
      <c r="AA476" t="e">
        <f t="array" ref="AA476">IF(OR(F476&lt;L$3,F476&gt;L$7),F476,#N/A)</f>
        <v>#N/A</v>
      </c>
      <c r="AB476">
        <f t="shared" si="8"/>
        <v>2</v>
      </c>
      <c r="AC476" t="e">
        <f t="array" ref="AC476">IF(OR(G476&lt;M$3,G476&gt;M$7),G476,#N/A)</f>
        <v>#N/A</v>
      </c>
      <c r="AD476">
        <f t="shared" si="8"/>
        <v>3</v>
      </c>
      <c r="AE476" t="e">
        <f t="array" ref="AE476">IF(OR(H476&lt;N$3,H476&gt;N$7),H476,#N/A)</f>
        <v>#N/A</v>
      </c>
      <c r="AF476">
        <f t="shared" si="8"/>
        <v>4</v>
      </c>
      <c r="AG476" t="e">
        <f t="array" ref="AG476">IF(OR(I476&lt;O$3,I476&gt;O$7),I476,#N/A)</f>
        <v>#N/A</v>
      </c>
    </row>
    <row r="477" spans="5:33" x14ac:dyDescent="0.25">
      <c r="E477">
        <v>474</v>
      </c>
      <c r="F477">
        <v>16.636363636363637</v>
      </c>
      <c r="G477">
        <v>16.05</v>
      </c>
      <c r="H477">
        <v>17.600000000000001</v>
      </c>
      <c r="I477">
        <v>15.27</v>
      </c>
      <c r="Z477">
        <v>1</v>
      </c>
      <c r="AA477" t="e">
        <f t="array" ref="AA477">IF(OR(F477&lt;L$3,F477&gt;L$7),F477,#N/A)</f>
        <v>#N/A</v>
      </c>
      <c r="AB477">
        <f t="shared" si="8"/>
        <v>2</v>
      </c>
      <c r="AC477" t="e">
        <f t="array" ref="AC477">IF(OR(G477&lt;M$3,G477&gt;M$7),G477,#N/A)</f>
        <v>#N/A</v>
      </c>
      <c r="AD477">
        <f t="shared" si="8"/>
        <v>3</v>
      </c>
      <c r="AE477">
        <f t="array" ref="AE477">IF(OR(H477&lt;N$3,H477&gt;N$7),H477,#N/A)</f>
        <v>17.600000000000001</v>
      </c>
      <c r="AF477">
        <f t="shared" si="8"/>
        <v>4</v>
      </c>
      <c r="AG477" t="e">
        <f t="array" ref="AG477">IF(OR(I477&lt;O$3,I477&gt;O$7),I477,#N/A)</f>
        <v>#N/A</v>
      </c>
    </row>
    <row r="478" spans="5:33" x14ac:dyDescent="0.25">
      <c r="E478">
        <v>475</v>
      </c>
      <c r="F478">
        <v>12.909090909090908</v>
      </c>
      <c r="G478">
        <v>13.8</v>
      </c>
      <c r="H478">
        <v>13.94</v>
      </c>
      <c r="I478">
        <v>14.59</v>
      </c>
      <c r="Z478">
        <v>1</v>
      </c>
      <c r="AA478" t="e">
        <f t="array" ref="AA478">IF(OR(F478&lt;L$3,F478&gt;L$7),F478,#N/A)</f>
        <v>#N/A</v>
      </c>
      <c r="AB478">
        <f t="shared" si="8"/>
        <v>2</v>
      </c>
      <c r="AC478" t="e">
        <f t="array" ref="AC478">IF(OR(G478&lt;M$3,G478&gt;M$7),G478,#N/A)</f>
        <v>#N/A</v>
      </c>
      <c r="AD478">
        <f t="shared" si="8"/>
        <v>3</v>
      </c>
      <c r="AE478" t="e">
        <f t="array" ref="AE478">IF(OR(H478&lt;N$3,H478&gt;N$7),H478,#N/A)</f>
        <v>#N/A</v>
      </c>
      <c r="AF478">
        <f t="shared" si="8"/>
        <v>4</v>
      </c>
      <c r="AG478" t="e">
        <f t="array" ref="AG478">IF(OR(I478&lt;O$3,I478&gt;O$7),I478,#N/A)</f>
        <v>#N/A</v>
      </c>
    </row>
    <row r="479" spans="5:33" x14ac:dyDescent="0.25">
      <c r="E479">
        <v>476</v>
      </c>
      <c r="F479">
        <v>12.181818181818182</v>
      </c>
      <c r="G479">
        <v>14.85</v>
      </c>
      <c r="H479">
        <v>14.6</v>
      </c>
      <c r="I479">
        <v>15.7</v>
      </c>
      <c r="Z479">
        <v>1</v>
      </c>
      <c r="AA479" t="e">
        <f t="array" ref="AA479">IF(OR(F479&lt;L$3,F479&gt;L$7),F479,#N/A)</f>
        <v>#N/A</v>
      </c>
      <c r="AB479">
        <f t="shared" si="8"/>
        <v>2</v>
      </c>
      <c r="AC479" t="e">
        <f t="array" ref="AC479">IF(OR(G479&lt;M$3,G479&gt;M$7),G479,#N/A)</f>
        <v>#N/A</v>
      </c>
      <c r="AD479">
        <f t="shared" si="8"/>
        <v>3</v>
      </c>
      <c r="AE479" t="e">
        <f t="array" ref="AE479">IF(OR(H479&lt;N$3,H479&gt;N$7),H479,#N/A)</f>
        <v>#N/A</v>
      </c>
      <c r="AF479">
        <f t="shared" si="8"/>
        <v>4</v>
      </c>
      <c r="AG479" t="e">
        <f t="array" ref="AG479">IF(OR(I479&lt;O$3,I479&gt;O$7),I479,#N/A)</f>
        <v>#N/A</v>
      </c>
    </row>
    <row r="480" spans="5:33" x14ac:dyDescent="0.25">
      <c r="E480">
        <v>477</v>
      </c>
      <c r="F480">
        <v>10.818181818181818</v>
      </c>
      <c r="G480">
        <v>12.3</v>
      </c>
      <c r="H480">
        <v>13.1</v>
      </c>
      <c r="I480">
        <v>13.59</v>
      </c>
      <c r="Z480">
        <v>1</v>
      </c>
      <c r="AA480" t="e">
        <f t="array" ref="AA480">IF(OR(F480&lt;L$3,F480&gt;L$7),F480,#N/A)</f>
        <v>#N/A</v>
      </c>
      <c r="AB480">
        <f t="shared" si="8"/>
        <v>2</v>
      </c>
      <c r="AC480" t="e">
        <f t="array" ref="AC480">IF(OR(G480&lt;M$3,G480&gt;M$7),G480,#N/A)</f>
        <v>#N/A</v>
      </c>
      <c r="AD480">
        <f t="shared" si="8"/>
        <v>3</v>
      </c>
      <c r="AE480" t="e">
        <f t="array" ref="AE480">IF(OR(H480&lt;N$3,H480&gt;N$7),H480,#N/A)</f>
        <v>#N/A</v>
      </c>
      <c r="AF480">
        <f t="shared" si="8"/>
        <v>4</v>
      </c>
      <c r="AG480" t="e">
        <f t="array" ref="AG480">IF(OR(I480&lt;O$3,I480&gt;O$7),I480,#N/A)</f>
        <v>#N/A</v>
      </c>
    </row>
    <row r="481" spans="5:33" x14ac:dyDescent="0.25">
      <c r="E481">
        <v>478</v>
      </c>
      <c r="F481">
        <v>18.272727272727273</v>
      </c>
      <c r="G481">
        <v>18.05</v>
      </c>
      <c r="H481">
        <v>16.78</v>
      </c>
      <c r="I481">
        <v>15.01</v>
      </c>
      <c r="Z481">
        <v>1</v>
      </c>
      <c r="AA481" t="e">
        <f t="array" ref="AA481">IF(OR(F481&lt;L$3,F481&gt;L$7),F481,#N/A)</f>
        <v>#N/A</v>
      </c>
      <c r="AB481">
        <f t="shared" si="8"/>
        <v>2</v>
      </c>
      <c r="AC481" t="e">
        <f t="array" ref="AC481">IF(OR(G481&lt;M$3,G481&gt;M$7),G481,#N/A)</f>
        <v>#N/A</v>
      </c>
      <c r="AD481">
        <f t="shared" si="8"/>
        <v>3</v>
      </c>
      <c r="AE481" t="e">
        <f t="array" ref="AE481">IF(OR(H481&lt;N$3,H481&gt;N$7),H481,#N/A)</f>
        <v>#N/A</v>
      </c>
      <c r="AF481">
        <f t="shared" si="8"/>
        <v>4</v>
      </c>
      <c r="AG481" t="e">
        <f t="array" ref="AG481">IF(OR(I481&lt;O$3,I481&gt;O$7),I481,#N/A)</f>
        <v>#N/A</v>
      </c>
    </row>
    <row r="482" spans="5:33" x14ac:dyDescent="0.25">
      <c r="E482">
        <v>479</v>
      </c>
      <c r="F482">
        <v>15.909090909090908</v>
      </c>
      <c r="G482">
        <v>13.25</v>
      </c>
      <c r="H482">
        <v>11.94</v>
      </c>
      <c r="I482">
        <v>13.37</v>
      </c>
      <c r="Z482">
        <v>1</v>
      </c>
      <c r="AA482" t="e">
        <f t="array" ref="AA482">IF(OR(F482&lt;L$3,F482&gt;L$7),F482,#N/A)</f>
        <v>#N/A</v>
      </c>
      <c r="AB482">
        <f t="shared" si="8"/>
        <v>2</v>
      </c>
      <c r="AC482" t="e">
        <f t="array" ref="AC482">IF(OR(G482&lt;M$3,G482&gt;M$7),G482,#N/A)</f>
        <v>#N/A</v>
      </c>
      <c r="AD482">
        <f t="shared" si="8"/>
        <v>3</v>
      </c>
      <c r="AE482" t="e">
        <f t="array" ref="AE482">IF(OR(H482&lt;N$3,H482&gt;N$7),H482,#N/A)</f>
        <v>#N/A</v>
      </c>
      <c r="AF482">
        <f t="shared" si="8"/>
        <v>4</v>
      </c>
      <c r="AG482" t="e">
        <f t="array" ref="AG482">IF(OR(I482&lt;O$3,I482&gt;O$7),I482,#N/A)</f>
        <v>#N/A</v>
      </c>
    </row>
    <row r="483" spans="5:33" x14ac:dyDescent="0.25">
      <c r="E483">
        <v>480</v>
      </c>
      <c r="F483">
        <v>12.454545454545455</v>
      </c>
      <c r="G483">
        <v>13.7</v>
      </c>
      <c r="H483">
        <v>13.38</v>
      </c>
      <c r="I483">
        <v>13.14</v>
      </c>
      <c r="Z483">
        <v>1</v>
      </c>
      <c r="AA483" t="e">
        <f t="array" ref="AA483">IF(OR(F483&lt;L$3,F483&gt;L$7),F483,#N/A)</f>
        <v>#N/A</v>
      </c>
      <c r="AB483">
        <f t="shared" si="8"/>
        <v>2</v>
      </c>
      <c r="AC483" t="e">
        <f t="array" ref="AC483">IF(OR(G483&lt;M$3,G483&gt;M$7),G483,#N/A)</f>
        <v>#N/A</v>
      </c>
      <c r="AD483">
        <f t="shared" si="8"/>
        <v>3</v>
      </c>
      <c r="AE483" t="e">
        <f t="array" ref="AE483">IF(OR(H483&lt;N$3,H483&gt;N$7),H483,#N/A)</f>
        <v>#N/A</v>
      </c>
      <c r="AF483">
        <f t="shared" si="8"/>
        <v>4</v>
      </c>
      <c r="AG483" t="e">
        <f t="array" ref="AG483">IF(OR(I483&lt;O$3,I483&gt;O$7),I483,#N/A)</f>
        <v>#N/A</v>
      </c>
    </row>
    <row r="484" spans="5:33" x14ac:dyDescent="0.25">
      <c r="E484">
        <v>481</v>
      </c>
      <c r="F484">
        <v>13.363636363636363</v>
      </c>
      <c r="G484">
        <v>15.85</v>
      </c>
      <c r="H484">
        <v>14.34</v>
      </c>
      <c r="I484">
        <v>14.47</v>
      </c>
      <c r="Z484">
        <v>1</v>
      </c>
      <c r="AA484" t="e">
        <f t="array" ref="AA484">IF(OR(F484&lt;L$3,F484&gt;L$7),F484,#N/A)</f>
        <v>#N/A</v>
      </c>
      <c r="AB484">
        <f t="shared" si="8"/>
        <v>2</v>
      </c>
      <c r="AC484" t="e">
        <f t="array" ref="AC484">IF(OR(G484&lt;M$3,G484&gt;M$7),G484,#N/A)</f>
        <v>#N/A</v>
      </c>
      <c r="AD484">
        <f t="shared" si="8"/>
        <v>3</v>
      </c>
      <c r="AE484" t="e">
        <f t="array" ref="AE484">IF(OR(H484&lt;N$3,H484&gt;N$7),H484,#N/A)</f>
        <v>#N/A</v>
      </c>
      <c r="AF484">
        <f t="shared" si="8"/>
        <v>4</v>
      </c>
      <c r="AG484" t="e">
        <f t="array" ref="AG484">IF(OR(I484&lt;O$3,I484&gt;O$7),I484,#N/A)</f>
        <v>#N/A</v>
      </c>
    </row>
    <row r="485" spans="5:33" x14ac:dyDescent="0.25">
      <c r="E485">
        <v>482</v>
      </c>
      <c r="F485">
        <v>15.545454545454545</v>
      </c>
      <c r="G485">
        <v>13.5</v>
      </c>
      <c r="H485">
        <v>13.74</v>
      </c>
      <c r="I485">
        <v>13.5</v>
      </c>
      <c r="Z485">
        <v>1</v>
      </c>
      <c r="AA485" t="e">
        <f t="array" ref="AA485">IF(OR(F485&lt;L$3,F485&gt;L$7),F485,#N/A)</f>
        <v>#N/A</v>
      </c>
      <c r="AB485">
        <f t="shared" si="8"/>
        <v>2</v>
      </c>
      <c r="AC485" t="e">
        <f t="array" ref="AC485">IF(OR(G485&lt;M$3,G485&gt;M$7),G485,#N/A)</f>
        <v>#N/A</v>
      </c>
      <c r="AD485">
        <f t="shared" si="8"/>
        <v>3</v>
      </c>
      <c r="AE485" t="e">
        <f t="array" ref="AE485">IF(OR(H485&lt;N$3,H485&gt;N$7),H485,#N/A)</f>
        <v>#N/A</v>
      </c>
      <c r="AF485">
        <f t="shared" si="8"/>
        <v>4</v>
      </c>
      <c r="AG485" t="e">
        <f t="array" ref="AG485">IF(OR(I485&lt;O$3,I485&gt;O$7),I485,#N/A)</f>
        <v>#N/A</v>
      </c>
    </row>
    <row r="486" spans="5:33" x14ac:dyDescent="0.25">
      <c r="E486">
        <v>483</v>
      </c>
      <c r="F486">
        <v>14</v>
      </c>
      <c r="G486">
        <v>13.15</v>
      </c>
      <c r="H486">
        <v>13.58</v>
      </c>
      <c r="I486">
        <v>14.44</v>
      </c>
      <c r="Z486">
        <v>1</v>
      </c>
      <c r="AA486" t="e">
        <f t="array" ref="AA486">IF(OR(F486&lt;L$3,F486&gt;L$7),F486,#N/A)</f>
        <v>#N/A</v>
      </c>
      <c r="AB486">
        <f t="shared" si="8"/>
        <v>2</v>
      </c>
      <c r="AC486" t="e">
        <f t="array" ref="AC486">IF(OR(G486&lt;M$3,G486&gt;M$7),G486,#N/A)</f>
        <v>#N/A</v>
      </c>
      <c r="AD486">
        <f t="shared" si="8"/>
        <v>3</v>
      </c>
      <c r="AE486" t="e">
        <f t="array" ref="AE486">IF(OR(H486&lt;N$3,H486&gt;N$7),H486,#N/A)</f>
        <v>#N/A</v>
      </c>
      <c r="AF486">
        <f t="shared" si="8"/>
        <v>4</v>
      </c>
      <c r="AG486" t="e">
        <f t="array" ref="AG486">IF(OR(I486&lt;O$3,I486&gt;O$7),I486,#N/A)</f>
        <v>#N/A</v>
      </c>
    </row>
    <row r="487" spans="5:33" x14ac:dyDescent="0.25">
      <c r="E487">
        <v>484</v>
      </c>
      <c r="F487">
        <v>17.545454545454547</v>
      </c>
      <c r="G487">
        <v>16.05</v>
      </c>
      <c r="H487">
        <v>14.98</v>
      </c>
      <c r="I487">
        <v>14.77</v>
      </c>
      <c r="Z487">
        <v>1</v>
      </c>
      <c r="AA487" t="e">
        <f t="array" ref="AA487">IF(OR(F487&lt;L$3,F487&gt;L$7),F487,#N/A)</f>
        <v>#N/A</v>
      </c>
      <c r="AB487">
        <f t="shared" si="8"/>
        <v>2</v>
      </c>
      <c r="AC487" t="e">
        <f t="array" ref="AC487">IF(OR(G487&lt;M$3,G487&gt;M$7),G487,#N/A)</f>
        <v>#N/A</v>
      </c>
      <c r="AD487">
        <f t="shared" si="8"/>
        <v>3</v>
      </c>
      <c r="AE487" t="e">
        <f t="array" ref="AE487">IF(OR(H487&lt;N$3,H487&gt;N$7),H487,#N/A)</f>
        <v>#N/A</v>
      </c>
      <c r="AF487">
        <f t="shared" si="8"/>
        <v>4</v>
      </c>
      <c r="AG487" t="e">
        <f t="array" ref="AG487">IF(OR(I487&lt;O$3,I487&gt;O$7),I487,#N/A)</f>
        <v>#N/A</v>
      </c>
    </row>
    <row r="488" spans="5:33" x14ac:dyDescent="0.25">
      <c r="E488">
        <v>485</v>
      </c>
      <c r="F488">
        <v>14</v>
      </c>
      <c r="G488">
        <v>12.85</v>
      </c>
      <c r="H488">
        <v>14.24</v>
      </c>
      <c r="I488">
        <v>14.43</v>
      </c>
      <c r="Z488">
        <v>1</v>
      </c>
      <c r="AA488" t="e">
        <f t="array" ref="AA488">IF(OR(F488&lt;L$3,F488&gt;L$7),F488,#N/A)</f>
        <v>#N/A</v>
      </c>
      <c r="AB488">
        <f t="shared" si="8"/>
        <v>2</v>
      </c>
      <c r="AC488" t="e">
        <f t="array" ref="AC488">IF(OR(G488&lt;M$3,G488&gt;M$7),G488,#N/A)</f>
        <v>#N/A</v>
      </c>
      <c r="AD488">
        <f t="shared" si="8"/>
        <v>3</v>
      </c>
      <c r="AE488" t="e">
        <f t="array" ref="AE488">IF(OR(H488&lt;N$3,H488&gt;N$7),H488,#N/A)</f>
        <v>#N/A</v>
      </c>
      <c r="AF488">
        <f t="shared" si="8"/>
        <v>4</v>
      </c>
      <c r="AG488" t="e">
        <f t="array" ref="AG488">IF(OR(I488&lt;O$3,I488&gt;O$7),I488,#N/A)</f>
        <v>#N/A</v>
      </c>
    </row>
    <row r="489" spans="5:33" x14ac:dyDescent="0.25">
      <c r="E489">
        <v>486</v>
      </c>
      <c r="F489">
        <v>9.454545454545455</v>
      </c>
      <c r="G489">
        <v>10.1</v>
      </c>
      <c r="H489">
        <v>11.74</v>
      </c>
      <c r="I489">
        <v>13.55</v>
      </c>
      <c r="Z489">
        <v>1</v>
      </c>
      <c r="AA489" t="e">
        <f t="array" ref="AA489">IF(OR(F489&lt;L$3,F489&gt;L$7),F489,#N/A)</f>
        <v>#N/A</v>
      </c>
      <c r="AB489">
        <f t="shared" si="8"/>
        <v>2</v>
      </c>
      <c r="AC489" t="e">
        <f t="array" ref="AC489">IF(OR(G489&lt;M$3,G489&gt;M$7),G489,#N/A)</f>
        <v>#N/A</v>
      </c>
      <c r="AD489">
        <f t="shared" si="8"/>
        <v>3</v>
      </c>
      <c r="AE489" t="e">
        <f t="array" ref="AE489">IF(OR(H489&lt;N$3,H489&gt;N$7),H489,#N/A)</f>
        <v>#N/A</v>
      </c>
      <c r="AF489">
        <f t="shared" si="8"/>
        <v>4</v>
      </c>
      <c r="AG489" t="e">
        <f t="array" ref="AG489">IF(OR(I489&lt;O$3,I489&gt;O$7),I489,#N/A)</f>
        <v>#N/A</v>
      </c>
    </row>
    <row r="490" spans="5:33" x14ac:dyDescent="0.25">
      <c r="E490">
        <v>487</v>
      </c>
      <c r="F490">
        <v>15.636363636363637</v>
      </c>
      <c r="G490">
        <v>15.3</v>
      </c>
      <c r="H490">
        <v>14.22</v>
      </c>
      <c r="I490">
        <v>14.12</v>
      </c>
      <c r="Z490">
        <v>1</v>
      </c>
      <c r="AA490" t="e">
        <f t="array" ref="AA490">IF(OR(F490&lt;L$3,F490&gt;L$7),F490,#N/A)</f>
        <v>#N/A</v>
      </c>
      <c r="AB490">
        <f t="shared" si="8"/>
        <v>2</v>
      </c>
      <c r="AC490" t="e">
        <f t="array" ref="AC490">IF(OR(G490&lt;M$3,G490&gt;M$7),G490,#N/A)</f>
        <v>#N/A</v>
      </c>
      <c r="AD490">
        <f t="shared" si="8"/>
        <v>3</v>
      </c>
      <c r="AE490" t="e">
        <f t="array" ref="AE490">IF(OR(H490&lt;N$3,H490&gt;N$7),H490,#N/A)</f>
        <v>#N/A</v>
      </c>
      <c r="AF490">
        <f t="shared" si="8"/>
        <v>4</v>
      </c>
      <c r="AG490" t="e">
        <f t="array" ref="AG490">IF(OR(I490&lt;O$3,I490&gt;O$7),I490,#N/A)</f>
        <v>#N/A</v>
      </c>
    </row>
    <row r="491" spans="5:33" x14ac:dyDescent="0.25">
      <c r="E491">
        <v>488</v>
      </c>
      <c r="F491">
        <v>21.181818181818183</v>
      </c>
      <c r="G491">
        <v>16.8</v>
      </c>
      <c r="H491">
        <v>15.36</v>
      </c>
      <c r="I491">
        <v>14.62</v>
      </c>
      <c r="Z491">
        <v>1</v>
      </c>
      <c r="AA491">
        <f t="array" ref="AA491">IF(OR(F491&lt;L$3,F491&gt;L$7),F491,#N/A)</f>
        <v>21.181818181818183</v>
      </c>
      <c r="AB491">
        <f t="shared" si="8"/>
        <v>2</v>
      </c>
      <c r="AC491" t="e">
        <f t="array" ref="AC491">IF(OR(G491&lt;M$3,G491&gt;M$7),G491,#N/A)</f>
        <v>#N/A</v>
      </c>
      <c r="AD491">
        <f t="shared" si="8"/>
        <v>3</v>
      </c>
      <c r="AE491" t="e">
        <f t="array" ref="AE491">IF(OR(H491&lt;N$3,H491&gt;N$7),H491,#N/A)</f>
        <v>#N/A</v>
      </c>
      <c r="AF491">
        <f t="shared" si="8"/>
        <v>4</v>
      </c>
      <c r="AG491" t="e">
        <f t="array" ref="AG491">IF(OR(I491&lt;O$3,I491&gt;O$7),I491,#N/A)</f>
        <v>#N/A</v>
      </c>
    </row>
    <row r="492" spans="5:33" x14ac:dyDescent="0.25">
      <c r="E492">
        <v>489</v>
      </c>
      <c r="F492">
        <v>10.272727272727273</v>
      </c>
      <c r="G492">
        <v>11.45</v>
      </c>
      <c r="H492">
        <v>13.24</v>
      </c>
      <c r="I492">
        <v>13.42</v>
      </c>
      <c r="Z492">
        <v>1</v>
      </c>
      <c r="AA492" t="e">
        <f t="array" ref="AA492">IF(OR(F492&lt;L$3,F492&gt;L$7),F492,#N/A)</f>
        <v>#N/A</v>
      </c>
      <c r="AB492">
        <f t="shared" si="8"/>
        <v>2</v>
      </c>
      <c r="AC492" t="e">
        <f t="array" ref="AC492">IF(OR(G492&lt;M$3,G492&gt;M$7),G492,#N/A)</f>
        <v>#N/A</v>
      </c>
      <c r="AD492">
        <f t="shared" si="8"/>
        <v>3</v>
      </c>
      <c r="AE492" t="e">
        <f t="array" ref="AE492">IF(OR(H492&lt;N$3,H492&gt;N$7),H492,#N/A)</f>
        <v>#N/A</v>
      </c>
      <c r="AF492">
        <f t="shared" si="8"/>
        <v>4</v>
      </c>
      <c r="AG492" t="e">
        <f t="array" ref="AG492">IF(OR(I492&lt;O$3,I492&gt;O$7),I492,#N/A)</f>
        <v>#N/A</v>
      </c>
    </row>
    <row r="493" spans="5:33" x14ac:dyDescent="0.25">
      <c r="E493">
        <v>490</v>
      </c>
      <c r="F493">
        <v>11.363636363636363</v>
      </c>
      <c r="G493">
        <v>12.25</v>
      </c>
      <c r="H493">
        <v>12.2</v>
      </c>
      <c r="I493">
        <v>12.94</v>
      </c>
      <c r="Z493">
        <v>1</v>
      </c>
      <c r="AA493" t="e">
        <f t="array" ref="AA493">IF(OR(F493&lt;L$3,F493&gt;L$7),F493,#N/A)</f>
        <v>#N/A</v>
      </c>
      <c r="AB493">
        <f t="shared" si="8"/>
        <v>2</v>
      </c>
      <c r="AC493" t="e">
        <f t="array" ref="AC493">IF(OR(G493&lt;M$3,G493&gt;M$7),G493,#N/A)</f>
        <v>#N/A</v>
      </c>
      <c r="AD493">
        <f t="shared" si="8"/>
        <v>3</v>
      </c>
      <c r="AE493" t="e">
        <f t="array" ref="AE493">IF(OR(H493&lt;N$3,H493&gt;N$7),H493,#N/A)</f>
        <v>#N/A</v>
      </c>
      <c r="AF493">
        <f t="shared" si="8"/>
        <v>4</v>
      </c>
      <c r="AG493" t="e">
        <f t="array" ref="AG493">IF(OR(I493&lt;O$3,I493&gt;O$7),I493,#N/A)</f>
        <v>#N/A</v>
      </c>
    </row>
    <row r="494" spans="5:33" x14ac:dyDescent="0.25">
      <c r="E494">
        <v>491</v>
      </c>
      <c r="F494">
        <v>13.818181818181818</v>
      </c>
      <c r="G494">
        <v>16.05</v>
      </c>
      <c r="H494">
        <v>15.26</v>
      </c>
      <c r="I494">
        <v>14.59</v>
      </c>
      <c r="Z494">
        <v>1</v>
      </c>
      <c r="AA494" t="e">
        <f t="array" ref="AA494">IF(OR(F494&lt;L$3,F494&gt;L$7),F494,#N/A)</f>
        <v>#N/A</v>
      </c>
      <c r="AB494">
        <f t="shared" si="8"/>
        <v>2</v>
      </c>
      <c r="AC494" t="e">
        <f t="array" ref="AC494">IF(OR(G494&lt;M$3,G494&gt;M$7),G494,#N/A)</f>
        <v>#N/A</v>
      </c>
      <c r="AD494">
        <f t="shared" si="8"/>
        <v>3</v>
      </c>
      <c r="AE494" t="e">
        <f t="array" ref="AE494">IF(OR(H494&lt;N$3,H494&gt;N$7),H494,#N/A)</f>
        <v>#N/A</v>
      </c>
      <c r="AF494">
        <f t="shared" si="8"/>
        <v>4</v>
      </c>
      <c r="AG494" t="e">
        <f t="array" ref="AG494">IF(OR(I494&lt;O$3,I494&gt;O$7),I494,#N/A)</f>
        <v>#N/A</v>
      </c>
    </row>
    <row r="495" spans="5:33" x14ac:dyDescent="0.25">
      <c r="E495">
        <v>492</v>
      </c>
      <c r="F495">
        <v>18.181818181818183</v>
      </c>
      <c r="G495">
        <v>16.45</v>
      </c>
      <c r="H495">
        <v>14.54</v>
      </c>
      <c r="I495">
        <v>14.26</v>
      </c>
      <c r="Z495">
        <v>1</v>
      </c>
      <c r="AA495" t="e">
        <f t="array" ref="AA495">IF(OR(F495&lt;L$3,F495&gt;L$7),F495,#N/A)</f>
        <v>#N/A</v>
      </c>
      <c r="AB495">
        <f t="shared" si="8"/>
        <v>2</v>
      </c>
      <c r="AC495" t="e">
        <f t="array" ref="AC495">IF(OR(G495&lt;M$3,G495&gt;M$7),G495,#N/A)</f>
        <v>#N/A</v>
      </c>
      <c r="AD495">
        <f t="shared" si="8"/>
        <v>3</v>
      </c>
      <c r="AE495" t="e">
        <f t="array" ref="AE495">IF(OR(H495&lt;N$3,H495&gt;N$7),H495,#N/A)</f>
        <v>#N/A</v>
      </c>
      <c r="AF495">
        <f t="shared" si="8"/>
        <v>4</v>
      </c>
      <c r="AG495" t="e">
        <f t="array" ref="AG495">IF(OR(I495&lt;O$3,I495&gt;O$7),I495,#N/A)</f>
        <v>#N/A</v>
      </c>
    </row>
    <row r="496" spans="5:33" x14ac:dyDescent="0.25">
      <c r="E496">
        <v>493</v>
      </c>
      <c r="F496">
        <v>13.363636363636363</v>
      </c>
      <c r="G496">
        <v>14.85</v>
      </c>
      <c r="H496">
        <v>14.44</v>
      </c>
      <c r="I496">
        <v>14.3</v>
      </c>
      <c r="Z496">
        <v>1</v>
      </c>
      <c r="AA496" t="e">
        <f t="array" ref="AA496">IF(OR(F496&lt;L$3,F496&gt;L$7),F496,#N/A)</f>
        <v>#N/A</v>
      </c>
      <c r="AB496">
        <f t="shared" si="8"/>
        <v>2</v>
      </c>
      <c r="AC496" t="e">
        <f t="array" ref="AC496">IF(OR(G496&lt;M$3,G496&gt;M$7),G496,#N/A)</f>
        <v>#N/A</v>
      </c>
      <c r="AD496">
        <f t="shared" si="8"/>
        <v>3</v>
      </c>
      <c r="AE496" t="e">
        <f t="array" ref="AE496">IF(OR(H496&lt;N$3,H496&gt;N$7),H496,#N/A)</f>
        <v>#N/A</v>
      </c>
      <c r="AF496">
        <f t="shared" si="8"/>
        <v>4</v>
      </c>
      <c r="AG496" t="e">
        <f t="array" ref="AG496">IF(OR(I496&lt;O$3,I496&gt;O$7),I496,#N/A)</f>
        <v>#N/A</v>
      </c>
    </row>
    <row r="497" spans="5:33" x14ac:dyDescent="0.25">
      <c r="E497">
        <v>494</v>
      </c>
      <c r="F497">
        <v>16.818181818181817</v>
      </c>
      <c r="G497">
        <v>15.4</v>
      </c>
      <c r="H497">
        <v>15.4</v>
      </c>
      <c r="I497">
        <v>14.17</v>
      </c>
      <c r="Z497">
        <v>1</v>
      </c>
      <c r="AA497" t="e">
        <f t="array" ref="AA497">IF(OR(F497&lt;L$3,F497&gt;L$7),F497,#N/A)</f>
        <v>#N/A</v>
      </c>
      <c r="AB497">
        <f t="shared" si="8"/>
        <v>2</v>
      </c>
      <c r="AC497" t="e">
        <f t="array" ref="AC497">IF(OR(G497&lt;M$3,G497&gt;M$7),G497,#N/A)</f>
        <v>#N/A</v>
      </c>
      <c r="AD497">
        <f t="shared" si="8"/>
        <v>3</v>
      </c>
      <c r="AE497" t="e">
        <f t="array" ref="AE497">IF(OR(H497&lt;N$3,H497&gt;N$7),H497,#N/A)</f>
        <v>#N/A</v>
      </c>
      <c r="AF497">
        <f t="shared" si="8"/>
        <v>4</v>
      </c>
      <c r="AG497" t="e">
        <f t="array" ref="AG497">IF(OR(I497&lt;O$3,I497&gt;O$7),I497,#N/A)</f>
        <v>#N/A</v>
      </c>
    </row>
    <row r="498" spans="5:33" x14ac:dyDescent="0.25">
      <c r="E498">
        <v>495</v>
      </c>
      <c r="F498">
        <v>9.7272727272727266</v>
      </c>
      <c r="G498">
        <v>13.6</v>
      </c>
      <c r="H498">
        <v>14.18</v>
      </c>
      <c r="I498">
        <v>14.28</v>
      </c>
      <c r="Z498">
        <v>1</v>
      </c>
      <c r="AA498" t="e">
        <f t="array" ref="AA498">IF(OR(F498&lt;L$3,F498&gt;L$7),F498,#N/A)</f>
        <v>#N/A</v>
      </c>
      <c r="AB498">
        <f t="shared" si="8"/>
        <v>2</v>
      </c>
      <c r="AC498" t="e">
        <f t="array" ref="AC498">IF(OR(G498&lt;M$3,G498&gt;M$7),G498,#N/A)</f>
        <v>#N/A</v>
      </c>
      <c r="AD498">
        <f t="shared" si="8"/>
        <v>3</v>
      </c>
      <c r="AE498" t="e">
        <f t="array" ref="AE498">IF(OR(H498&lt;N$3,H498&gt;N$7),H498,#N/A)</f>
        <v>#N/A</v>
      </c>
      <c r="AF498">
        <f t="shared" si="8"/>
        <v>4</v>
      </c>
      <c r="AG498" t="e">
        <f t="array" ref="AG498">IF(OR(I498&lt;O$3,I498&gt;O$7),I498,#N/A)</f>
        <v>#N/A</v>
      </c>
    </row>
    <row r="499" spans="5:33" x14ac:dyDescent="0.25">
      <c r="E499">
        <v>496</v>
      </c>
      <c r="F499">
        <v>13.454545454545455</v>
      </c>
      <c r="G499">
        <v>12.6</v>
      </c>
      <c r="H499">
        <v>13.66</v>
      </c>
      <c r="I499">
        <v>14.22</v>
      </c>
      <c r="Z499">
        <v>1</v>
      </c>
      <c r="AA499" t="e">
        <f t="array" ref="AA499">IF(OR(F499&lt;L$3,F499&gt;L$7),F499,#N/A)</f>
        <v>#N/A</v>
      </c>
      <c r="AB499">
        <f t="shared" si="8"/>
        <v>2</v>
      </c>
      <c r="AC499" t="e">
        <f t="array" ref="AC499">IF(OR(G499&lt;M$3,G499&gt;M$7),G499,#N/A)</f>
        <v>#N/A</v>
      </c>
      <c r="AD499">
        <f t="shared" si="8"/>
        <v>3</v>
      </c>
      <c r="AE499" t="e">
        <f t="array" ref="AE499">IF(OR(H499&lt;N$3,H499&gt;N$7),H499,#N/A)</f>
        <v>#N/A</v>
      </c>
      <c r="AF499">
        <f t="shared" si="8"/>
        <v>4</v>
      </c>
      <c r="AG499" t="e">
        <f t="array" ref="AG499">IF(OR(I499&lt;O$3,I499&gt;O$7),I499,#N/A)</f>
        <v>#N/A</v>
      </c>
    </row>
    <row r="500" spans="5:33" x14ac:dyDescent="0.25">
      <c r="E500">
        <v>497</v>
      </c>
      <c r="F500">
        <v>15.454545454545455</v>
      </c>
      <c r="G500">
        <v>16.899999999999999</v>
      </c>
      <c r="H500">
        <v>15.7</v>
      </c>
      <c r="I500">
        <v>15.15</v>
      </c>
      <c r="Z500">
        <v>1</v>
      </c>
      <c r="AA500" t="e">
        <f t="array" ref="AA500">IF(OR(F500&lt;L$3,F500&gt;L$7),F500,#N/A)</f>
        <v>#N/A</v>
      </c>
      <c r="AB500">
        <f t="shared" si="8"/>
        <v>2</v>
      </c>
      <c r="AC500" t="e">
        <f t="array" ref="AC500">IF(OR(G500&lt;M$3,G500&gt;M$7),G500,#N/A)</f>
        <v>#N/A</v>
      </c>
      <c r="AD500">
        <f t="shared" si="8"/>
        <v>3</v>
      </c>
      <c r="AE500" t="e">
        <f t="array" ref="AE500">IF(OR(H500&lt;N$3,H500&gt;N$7),H500,#N/A)</f>
        <v>#N/A</v>
      </c>
      <c r="AF500">
        <f t="shared" si="8"/>
        <v>4</v>
      </c>
      <c r="AG500" t="e">
        <f t="array" ref="AG500">IF(OR(I500&lt;O$3,I500&gt;O$7),I500,#N/A)</f>
        <v>#N/A</v>
      </c>
    </row>
    <row r="501" spans="5:33" x14ac:dyDescent="0.25">
      <c r="E501">
        <v>498</v>
      </c>
      <c r="F501">
        <v>18.09090909090909</v>
      </c>
      <c r="G501">
        <v>17.2</v>
      </c>
      <c r="H501">
        <v>15.16</v>
      </c>
      <c r="I501">
        <v>14.01</v>
      </c>
      <c r="Z501">
        <v>1</v>
      </c>
      <c r="AA501" t="e">
        <f t="array" ref="AA501">IF(OR(F501&lt;L$3,F501&gt;L$7),F501,#N/A)</f>
        <v>#N/A</v>
      </c>
      <c r="AB501">
        <f t="shared" si="8"/>
        <v>2</v>
      </c>
      <c r="AC501" t="e">
        <f t="array" ref="AC501">IF(OR(G501&lt;M$3,G501&gt;M$7),G501,#N/A)</f>
        <v>#N/A</v>
      </c>
      <c r="AD501">
        <f t="shared" si="8"/>
        <v>3</v>
      </c>
      <c r="AE501" t="e">
        <f t="array" ref="AE501">IF(OR(H501&lt;N$3,H501&gt;N$7),H501,#N/A)</f>
        <v>#N/A</v>
      </c>
      <c r="AF501">
        <f t="shared" si="8"/>
        <v>4</v>
      </c>
      <c r="AG501" t="e">
        <f t="array" ref="AG501">IF(OR(I501&lt;O$3,I501&gt;O$7),I501,#N/A)</f>
        <v>#N/A</v>
      </c>
    </row>
    <row r="502" spans="5:33" x14ac:dyDescent="0.25">
      <c r="E502">
        <v>499</v>
      </c>
      <c r="F502">
        <v>13.454545454545455</v>
      </c>
      <c r="G502">
        <v>12.75</v>
      </c>
      <c r="H502">
        <v>13.2</v>
      </c>
      <c r="I502">
        <v>14.26</v>
      </c>
      <c r="Z502">
        <v>1</v>
      </c>
      <c r="AA502" t="e">
        <f t="array" ref="AA502">IF(OR(F502&lt;L$3,F502&gt;L$7),F502,#N/A)</f>
        <v>#N/A</v>
      </c>
      <c r="AB502">
        <f t="shared" si="8"/>
        <v>2</v>
      </c>
      <c r="AC502" t="e">
        <f t="array" ref="AC502">IF(OR(G502&lt;M$3,G502&gt;M$7),G502,#N/A)</f>
        <v>#N/A</v>
      </c>
      <c r="AD502">
        <f t="shared" si="8"/>
        <v>3</v>
      </c>
      <c r="AE502" t="e">
        <f t="array" ref="AE502">IF(OR(H502&lt;N$3,H502&gt;N$7),H502,#N/A)</f>
        <v>#N/A</v>
      </c>
      <c r="AF502">
        <f t="shared" si="8"/>
        <v>4</v>
      </c>
      <c r="AG502" t="e">
        <f t="array" ref="AG502">IF(OR(I502&lt;O$3,I502&gt;O$7),I502,#N/A)</f>
        <v>#N/A</v>
      </c>
    </row>
    <row r="503" spans="5:33" x14ac:dyDescent="0.25">
      <c r="E503">
        <v>500</v>
      </c>
      <c r="F503">
        <v>13.727272727272727</v>
      </c>
      <c r="G503">
        <v>13.15</v>
      </c>
      <c r="H503">
        <v>13.06</v>
      </c>
      <c r="I503">
        <v>13.01</v>
      </c>
      <c r="Z503">
        <v>1</v>
      </c>
      <c r="AA503" t="e">
        <f t="array" ref="AA503">IF(OR(F503&lt;L$3,F503&gt;L$7),F503,#N/A)</f>
        <v>#N/A</v>
      </c>
      <c r="AB503">
        <f t="shared" si="8"/>
        <v>2</v>
      </c>
      <c r="AC503" t="e">
        <f t="array" ref="AC503">IF(OR(G503&lt;M$3,G503&gt;M$7),G503,#N/A)</f>
        <v>#N/A</v>
      </c>
      <c r="AD503">
        <f t="shared" si="8"/>
        <v>3</v>
      </c>
      <c r="AE503" t="e">
        <f t="array" ref="AE503">IF(OR(H503&lt;N$3,H503&gt;N$7),H503,#N/A)</f>
        <v>#N/A</v>
      </c>
      <c r="AF503">
        <f t="shared" si="8"/>
        <v>4</v>
      </c>
      <c r="AG503" t="e">
        <f t="array" ref="AG503">IF(OR(I503&lt;O$3,I503&gt;O$7),I503,#N/A)</f>
        <v>#N/A</v>
      </c>
    </row>
    <row r="504" spans="5:33" x14ac:dyDescent="0.25">
      <c r="E504">
        <v>501</v>
      </c>
      <c r="F504">
        <v>11.727272727272727</v>
      </c>
      <c r="G504">
        <v>12.4</v>
      </c>
      <c r="H504">
        <v>13.48</v>
      </c>
      <c r="I504">
        <v>13.21</v>
      </c>
      <c r="Z504">
        <v>1</v>
      </c>
      <c r="AA504" t="e">
        <f t="array" ref="AA504">IF(OR(F504&lt;L$3,F504&gt;L$7),F504,#N/A)</f>
        <v>#N/A</v>
      </c>
      <c r="AB504">
        <f t="shared" si="8"/>
        <v>2</v>
      </c>
      <c r="AC504" t="e">
        <f t="array" ref="AC504">IF(OR(G504&lt;M$3,G504&gt;M$7),G504,#N/A)</f>
        <v>#N/A</v>
      </c>
      <c r="AD504">
        <f t="shared" si="8"/>
        <v>3</v>
      </c>
      <c r="AE504" t="e">
        <f t="array" ref="AE504">IF(OR(H504&lt;N$3,H504&gt;N$7),H504,#N/A)</f>
        <v>#N/A</v>
      </c>
      <c r="AF504">
        <f t="shared" si="8"/>
        <v>4</v>
      </c>
      <c r="AG504" t="e">
        <f t="array" ref="AG504">IF(OR(I504&lt;O$3,I504&gt;O$7),I504,#N/A)</f>
        <v>#N/A</v>
      </c>
    </row>
    <row r="505" spans="5:33" x14ac:dyDescent="0.25">
      <c r="E505">
        <v>502</v>
      </c>
      <c r="F505">
        <v>13.636363636363637</v>
      </c>
      <c r="G505">
        <v>14.2</v>
      </c>
      <c r="H505">
        <v>14.26</v>
      </c>
      <c r="I505">
        <v>14.13</v>
      </c>
      <c r="Z505">
        <v>1</v>
      </c>
      <c r="AA505" t="e">
        <f t="array" ref="AA505">IF(OR(F505&lt;L$3,F505&gt;L$7),F505,#N/A)</f>
        <v>#N/A</v>
      </c>
      <c r="AB505">
        <f t="shared" si="8"/>
        <v>2</v>
      </c>
      <c r="AC505" t="e">
        <f t="array" ref="AC505">IF(OR(G505&lt;M$3,G505&gt;M$7),G505,#N/A)</f>
        <v>#N/A</v>
      </c>
      <c r="AD505">
        <f t="shared" si="8"/>
        <v>3</v>
      </c>
      <c r="AE505" t="e">
        <f t="array" ref="AE505">IF(OR(H505&lt;N$3,H505&gt;N$7),H505,#N/A)</f>
        <v>#N/A</v>
      </c>
      <c r="AF505">
        <f t="shared" si="8"/>
        <v>4</v>
      </c>
      <c r="AG505" t="e">
        <f t="array" ref="AG505">IF(OR(I505&lt;O$3,I505&gt;O$7),I505,#N/A)</f>
        <v>#N/A</v>
      </c>
    </row>
    <row r="506" spans="5:33" x14ac:dyDescent="0.25">
      <c r="E506">
        <v>503</v>
      </c>
      <c r="F506">
        <v>12.181818181818182</v>
      </c>
      <c r="G506">
        <v>16.25</v>
      </c>
      <c r="H506">
        <v>15.18</v>
      </c>
      <c r="I506">
        <v>14.02</v>
      </c>
      <c r="Z506">
        <v>1</v>
      </c>
      <c r="AA506" t="e">
        <f t="array" ref="AA506">IF(OR(F506&lt;L$3,F506&gt;L$7),F506,#N/A)</f>
        <v>#N/A</v>
      </c>
      <c r="AB506">
        <f t="shared" si="8"/>
        <v>2</v>
      </c>
      <c r="AC506" t="e">
        <f t="array" ref="AC506">IF(OR(G506&lt;M$3,G506&gt;M$7),G506,#N/A)</f>
        <v>#N/A</v>
      </c>
      <c r="AD506">
        <f t="shared" si="8"/>
        <v>3</v>
      </c>
      <c r="AE506" t="e">
        <f t="array" ref="AE506">IF(OR(H506&lt;N$3,H506&gt;N$7),H506,#N/A)</f>
        <v>#N/A</v>
      </c>
      <c r="AF506">
        <f t="shared" si="8"/>
        <v>4</v>
      </c>
      <c r="AG506" t="e">
        <f t="array" ref="AG506">IF(OR(I506&lt;O$3,I506&gt;O$7),I506,#N/A)</f>
        <v>#N/A</v>
      </c>
    </row>
    <row r="507" spans="5:33" x14ac:dyDescent="0.25">
      <c r="E507">
        <v>504</v>
      </c>
      <c r="F507">
        <v>15.545454545454545</v>
      </c>
      <c r="G507">
        <v>13.35</v>
      </c>
      <c r="H507">
        <v>14.22</v>
      </c>
      <c r="I507">
        <v>14.33</v>
      </c>
      <c r="Z507">
        <v>1</v>
      </c>
      <c r="AA507" t="e">
        <f t="array" ref="AA507">IF(OR(F507&lt;L$3,F507&gt;L$7),F507,#N/A)</f>
        <v>#N/A</v>
      </c>
      <c r="AB507">
        <f t="shared" si="8"/>
        <v>2</v>
      </c>
      <c r="AC507" t="e">
        <f t="array" ref="AC507">IF(OR(G507&lt;M$3,G507&gt;M$7),G507,#N/A)</f>
        <v>#N/A</v>
      </c>
      <c r="AD507">
        <f t="shared" si="8"/>
        <v>3</v>
      </c>
      <c r="AE507" t="e">
        <f t="array" ref="AE507">IF(OR(H507&lt;N$3,H507&gt;N$7),H507,#N/A)</f>
        <v>#N/A</v>
      </c>
      <c r="AF507">
        <f t="shared" si="8"/>
        <v>4</v>
      </c>
      <c r="AG507" t="e">
        <f t="array" ref="AG507">IF(OR(I507&lt;O$3,I507&gt;O$7),I507,#N/A)</f>
        <v>#N/A</v>
      </c>
    </row>
    <row r="508" spans="5:33" x14ac:dyDescent="0.25">
      <c r="E508">
        <v>505</v>
      </c>
      <c r="F508">
        <v>9.8181818181818183</v>
      </c>
      <c r="G508">
        <v>11.3</v>
      </c>
      <c r="H508">
        <v>13.46</v>
      </c>
      <c r="I508">
        <v>14.17</v>
      </c>
      <c r="Z508">
        <v>1</v>
      </c>
      <c r="AA508" t="e">
        <f t="array" ref="AA508">IF(OR(F508&lt;L$3,F508&gt;L$7),F508,#N/A)</f>
        <v>#N/A</v>
      </c>
      <c r="AB508">
        <f t="shared" si="8"/>
        <v>2</v>
      </c>
      <c r="AC508" t="e">
        <f t="array" ref="AC508">IF(OR(G508&lt;M$3,G508&gt;M$7),G508,#N/A)</f>
        <v>#N/A</v>
      </c>
      <c r="AD508">
        <f t="shared" si="8"/>
        <v>3</v>
      </c>
      <c r="AE508" t="e">
        <f t="array" ref="AE508">IF(OR(H508&lt;N$3,H508&gt;N$7),H508,#N/A)</f>
        <v>#N/A</v>
      </c>
      <c r="AF508">
        <f t="shared" si="8"/>
        <v>4</v>
      </c>
      <c r="AG508" t="e">
        <f t="array" ref="AG508">IF(OR(I508&lt;O$3,I508&gt;O$7),I508,#N/A)</f>
        <v>#N/A</v>
      </c>
    </row>
    <row r="509" spans="5:33" x14ac:dyDescent="0.25">
      <c r="E509">
        <v>506</v>
      </c>
      <c r="F509">
        <v>14.545454545454545</v>
      </c>
      <c r="G509">
        <v>13.7</v>
      </c>
      <c r="H509">
        <v>13.94</v>
      </c>
      <c r="I509">
        <v>14.63</v>
      </c>
      <c r="Z509">
        <v>1</v>
      </c>
      <c r="AA509" t="e">
        <f t="array" ref="AA509">IF(OR(F509&lt;L$3,F509&gt;L$7),F509,#N/A)</f>
        <v>#N/A</v>
      </c>
      <c r="AB509">
        <f t="shared" si="8"/>
        <v>2</v>
      </c>
      <c r="AC509" t="e">
        <f t="array" ref="AC509">IF(OR(G509&lt;M$3,G509&gt;M$7),G509,#N/A)</f>
        <v>#N/A</v>
      </c>
      <c r="AD509">
        <f t="shared" si="8"/>
        <v>3</v>
      </c>
      <c r="AE509" t="e">
        <f t="array" ref="AE509">IF(OR(H509&lt;N$3,H509&gt;N$7),H509,#N/A)</f>
        <v>#N/A</v>
      </c>
      <c r="AF509">
        <f t="shared" si="8"/>
        <v>4</v>
      </c>
      <c r="AG509" t="e">
        <f t="array" ref="AG509">IF(OR(I509&lt;O$3,I509&gt;O$7),I509,#N/A)</f>
        <v>#N/A</v>
      </c>
    </row>
    <row r="510" spans="5:33" x14ac:dyDescent="0.25">
      <c r="E510">
        <v>507</v>
      </c>
      <c r="F510">
        <v>11.818181818181818</v>
      </c>
      <c r="G510">
        <v>11.15</v>
      </c>
      <c r="H510">
        <v>12.4</v>
      </c>
      <c r="I510">
        <v>14.03</v>
      </c>
      <c r="Z510">
        <v>1</v>
      </c>
      <c r="AA510" t="e">
        <f t="array" ref="AA510">IF(OR(F510&lt;L$3,F510&gt;L$7),F510,#N/A)</f>
        <v>#N/A</v>
      </c>
      <c r="AB510">
        <f t="shared" si="8"/>
        <v>2</v>
      </c>
      <c r="AC510" t="e">
        <f t="array" ref="AC510">IF(OR(G510&lt;M$3,G510&gt;M$7),G510,#N/A)</f>
        <v>#N/A</v>
      </c>
      <c r="AD510">
        <f t="shared" si="8"/>
        <v>3</v>
      </c>
      <c r="AE510" t="e">
        <f t="array" ref="AE510">IF(OR(H510&lt;N$3,H510&gt;N$7),H510,#N/A)</f>
        <v>#N/A</v>
      </c>
      <c r="AF510">
        <f t="shared" si="8"/>
        <v>4</v>
      </c>
      <c r="AG510" t="e">
        <f t="array" ref="AG510">IF(OR(I510&lt;O$3,I510&gt;O$7),I510,#N/A)</f>
        <v>#N/A</v>
      </c>
    </row>
    <row r="511" spans="5:33" x14ac:dyDescent="0.25">
      <c r="E511">
        <v>508</v>
      </c>
      <c r="F511">
        <v>17</v>
      </c>
      <c r="G511">
        <v>16.600000000000001</v>
      </c>
      <c r="H511">
        <v>15.28</v>
      </c>
      <c r="I511">
        <v>14.12</v>
      </c>
      <c r="Z511">
        <v>1</v>
      </c>
      <c r="AA511" t="e">
        <f t="array" ref="AA511">IF(OR(F511&lt;L$3,F511&gt;L$7),F511,#N/A)</f>
        <v>#N/A</v>
      </c>
      <c r="AB511">
        <f t="shared" si="8"/>
        <v>2</v>
      </c>
      <c r="AC511" t="e">
        <f t="array" ref="AC511">IF(OR(G511&lt;M$3,G511&gt;M$7),G511,#N/A)</f>
        <v>#N/A</v>
      </c>
      <c r="AD511">
        <f t="shared" si="8"/>
        <v>3</v>
      </c>
      <c r="AE511" t="e">
        <f t="array" ref="AE511">IF(OR(H511&lt;N$3,H511&gt;N$7),H511,#N/A)</f>
        <v>#N/A</v>
      </c>
      <c r="AF511">
        <f t="shared" si="8"/>
        <v>4</v>
      </c>
      <c r="AG511" t="e">
        <f t="array" ref="AG511">IF(OR(I511&lt;O$3,I511&gt;O$7),I511,#N/A)</f>
        <v>#N/A</v>
      </c>
    </row>
    <row r="512" spans="5:33" x14ac:dyDescent="0.25">
      <c r="E512">
        <v>509</v>
      </c>
      <c r="F512">
        <v>13.636363636363637</v>
      </c>
      <c r="G512">
        <v>12.75</v>
      </c>
      <c r="H512">
        <v>14.08</v>
      </c>
      <c r="I512">
        <v>13.77</v>
      </c>
      <c r="Z512">
        <v>1</v>
      </c>
      <c r="AA512" t="e">
        <f t="array" ref="AA512">IF(OR(F512&lt;L$3,F512&gt;L$7),F512,#N/A)</f>
        <v>#N/A</v>
      </c>
      <c r="AB512">
        <f t="shared" si="8"/>
        <v>2</v>
      </c>
      <c r="AC512" t="e">
        <f t="array" ref="AC512">IF(OR(G512&lt;M$3,G512&gt;M$7),G512,#N/A)</f>
        <v>#N/A</v>
      </c>
      <c r="AD512">
        <f t="shared" si="8"/>
        <v>3</v>
      </c>
      <c r="AE512" t="e">
        <f t="array" ref="AE512">IF(OR(H512&lt;N$3,H512&gt;N$7),H512,#N/A)</f>
        <v>#N/A</v>
      </c>
      <c r="AF512">
        <f t="shared" si="8"/>
        <v>4</v>
      </c>
      <c r="AG512" t="e">
        <f t="array" ref="AG512">IF(OR(I512&lt;O$3,I512&gt;O$7),I512,#N/A)</f>
        <v>#N/A</v>
      </c>
    </row>
    <row r="513" spans="5:33" x14ac:dyDescent="0.25">
      <c r="E513">
        <v>510</v>
      </c>
      <c r="F513">
        <v>11.636363636363637</v>
      </c>
      <c r="G513">
        <v>13.05</v>
      </c>
      <c r="H513">
        <v>14.12</v>
      </c>
      <c r="I513">
        <v>13.66</v>
      </c>
      <c r="Z513">
        <v>1</v>
      </c>
      <c r="AA513" t="e">
        <f t="array" ref="AA513">IF(OR(F513&lt;L$3,F513&gt;L$7),F513,#N/A)</f>
        <v>#N/A</v>
      </c>
      <c r="AB513">
        <f t="shared" si="8"/>
        <v>2</v>
      </c>
      <c r="AC513" t="e">
        <f t="array" ref="AC513">IF(OR(G513&lt;M$3,G513&gt;M$7),G513,#N/A)</f>
        <v>#N/A</v>
      </c>
      <c r="AD513">
        <f t="shared" si="8"/>
        <v>3</v>
      </c>
      <c r="AE513" t="e">
        <f t="array" ref="AE513">IF(OR(H513&lt;N$3,H513&gt;N$7),H513,#N/A)</f>
        <v>#N/A</v>
      </c>
      <c r="AF513">
        <f t="shared" si="8"/>
        <v>4</v>
      </c>
      <c r="AG513" t="e">
        <f t="array" ref="AG513">IF(OR(I513&lt;O$3,I513&gt;O$7),I513,#N/A)</f>
        <v>#N/A</v>
      </c>
    </row>
    <row r="514" spans="5:33" x14ac:dyDescent="0.25">
      <c r="E514">
        <v>511</v>
      </c>
      <c r="F514">
        <v>17.09090909090909</v>
      </c>
      <c r="G514">
        <v>15.35</v>
      </c>
      <c r="H514">
        <v>14.18</v>
      </c>
      <c r="I514">
        <v>13.81</v>
      </c>
      <c r="Z514">
        <v>1</v>
      </c>
      <c r="AA514" t="e">
        <f t="array" ref="AA514">IF(OR(F514&lt;L$3,F514&gt;L$7),F514,#N/A)</f>
        <v>#N/A</v>
      </c>
      <c r="AB514">
        <f t="shared" si="8"/>
        <v>2</v>
      </c>
      <c r="AC514" t="e">
        <f t="array" ref="AC514">IF(OR(G514&lt;M$3,G514&gt;M$7),G514,#N/A)</f>
        <v>#N/A</v>
      </c>
      <c r="AD514">
        <f t="shared" si="8"/>
        <v>3</v>
      </c>
      <c r="AE514" t="e">
        <f t="array" ref="AE514">IF(OR(H514&lt;N$3,H514&gt;N$7),H514,#N/A)</f>
        <v>#N/A</v>
      </c>
      <c r="AF514">
        <f t="shared" si="8"/>
        <v>4</v>
      </c>
      <c r="AG514" t="e">
        <f t="array" ref="AG514">IF(OR(I514&lt;O$3,I514&gt;O$7),I514,#N/A)</f>
        <v>#N/A</v>
      </c>
    </row>
    <row r="515" spans="5:33" x14ac:dyDescent="0.25">
      <c r="E515">
        <v>512</v>
      </c>
      <c r="F515">
        <v>16</v>
      </c>
      <c r="G515">
        <v>13.35</v>
      </c>
      <c r="H515">
        <v>14.36</v>
      </c>
      <c r="I515">
        <v>13.91</v>
      </c>
      <c r="Z515">
        <v>1</v>
      </c>
      <c r="AA515" t="e">
        <f t="array" ref="AA515">IF(OR(F515&lt;L$3,F515&gt;L$7),F515,#N/A)</f>
        <v>#N/A</v>
      </c>
      <c r="AB515">
        <f t="shared" si="8"/>
        <v>2</v>
      </c>
      <c r="AC515" t="e">
        <f t="array" ref="AC515">IF(OR(G515&lt;M$3,G515&gt;M$7),G515,#N/A)</f>
        <v>#N/A</v>
      </c>
      <c r="AD515">
        <f t="shared" si="8"/>
        <v>3</v>
      </c>
      <c r="AE515" t="e">
        <f t="array" ref="AE515">IF(OR(H515&lt;N$3,H515&gt;N$7),H515,#N/A)</f>
        <v>#N/A</v>
      </c>
      <c r="AF515">
        <f t="shared" si="8"/>
        <v>4</v>
      </c>
      <c r="AG515" t="e">
        <f t="array" ref="AG515">IF(OR(I515&lt;O$3,I515&gt;O$7),I515,#N/A)</f>
        <v>#N/A</v>
      </c>
    </row>
    <row r="516" spans="5:33" x14ac:dyDescent="0.25">
      <c r="E516">
        <v>513</v>
      </c>
      <c r="F516">
        <v>14.727272727272727</v>
      </c>
      <c r="G516">
        <v>14.85</v>
      </c>
      <c r="H516">
        <v>14.86</v>
      </c>
      <c r="I516">
        <v>13.89</v>
      </c>
      <c r="Z516">
        <v>1</v>
      </c>
      <c r="AA516" t="e">
        <f t="array" ref="AA516">IF(OR(F516&lt;L$3,F516&gt;L$7),F516,#N/A)</f>
        <v>#N/A</v>
      </c>
      <c r="AB516">
        <f t="shared" si="8"/>
        <v>2</v>
      </c>
      <c r="AC516" t="e">
        <f t="array" ref="AC516">IF(OR(G516&lt;M$3,G516&gt;M$7),G516,#N/A)</f>
        <v>#N/A</v>
      </c>
      <c r="AD516">
        <f t="shared" si="8"/>
        <v>3</v>
      </c>
      <c r="AE516" t="e">
        <f t="array" ref="AE516">IF(OR(H516&lt;N$3,H516&gt;N$7),H516,#N/A)</f>
        <v>#N/A</v>
      </c>
      <c r="AF516">
        <f t="shared" si="8"/>
        <v>4</v>
      </c>
      <c r="AG516" t="e">
        <f t="array" ref="AG516">IF(OR(I516&lt;O$3,I516&gt;O$7),I516,#N/A)</f>
        <v>#N/A</v>
      </c>
    </row>
    <row r="517" spans="5:33" x14ac:dyDescent="0.25">
      <c r="E517">
        <v>514</v>
      </c>
      <c r="F517">
        <v>13.454545454545455</v>
      </c>
      <c r="G517">
        <v>14.7</v>
      </c>
      <c r="H517">
        <v>12.36</v>
      </c>
      <c r="I517">
        <v>14.03</v>
      </c>
      <c r="Z517">
        <v>1</v>
      </c>
      <c r="AA517" t="e">
        <f t="array" ref="AA517">IF(OR(F517&lt;L$3,F517&gt;L$7),F517,#N/A)</f>
        <v>#N/A</v>
      </c>
      <c r="AB517">
        <f t="shared" ref="AB517:AF580" si="9">Z517+1</f>
        <v>2</v>
      </c>
      <c r="AC517" t="e">
        <f t="array" ref="AC517">IF(OR(G517&lt;M$3,G517&gt;M$7),G517,#N/A)</f>
        <v>#N/A</v>
      </c>
      <c r="AD517">
        <f t="shared" si="9"/>
        <v>3</v>
      </c>
      <c r="AE517" t="e">
        <f t="array" ref="AE517">IF(OR(H517&lt;N$3,H517&gt;N$7),H517,#N/A)</f>
        <v>#N/A</v>
      </c>
      <c r="AF517">
        <f t="shared" si="9"/>
        <v>4</v>
      </c>
      <c r="AG517" t="e">
        <f t="array" ref="AG517">IF(OR(I517&lt;O$3,I517&gt;O$7),I517,#N/A)</f>
        <v>#N/A</v>
      </c>
    </row>
    <row r="518" spans="5:33" x14ac:dyDescent="0.25">
      <c r="E518">
        <v>515</v>
      </c>
      <c r="F518">
        <v>15</v>
      </c>
      <c r="G518">
        <v>14.75</v>
      </c>
      <c r="H518">
        <v>14.58</v>
      </c>
      <c r="I518">
        <v>14.62</v>
      </c>
      <c r="Z518">
        <v>1</v>
      </c>
      <c r="AA518" t="e">
        <f t="array" ref="AA518">IF(OR(F518&lt;L$3,F518&gt;L$7),F518,#N/A)</f>
        <v>#N/A</v>
      </c>
      <c r="AB518">
        <f t="shared" si="9"/>
        <v>2</v>
      </c>
      <c r="AC518" t="e">
        <f t="array" ref="AC518">IF(OR(G518&lt;M$3,G518&gt;M$7),G518,#N/A)</f>
        <v>#N/A</v>
      </c>
      <c r="AD518">
        <f t="shared" si="9"/>
        <v>3</v>
      </c>
      <c r="AE518" t="e">
        <f t="array" ref="AE518">IF(OR(H518&lt;N$3,H518&gt;N$7),H518,#N/A)</f>
        <v>#N/A</v>
      </c>
      <c r="AF518">
        <f t="shared" si="9"/>
        <v>4</v>
      </c>
      <c r="AG518" t="e">
        <f t="array" ref="AG518">IF(OR(I518&lt;O$3,I518&gt;O$7),I518,#N/A)</f>
        <v>#N/A</v>
      </c>
    </row>
    <row r="519" spans="5:33" x14ac:dyDescent="0.25">
      <c r="E519">
        <v>516</v>
      </c>
      <c r="F519">
        <v>14</v>
      </c>
      <c r="G519">
        <v>13.05</v>
      </c>
      <c r="H519">
        <v>12.3</v>
      </c>
      <c r="I519">
        <v>13.39</v>
      </c>
      <c r="Z519">
        <v>1</v>
      </c>
      <c r="AA519" t="e">
        <f t="array" ref="AA519">IF(OR(F519&lt;L$3,F519&gt;L$7),F519,#N/A)</f>
        <v>#N/A</v>
      </c>
      <c r="AB519">
        <f t="shared" si="9"/>
        <v>2</v>
      </c>
      <c r="AC519" t="e">
        <f t="array" ref="AC519">IF(OR(G519&lt;M$3,G519&gt;M$7),G519,#N/A)</f>
        <v>#N/A</v>
      </c>
      <c r="AD519">
        <f t="shared" si="9"/>
        <v>3</v>
      </c>
      <c r="AE519" t="e">
        <f t="array" ref="AE519">IF(OR(H519&lt;N$3,H519&gt;N$7),H519,#N/A)</f>
        <v>#N/A</v>
      </c>
      <c r="AF519">
        <f t="shared" si="9"/>
        <v>4</v>
      </c>
      <c r="AG519" t="e">
        <f t="array" ref="AG519">IF(OR(I519&lt;O$3,I519&gt;O$7),I519,#N/A)</f>
        <v>#N/A</v>
      </c>
    </row>
    <row r="520" spans="5:33" x14ac:dyDescent="0.25">
      <c r="E520">
        <v>517</v>
      </c>
      <c r="F520">
        <v>12.454545454545455</v>
      </c>
      <c r="G520">
        <v>12.45</v>
      </c>
      <c r="H520">
        <v>13.64</v>
      </c>
      <c r="I520">
        <v>13.32</v>
      </c>
      <c r="Z520">
        <v>1</v>
      </c>
      <c r="AA520" t="e">
        <f t="array" ref="AA520">IF(OR(F520&lt;L$3,F520&gt;L$7),F520,#N/A)</f>
        <v>#N/A</v>
      </c>
      <c r="AB520">
        <f t="shared" si="9"/>
        <v>2</v>
      </c>
      <c r="AC520" t="e">
        <f t="array" ref="AC520">IF(OR(G520&lt;M$3,G520&gt;M$7),G520,#N/A)</f>
        <v>#N/A</v>
      </c>
      <c r="AD520">
        <f t="shared" si="9"/>
        <v>3</v>
      </c>
      <c r="AE520" t="e">
        <f t="array" ref="AE520">IF(OR(H520&lt;N$3,H520&gt;N$7),H520,#N/A)</f>
        <v>#N/A</v>
      </c>
      <c r="AF520">
        <f t="shared" si="9"/>
        <v>4</v>
      </c>
      <c r="AG520" t="e">
        <f t="array" ref="AG520">IF(OR(I520&lt;O$3,I520&gt;O$7),I520,#N/A)</f>
        <v>#N/A</v>
      </c>
    </row>
    <row r="521" spans="5:33" x14ac:dyDescent="0.25">
      <c r="E521">
        <v>518</v>
      </c>
      <c r="F521">
        <v>13.454545454545455</v>
      </c>
      <c r="G521">
        <v>15.75</v>
      </c>
      <c r="H521">
        <v>14.8</v>
      </c>
      <c r="I521">
        <v>14.74</v>
      </c>
      <c r="Z521">
        <v>1</v>
      </c>
      <c r="AA521" t="e">
        <f t="array" ref="AA521">IF(OR(F521&lt;L$3,F521&gt;L$7),F521,#N/A)</f>
        <v>#N/A</v>
      </c>
      <c r="AB521">
        <f t="shared" si="9"/>
        <v>2</v>
      </c>
      <c r="AC521" t="e">
        <f t="array" ref="AC521">IF(OR(G521&lt;M$3,G521&gt;M$7),G521,#N/A)</f>
        <v>#N/A</v>
      </c>
      <c r="AD521">
        <f t="shared" si="9"/>
        <v>3</v>
      </c>
      <c r="AE521" t="e">
        <f t="array" ref="AE521">IF(OR(H521&lt;N$3,H521&gt;N$7),H521,#N/A)</f>
        <v>#N/A</v>
      </c>
      <c r="AF521">
        <f t="shared" si="9"/>
        <v>4</v>
      </c>
      <c r="AG521" t="e">
        <f t="array" ref="AG521">IF(OR(I521&lt;O$3,I521&gt;O$7),I521,#N/A)</f>
        <v>#N/A</v>
      </c>
    </row>
    <row r="522" spans="5:33" x14ac:dyDescent="0.25">
      <c r="E522">
        <v>519</v>
      </c>
      <c r="F522">
        <v>17.636363636363637</v>
      </c>
      <c r="G522">
        <v>15.4</v>
      </c>
      <c r="H522">
        <v>15.22</v>
      </c>
      <c r="I522">
        <v>14.53</v>
      </c>
      <c r="Z522">
        <v>1</v>
      </c>
      <c r="AA522" t="e">
        <f t="array" ref="AA522">IF(OR(F522&lt;L$3,F522&gt;L$7),F522,#N/A)</f>
        <v>#N/A</v>
      </c>
      <c r="AB522">
        <f t="shared" si="9"/>
        <v>2</v>
      </c>
      <c r="AC522" t="e">
        <f t="array" ref="AC522">IF(OR(G522&lt;M$3,G522&gt;M$7),G522,#N/A)</f>
        <v>#N/A</v>
      </c>
      <c r="AD522">
        <f t="shared" si="9"/>
        <v>3</v>
      </c>
      <c r="AE522" t="e">
        <f t="array" ref="AE522">IF(OR(H522&lt;N$3,H522&gt;N$7),H522,#N/A)</f>
        <v>#N/A</v>
      </c>
      <c r="AF522">
        <f t="shared" si="9"/>
        <v>4</v>
      </c>
      <c r="AG522" t="e">
        <f t="array" ref="AG522">IF(OR(I522&lt;O$3,I522&gt;O$7),I522,#N/A)</f>
        <v>#N/A</v>
      </c>
    </row>
    <row r="523" spans="5:33" x14ac:dyDescent="0.25">
      <c r="E523">
        <v>520</v>
      </c>
      <c r="F523">
        <v>16.636363636363637</v>
      </c>
      <c r="G523">
        <v>16.95</v>
      </c>
      <c r="H523">
        <v>17.22</v>
      </c>
      <c r="I523">
        <v>14.74</v>
      </c>
      <c r="Z523">
        <v>1</v>
      </c>
      <c r="AA523" t="e">
        <f t="array" ref="AA523">IF(OR(F523&lt;L$3,F523&gt;L$7),F523,#N/A)</f>
        <v>#N/A</v>
      </c>
      <c r="AB523">
        <f t="shared" si="9"/>
        <v>2</v>
      </c>
      <c r="AC523" t="e">
        <f t="array" ref="AC523">IF(OR(G523&lt;M$3,G523&gt;M$7),G523,#N/A)</f>
        <v>#N/A</v>
      </c>
      <c r="AD523">
        <f t="shared" si="9"/>
        <v>3</v>
      </c>
      <c r="AE523">
        <f t="array" ref="AE523">IF(OR(H523&lt;N$3,H523&gt;N$7),H523,#N/A)</f>
        <v>17.22</v>
      </c>
      <c r="AF523">
        <f t="shared" si="9"/>
        <v>4</v>
      </c>
      <c r="AG523" t="e">
        <f t="array" ref="AG523">IF(OR(I523&lt;O$3,I523&gt;O$7),I523,#N/A)</f>
        <v>#N/A</v>
      </c>
    </row>
    <row r="524" spans="5:33" x14ac:dyDescent="0.25">
      <c r="E524">
        <v>521</v>
      </c>
      <c r="F524">
        <v>14.818181818181818</v>
      </c>
      <c r="G524">
        <v>15.6</v>
      </c>
      <c r="H524">
        <v>14.84</v>
      </c>
      <c r="I524">
        <v>15.39</v>
      </c>
      <c r="Z524">
        <v>1</v>
      </c>
      <c r="AA524" t="e">
        <f t="array" ref="AA524">IF(OR(F524&lt;L$3,F524&gt;L$7),F524,#N/A)</f>
        <v>#N/A</v>
      </c>
      <c r="AB524">
        <f t="shared" si="9"/>
        <v>2</v>
      </c>
      <c r="AC524" t="e">
        <f t="array" ref="AC524">IF(OR(G524&lt;M$3,G524&gt;M$7),G524,#N/A)</f>
        <v>#N/A</v>
      </c>
      <c r="AD524">
        <f t="shared" si="9"/>
        <v>3</v>
      </c>
      <c r="AE524" t="e">
        <f t="array" ref="AE524">IF(OR(H524&lt;N$3,H524&gt;N$7),H524,#N/A)</f>
        <v>#N/A</v>
      </c>
      <c r="AF524">
        <f t="shared" si="9"/>
        <v>4</v>
      </c>
      <c r="AG524" t="e">
        <f t="array" ref="AG524">IF(OR(I524&lt;O$3,I524&gt;O$7),I524,#N/A)</f>
        <v>#N/A</v>
      </c>
    </row>
    <row r="525" spans="5:33" x14ac:dyDescent="0.25">
      <c r="E525">
        <v>522</v>
      </c>
      <c r="F525">
        <v>9.8181818181818183</v>
      </c>
      <c r="G525">
        <v>12.15</v>
      </c>
      <c r="H525">
        <v>13.94</v>
      </c>
      <c r="I525">
        <v>14.59</v>
      </c>
      <c r="Z525">
        <v>1</v>
      </c>
      <c r="AA525" t="e">
        <f t="array" ref="AA525">IF(OR(F525&lt;L$3,F525&gt;L$7),F525,#N/A)</f>
        <v>#N/A</v>
      </c>
      <c r="AB525">
        <f t="shared" si="9"/>
        <v>2</v>
      </c>
      <c r="AC525" t="e">
        <f t="array" ref="AC525">IF(OR(G525&lt;M$3,G525&gt;M$7),G525,#N/A)</f>
        <v>#N/A</v>
      </c>
      <c r="AD525">
        <f t="shared" si="9"/>
        <v>3</v>
      </c>
      <c r="AE525" t="e">
        <f t="array" ref="AE525">IF(OR(H525&lt;N$3,H525&gt;N$7),H525,#N/A)</f>
        <v>#N/A</v>
      </c>
      <c r="AF525">
        <f t="shared" si="9"/>
        <v>4</v>
      </c>
      <c r="AG525" t="e">
        <f t="array" ref="AG525">IF(OR(I525&lt;O$3,I525&gt;O$7),I525,#N/A)</f>
        <v>#N/A</v>
      </c>
    </row>
    <row r="526" spans="5:33" x14ac:dyDescent="0.25">
      <c r="E526">
        <v>523</v>
      </c>
      <c r="F526">
        <v>13.545454545454545</v>
      </c>
      <c r="G526">
        <v>13.75</v>
      </c>
      <c r="H526">
        <v>12.26</v>
      </c>
      <c r="I526">
        <v>12.74</v>
      </c>
      <c r="Z526">
        <v>1</v>
      </c>
      <c r="AA526" t="e">
        <f t="array" ref="AA526">IF(OR(F526&lt;L$3,F526&gt;L$7),F526,#N/A)</f>
        <v>#N/A</v>
      </c>
      <c r="AB526">
        <f t="shared" si="9"/>
        <v>2</v>
      </c>
      <c r="AC526" t="e">
        <f t="array" ref="AC526">IF(OR(G526&lt;M$3,G526&gt;M$7),G526,#N/A)</f>
        <v>#N/A</v>
      </c>
      <c r="AD526">
        <f t="shared" si="9"/>
        <v>3</v>
      </c>
      <c r="AE526" t="e">
        <f t="array" ref="AE526">IF(OR(H526&lt;N$3,H526&gt;N$7),H526,#N/A)</f>
        <v>#N/A</v>
      </c>
      <c r="AF526">
        <f t="shared" si="9"/>
        <v>4</v>
      </c>
      <c r="AG526" t="e">
        <f t="array" ref="AG526">IF(OR(I526&lt;O$3,I526&gt;O$7),I526,#N/A)</f>
        <v>#N/A</v>
      </c>
    </row>
    <row r="527" spans="5:33" x14ac:dyDescent="0.25">
      <c r="E527">
        <v>524</v>
      </c>
      <c r="F527">
        <v>11.363636363636363</v>
      </c>
      <c r="G527">
        <v>12.4</v>
      </c>
      <c r="H527">
        <v>13.3</v>
      </c>
      <c r="I527">
        <v>13.27</v>
      </c>
      <c r="Z527">
        <v>1</v>
      </c>
      <c r="AA527" t="e">
        <f t="array" ref="AA527">IF(OR(F527&lt;L$3,F527&gt;L$7),F527,#N/A)</f>
        <v>#N/A</v>
      </c>
      <c r="AB527">
        <f t="shared" si="9"/>
        <v>2</v>
      </c>
      <c r="AC527" t="e">
        <f t="array" ref="AC527">IF(OR(G527&lt;M$3,G527&gt;M$7),G527,#N/A)</f>
        <v>#N/A</v>
      </c>
      <c r="AD527">
        <f t="shared" si="9"/>
        <v>3</v>
      </c>
      <c r="AE527" t="e">
        <f t="array" ref="AE527">IF(OR(H527&lt;N$3,H527&gt;N$7),H527,#N/A)</f>
        <v>#N/A</v>
      </c>
      <c r="AF527">
        <f t="shared" si="9"/>
        <v>4</v>
      </c>
      <c r="AG527" t="e">
        <f t="array" ref="AG527">IF(OR(I527&lt;O$3,I527&gt;O$7),I527,#N/A)</f>
        <v>#N/A</v>
      </c>
    </row>
    <row r="528" spans="5:33" x14ac:dyDescent="0.25">
      <c r="E528">
        <v>525</v>
      </c>
      <c r="F528">
        <v>13</v>
      </c>
      <c r="G528">
        <v>11.7</v>
      </c>
      <c r="H528">
        <v>14.08</v>
      </c>
      <c r="I528">
        <v>13.76</v>
      </c>
      <c r="Z528">
        <v>1</v>
      </c>
      <c r="AA528" t="e">
        <f t="array" ref="AA528">IF(OR(F528&lt;L$3,F528&gt;L$7),F528,#N/A)</f>
        <v>#N/A</v>
      </c>
      <c r="AB528">
        <f t="shared" si="9"/>
        <v>2</v>
      </c>
      <c r="AC528" t="e">
        <f t="array" ref="AC528">IF(OR(G528&lt;M$3,G528&gt;M$7),G528,#N/A)</f>
        <v>#N/A</v>
      </c>
      <c r="AD528">
        <f t="shared" si="9"/>
        <v>3</v>
      </c>
      <c r="AE528" t="e">
        <f t="array" ref="AE528">IF(OR(H528&lt;N$3,H528&gt;N$7),H528,#N/A)</f>
        <v>#N/A</v>
      </c>
      <c r="AF528">
        <f t="shared" si="9"/>
        <v>4</v>
      </c>
      <c r="AG528" t="e">
        <f t="array" ref="AG528">IF(OR(I528&lt;O$3,I528&gt;O$7),I528,#N/A)</f>
        <v>#N/A</v>
      </c>
    </row>
    <row r="529" spans="5:33" x14ac:dyDescent="0.25">
      <c r="E529">
        <v>526</v>
      </c>
      <c r="F529">
        <v>16.09090909090909</v>
      </c>
      <c r="G529">
        <v>17.05</v>
      </c>
      <c r="H529">
        <v>15.98</v>
      </c>
      <c r="I529">
        <v>14.21</v>
      </c>
      <c r="Z529">
        <v>1</v>
      </c>
      <c r="AA529" t="e">
        <f t="array" ref="AA529">IF(OR(F529&lt;L$3,F529&gt;L$7),F529,#N/A)</f>
        <v>#N/A</v>
      </c>
      <c r="AB529">
        <f t="shared" si="9"/>
        <v>2</v>
      </c>
      <c r="AC529" t="e">
        <f t="array" ref="AC529">IF(OR(G529&lt;M$3,G529&gt;M$7),G529,#N/A)</f>
        <v>#N/A</v>
      </c>
      <c r="AD529">
        <f t="shared" si="9"/>
        <v>3</v>
      </c>
      <c r="AE529" t="e">
        <f t="array" ref="AE529">IF(OR(H529&lt;N$3,H529&gt;N$7),H529,#N/A)</f>
        <v>#N/A</v>
      </c>
      <c r="AF529">
        <f t="shared" si="9"/>
        <v>4</v>
      </c>
      <c r="AG529" t="e">
        <f t="array" ref="AG529">IF(OR(I529&lt;O$3,I529&gt;O$7),I529,#N/A)</f>
        <v>#N/A</v>
      </c>
    </row>
    <row r="530" spans="5:33" x14ac:dyDescent="0.25">
      <c r="E530">
        <v>527</v>
      </c>
      <c r="F530">
        <v>8.454545454545455</v>
      </c>
      <c r="G530">
        <v>10.6</v>
      </c>
      <c r="H530">
        <v>12.54</v>
      </c>
      <c r="I530">
        <v>13.24</v>
      </c>
      <c r="Z530">
        <v>1</v>
      </c>
      <c r="AA530" t="e">
        <f t="array" ref="AA530">IF(OR(F530&lt;L$3,F530&gt;L$7),F530,#N/A)</f>
        <v>#N/A</v>
      </c>
      <c r="AB530">
        <f t="shared" si="9"/>
        <v>2</v>
      </c>
      <c r="AC530" t="e">
        <f t="array" ref="AC530">IF(OR(G530&lt;M$3,G530&gt;M$7),G530,#N/A)</f>
        <v>#N/A</v>
      </c>
      <c r="AD530">
        <f t="shared" si="9"/>
        <v>3</v>
      </c>
      <c r="AE530" t="e">
        <f t="array" ref="AE530">IF(OR(H530&lt;N$3,H530&gt;N$7),H530,#N/A)</f>
        <v>#N/A</v>
      </c>
      <c r="AF530">
        <f t="shared" si="9"/>
        <v>4</v>
      </c>
      <c r="AG530" t="e">
        <f t="array" ref="AG530">IF(OR(I530&lt;O$3,I530&gt;O$7),I530,#N/A)</f>
        <v>#N/A</v>
      </c>
    </row>
    <row r="531" spans="5:33" x14ac:dyDescent="0.25">
      <c r="E531">
        <v>528</v>
      </c>
      <c r="F531">
        <v>14.090909090909092</v>
      </c>
      <c r="G531">
        <v>14.95</v>
      </c>
      <c r="H531">
        <v>14.04</v>
      </c>
      <c r="I531">
        <v>13.61</v>
      </c>
      <c r="Z531">
        <v>1</v>
      </c>
      <c r="AA531" t="e">
        <f t="array" ref="AA531">IF(OR(F531&lt;L$3,F531&gt;L$7),F531,#N/A)</f>
        <v>#N/A</v>
      </c>
      <c r="AB531">
        <f t="shared" si="9"/>
        <v>2</v>
      </c>
      <c r="AC531" t="e">
        <f t="array" ref="AC531">IF(OR(G531&lt;M$3,G531&gt;M$7),G531,#N/A)</f>
        <v>#N/A</v>
      </c>
      <c r="AD531">
        <f t="shared" si="9"/>
        <v>3</v>
      </c>
      <c r="AE531" t="e">
        <f t="array" ref="AE531">IF(OR(H531&lt;N$3,H531&gt;N$7),H531,#N/A)</f>
        <v>#N/A</v>
      </c>
      <c r="AF531">
        <f t="shared" si="9"/>
        <v>4</v>
      </c>
      <c r="AG531" t="e">
        <f t="array" ref="AG531">IF(OR(I531&lt;O$3,I531&gt;O$7),I531,#N/A)</f>
        <v>#N/A</v>
      </c>
    </row>
    <row r="532" spans="5:33" x14ac:dyDescent="0.25">
      <c r="E532">
        <v>529</v>
      </c>
      <c r="F532">
        <v>13.090909090909092</v>
      </c>
      <c r="G532">
        <v>12</v>
      </c>
      <c r="H532">
        <v>14.32</v>
      </c>
      <c r="I532">
        <v>14.94</v>
      </c>
      <c r="Z532">
        <v>1</v>
      </c>
      <c r="AA532" t="e">
        <f t="array" ref="AA532">IF(OR(F532&lt;L$3,F532&gt;L$7),F532,#N/A)</f>
        <v>#N/A</v>
      </c>
      <c r="AB532">
        <f t="shared" si="9"/>
        <v>2</v>
      </c>
      <c r="AC532" t="e">
        <f t="array" ref="AC532">IF(OR(G532&lt;M$3,G532&gt;M$7),G532,#N/A)</f>
        <v>#N/A</v>
      </c>
      <c r="AD532">
        <f t="shared" si="9"/>
        <v>3</v>
      </c>
      <c r="AE532" t="e">
        <f t="array" ref="AE532">IF(OR(H532&lt;N$3,H532&gt;N$7),H532,#N/A)</f>
        <v>#N/A</v>
      </c>
      <c r="AF532">
        <f t="shared" si="9"/>
        <v>4</v>
      </c>
      <c r="AG532" t="e">
        <f t="array" ref="AG532">IF(OR(I532&lt;O$3,I532&gt;O$7),I532,#N/A)</f>
        <v>#N/A</v>
      </c>
    </row>
    <row r="533" spans="5:33" x14ac:dyDescent="0.25">
      <c r="E533">
        <v>530</v>
      </c>
      <c r="F533">
        <v>14.181818181818182</v>
      </c>
      <c r="G533">
        <v>13.65</v>
      </c>
      <c r="H533">
        <v>13.5</v>
      </c>
      <c r="I533">
        <v>14.52</v>
      </c>
      <c r="Z533">
        <v>1</v>
      </c>
      <c r="AA533" t="e">
        <f t="array" ref="AA533">IF(OR(F533&lt;L$3,F533&gt;L$7),F533,#N/A)</f>
        <v>#N/A</v>
      </c>
      <c r="AB533">
        <f t="shared" si="9"/>
        <v>2</v>
      </c>
      <c r="AC533" t="e">
        <f t="array" ref="AC533">IF(OR(G533&lt;M$3,G533&gt;M$7),G533,#N/A)</f>
        <v>#N/A</v>
      </c>
      <c r="AD533">
        <f t="shared" si="9"/>
        <v>3</v>
      </c>
      <c r="AE533" t="e">
        <f t="array" ref="AE533">IF(OR(H533&lt;N$3,H533&gt;N$7),H533,#N/A)</f>
        <v>#N/A</v>
      </c>
      <c r="AF533">
        <f t="shared" si="9"/>
        <v>4</v>
      </c>
      <c r="AG533" t="e">
        <f t="array" ref="AG533">IF(OR(I533&lt;O$3,I533&gt;O$7),I533,#N/A)</f>
        <v>#N/A</v>
      </c>
    </row>
    <row r="534" spans="5:33" x14ac:dyDescent="0.25">
      <c r="E534">
        <v>531</v>
      </c>
      <c r="F534">
        <v>13.181818181818182</v>
      </c>
      <c r="G534">
        <v>13.85</v>
      </c>
      <c r="H534">
        <v>13.5</v>
      </c>
      <c r="I534">
        <v>13.82</v>
      </c>
      <c r="Z534">
        <v>1</v>
      </c>
      <c r="AA534" t="e">
        <f t="array" ref="AA534">IF(OR(F534&lt;L$3,F534&gt;L$7),F534,#N/A)</f>
        <v>#N/A</v>
      </c>
      <c r="AB534">
        <f t="shared" si="9"/>
        <v>2</v>
      </c>
      <c r="AC534" t="e">
        <f t="array" ref="AC534">IF(OR(G534&lt;M$3,G534&gt;M$7),G534,#N/A)</f>
        <v>#N/A</v>
      </c>
      <c r="AD534">
        <f t="shared" si="9"/>
        <v>3</v>
      </c>
      <c r="AE534" t="e">
        <f t="array" ref="AE534">IF(OR(H534&lt;N$3,H534&gt;N$7),H534,#N/A)</f>
        <v>#N/A</v>
      </c>
      <c r="AF534">
        <f t="shared" si="9"/>
        <v>4</v>
      </c>
      <c r="AG534" t="e">
        <f t="array" ref="AG534">IF(OR(I534&lt;O$3,I534&gt;O$7),I534,#N/A)</f>
        <v>#N/A</v>
      </c>
    </row>
    <row r="535" spans="5:33" x14ac:dyDescent="0.25">
      <c r="E535">
        <v>532</v>
      </c>
      <c r="F535">
        <v>10.363636363636363</v>
      </c>
      <c r="G535">
        <v>11.65</v>
      </c>
      <c r="H535">
        <v>11.44</v>
      </c>
      <c r="I535">
        <v>12.78</v>
      </c>
      <c r="Z535">
        <v>1</v>
      </c>
      <c r="AA535" t="e">
        <f t="array" ref="AA535">IF(OR(F535&lt;L$3,F535&gt;L$7),F535,#N/A)</f>
        <v>#N/A</v>
      </c>
      <c r="AB535">
        <f t="shared" si="9"/>
        <v>2</v>
      </c>
      <c r="AC535" t="e">
        <f t="array" ref="AC535">IF(OR(G535&lt;M$3,G535&gt;M$7),G535,#N/A)</f>
        <v>#N/A</v>
      </c>
      <c r="AD535">
        <f t="shared" si="9"/>
        <v>3</v>
      </c>
      <c r="AE535" t="e">
        <f t="array" ref="AE535">IF(OR(H535&lt;N$3,H535&gt;N$7),H535,#N/A)</f>
        <v>#N/A</v>
      </c>
      <c r="AF535">
        <f t="shared" si="9"/>
        <v>4</v>
      </c>
      <c r="AG535" t="e">
        <f t="array" ref="AG535">IF(OR(I535&lt;O$3,I535&gt;O$7),I535,#N/A)</f>
        <v>#N/A</v>
      </c>
    </row>
    <row r="536" spans="5:33" x14ac:dyDescent="0.25">
      <c r="E536">
        <v>533</v>
      </c>
      <c r="F536">
        <v>13.545454545454545</v>
      </c>
      <c r="G536">
        <v>15.4</v>
      </c>
      <c r="H536">
        <v>15.2</v>
      </c>
      <c r="I536">
        <v>14.79</v>
      </c>
      <c r="Z536">
        <v>1</v>
      </c>
      <c r="AA536" t="e">
        <f t="array" ref="AA536">IF(OR(F536&lt;L$3,F536&gt;L$7),F536,#N/A)</f>
        <v>#N/A</v>
      </c>
      <c r="AB536">
        <f t="shared" si="9"/>
        <v>2</v>
      </c>
      <c r="AC536" t="e">
        <f t="array" ref="AC536">IF(OR(G536&lt;M$3,G536&gt;M$7),G536,#N/A)</f>
        <v>#N/A</v>
      </c>
      <c r="AD536">
        <f t="shared" si="9"/>
        <v>3</v>
      </c>
      <c r="AE536" t="e">
        <f t="array" ref="AE536">IF(OR(H536&lt;N$3,H536&gt;N$7),H536,#N/A)</f>
        <v>#N/A</v>
      </c>
      <c r="AF536">
        <f t="shared" si="9"/>
        <v>4</v>
      </c>
      <c r="AG536" t="e">
        <f t="array" ref="AG536">IF(OR(I536&lt;O$3,I536&gt;O$7),I536,#N/A)</f>
        <v>#N/A</v>
      </c>
    </row>
    <row r="537" spans="5:33" x14ac:dyDescent="0.25">
      <c r="E537">
        <v>534</v>
      </c>
      <c r="F537">
        <v>14.909090909090908</v>
      </c>
      <c r="G537">
        <v>12.95</v>
      </c>
      <c r="H537">
        <v>13.48</v>
      </c>
      <c r="I537">
        <v>14.03</v>
      </c>
      <c r="Z537">
        <v>1</v>
      </c>
      <c r="AA537" t="e">
        <f t="array" ref="AA537">IF(OR(F537&lt;L$3,F537&gt;L$7),F537,#N/A)</f>
        <v>#N/A</v>
      </c>
      <c r="AB537">
        <f t="shared" si="9"/>
        <v>2</v>
      </c>
      <c r="AC537" t="e">
        <f t="array" ref="AC537">IF(OR(G537&lt;M$3,G537&gt;M$7),G537,#N/A)</f>
        <v>#N/A</v>
      </c>
      <c r="AD537">
        <f t="shared" si="9"/>
        <v>3</v>
      </c>
      <c r="AE537" t="e">
        <f t="array" ref="AE537">IF(OR(H537&lt;N$3,H537&gt;N$7),H537,#N/A)</f>
        <v>#N/A</v>
      </c>
      <c r="AF537">
        <f t="shared" si="9"/>
        <v>4</v>
      </c>
      <c r="AG537" t="e">
        <f t="array" ref="AG537">IF(OR(I537&lt;O$3,I537&gt;O$7),I537,#N/A)</f>
        <v>#N/A</v>
      </c>
    </row>
    <row r="538" spans="5:33" x14ac:dyDescent="0.25">
      <c r="E538">
        <v>535</v>
      </c>
      <c r="F538">
        <v>16.363636363636363</v>
      </c>
      <c r="G538">
        <v>14.05</v>
      </c>
      <c r="H538">
        <v>13.56</v>
      </c>
      <c r="I538">
        <v>14.96</v>
      </c>
      <c r="Z538">
        <v>1</v>
      </c>
      <c r="AA538" t="e">
        <f t="array" ref="AA538">IF(OR(F538&lt;L$3,F538&gt;L$7),F538,#N/A)</f>
        <v>#N/A</v>
      </c>
      <c r="AB538">
        <f t="shared" si="9"/>
        <v>2</v>
      </c>
      <c r="AC538" t="e">
        <f t="array" ref="AC538">IF(OR(G538&lt;M$3,G538&gt;M$7),G538,#N/A)</f>
        <v>#N/A</v>
      </c>
      <c r="AD538">
        <f t="shared" si="9"/>
        <v>3</v>
      </c>
      <c r="AE538" t="e">
        <f t="array" ref="AE538">IF(OR(H538&lt;N$3,H538&gt;N$7),H538,#N/A)</f>
        <v>#N/A</v>
      </c>
      <c r="AF538">
        <f t="shared" si="9"/>
        <v>4</v>
      </c>
      <c r="AG538" t="e">
        <f t="array" ref="AG538">IF(OR(I538&lt;O$3,I538&gt;O$7),I538,#N/A)</f>
        <v>#N/A</v>
      </c>
    </row>
    <row r="539" spans="5:33" x14ac:dyDescent="0.25">
      <c r="E539">
        <v>536</v>
      </c>
      <c r="F539">
        <v>11.272727272727273</v>
      </c>
      <c r="G539">
        <v>13.55</v>
      </c>
      <c r="H539">
        <v>14.26</v>
      </c>
      <c r="I539">
        <v>14.19</v>
      </c>
      <c r="Z539">
        <v>1</v>
      </c>
      <c r="AA539" t="e">
        <f t="array" ref="AA539">IF(OR(F539&lt;L$3,F539&gt;L$7),F539,#N/A)</f>
        <v>#N/A</v>
      </c>
      <c r="AB539">
        <f t="shared" si="9"/>
        <v>2</v>
      </c>
      <c r="AC539" t="e">
        <f t="array" ref="AC539">IF(OR(G539&lt;M$3,G539&gt;M$7),G539,#N/A)</f>
        <v>#N/A</v>
      </c>
      <c r="AD539">
        <f t="shared" si="9"/>
        <v>3</v>
      </c>
      <c r="AE539" t="e">
        <f t="array" ref="AE539">IF(OR(H539&lt;N$3,H539&gt;N$7),H539,#N/A)</f>
        <v>#N/A</v>
      </c>
      <c r="AF539">
        <f t="shared" si="9"/>
        <v>4</v>
      </c>
      <c r="AG539" t="e">
        <f t="array" ref="AG539">IF(OR(I539&lt;O$3,I539&gt;O$7),I539,#N/A)</f>
        <v>#N/A</v>
      </c>
    </row>
    <row r="540" spans="5:33" x14ac:dyDescent="0.25">
      <c r="E540">
        <v>537</v>
      </c>
      <c r="F540">
        <v>10.818181818181818</v>
      </c>
      <c r="G540">
        <v>11.4</v>
      </c>
      <c r="H540">
        <v>12.92</v>
      </c>
      <c r="I540">
        <v>14.37</v>
      </c>
      <c r="Z540">
        <v>1</v>
      </c>
      <c r="AA540" t="e">
        <f t="array" ref="AA540">IF(OR(F540&lt;L$3,F540&gt;L$7),F540,#N/A)</f>
        <v>#N/A</v>
      </c>
      <c r="AB540">
        <f t="shared" si="9"/>
        <v>2</v>
      </c>
      <c r="AC540" t="e">
        <f t="array" ref="AC540">IF(OR(G540&lt;M$3,G540&gt;M$7),G540,#N/A)</f>
        <v>#N/A</v>
      </c>
      <c r="AD540">
        <f t="shared" si="9"/>
        <v>3</v>
      </c>
      <c r="AE540" t="e">
        <f t="array" ref="AE540">IF(OR(H540&lt;N$3,H540&gt;N$7),H540,#N/A)</f>
        <v>#N/A</v>
      </c>
      <c r="AF540">
        <f t="shared" si="9"/>
        <v>4</v>
      </c>
      <c r="AG540" t="e">
        <f t="array" ref="AG540">IF(OR(I540&lt;O$3,I540&gt;O$7),I540,#N/A)</f>
        <v>#N/A</v>
      </c>
    </row>
    <row r="541" spans="5:33" x14ac:dyDescent="0.25">
      <c r="E541">
        <v>538</v>
      </c>
      <c r="F541">
        <v>11.454545454545455</v>
      </c>
      <c r="G541">
        <v>11.25</v>
      </c>
      <c r="H541">
        <v>12.62</v>
      </c>
      <c r="I541">
        <v>13.01</v>
      </c>
      <c r="Z541">
        <v>1</v>
      </c>
      <c r="AA541" t="e">
        <f t="array" ref="AA541">IF(OR(F541&lt;L$3,F541&gt;L$7),F541,#N/A)</f>
        <v>#N/A</v>
      </c>
      <c r="AB541">
        <f t="shared" si="9"/>
        <v>2</v>
      </c>
      <c r="AC541" t="e">
        <f t="array" ref="AC541">IF(OR(G541&lt;M$3,G541&gt;M$7),G541,#N/A)</f>
        <v>#N/A</v>
      </c>
      <c r="AD541">
        <f t="shared" si="9"/>
        <v>3</v>
      </c>
      <c r="AE541" t="e">
        <f t="array" ref="AE541">IF(OR(H541&lt;N$3,H541&gt;N$7),H541,#N/A)</f>
        <v>#N/A</v>
      </c>
      <c r="AF541">
        <f t="shared" si="9"/>
        <v>4</v>
      </c>
      <c r="AG541" t="e">
        <f t="array" ref="AG541">IF(OR(I541&lt;O$3,I541&gt;O$7),I541,#N/A)</f>
        <v>#N/A</v>
      </c>
    </row>
    <row r="542" spans="5:33" x14ac:dyDescent="0.25">
      <c r="E542">
        <v>539</v>
      </c>
      <c r="F542">
        <v>14.818181818181818</v>
      </c>
      <c r="G542">
        <v>13.75</v>
      </c>
      <c r="H542">
        <v>12.9</v>
      </c>
      <c r="I542">
        <v>13.61</v>
      </c>
      <c r="Z542">
        <v>1</v>
      </c>
      <c r="AA542" t="e">
        <f t="array" ref="AA542">IF(OR(F542&lt;L$3,F542&gt;L$7),F542,#N/A)</f>
        <v>#N/A</v>
      </c>
      <c r="AB542">
        <f t="shared" si="9"/>
        <v>2</v>
      </c>
      <c r="AC542" t="e">
        <f t="array" ref="AC542">IF(OR(G542&lt;M$3,G542&gt;M$7),G542,#N/A)</f>
        <v>#N/A</v>
      </c>
      <c r="AD542">
        <f t="shared" si="9"/>
        <v>3</v>
      </c>
      <c r="AE542" t="e">
        <f t="array" ref="AE542">IF(OR(H542&lt;N$3,H542&gt;N$7),H542,#N/A)</f>
        <v>#N/A</v>
      </c>
      <c r="AF542">
        <f t="shared" si="9"/>
        <v>4</v>
      </c>
      <c r="AG542" t="e">
        <f t="array" ref="AG542">IF(OR(I542&lt;O$3,I542&gt;O$7),I542,#N/A)</f>
        <v>#N/A</v>
      </c>
    </row>
    <row r="543" spans="5:33" x14ac:dyDescent="0.25">
      <c r="E543">
        <v>540</v>
      </c>
      <c r="F543">
        <v>15.454545454545455</v>
      </c>
      <c r="G543">
        <v>15.25</v>
      </c>
      <c r="H543">
        <v>14.82</v>
      </c>
      <c r="I543">
        <v>13.44</v>
      </c>
      <c r="Z543">
        <v>1</v>
      </c>
      <c r="AA543" t="e">
        <f t="array" ref="AA543">IF(OR(F543&lt;L$3,F543&gt;L$7),F543,#N/A)</f>
        <v>#N/A</v>
      </c>
      <c r="AB543">
        <f t="shared" si="9"/>
        <v>2</v>
      </c>
      <c r="AC543" t="e">
        <f t="array" ref="AC543">IF(OR(G543&lt;M$3,G543&gt;M$7),G543,#N/A)</f>
        <v>#N/A</v>
      </c>
      <c r="AD543">
        <f t="shared" si="9"/>
        <v>3</v>
      </c>
      <c r="AE543" t="e">
        <f t="array" ref="AE543">IF(OR(H543&lt;N$3,H543&gt;N$7),H543,#N/A)</f>
        <v>#N/A</v>
      </c>
      <c r="AF543">
        <f t="shared" si="9"/>
        <v>4</v>
      </c>
      <c r="AG543" t="e">
        <f t="array" ref="AG543">IF(OR(I543&lt;O$3,I543&gt;O$7),I543,#N/A)</f>
        <v>#N/A</v>
      </c>
    </row>
    <row r="544" spans="5:33" x14ac:dyDescent="0.25">
      <c r="E544">
        <v>541</v>
      </c>
      <c r="F544">
        <v>14.545454545454545</v>
      </c>
      <c r="G544">
        <v>15.1</v>
      </c>
      <c r="H544">
        <v>16.760000000000002</v>
      </c>
      <c r="I544">
        <v>14.38</v>
      </c>
      <c r="Z544">
        <v>1</v>
      </c>
      <c r="AA544" t="e">
        <f t="array" ref="AA544">IF(OR(F544&lt;L$3,F544&gt;L$7),F544,#N/A)</f>
        <v>#N/A</v>
      </c>
      <c r="AB544">
        <f t="shared" si="9"/>
        <v>2</v>
      </c>
      <c r="AC544" t="e">
        <f t="array" ref="AC544">IF(OR(G544&lt;M$3,G544&gt;M$7),G544,#N/A)</f>
        <v>#N/A</v>
      </c>
      <c r="AD544">
        <f t="shared" si="9"/>
        <v>3</v>
      </c>
      <c r="AE544" t="e">
        <f t="array" ref="AE544">IF(OR(H544&lt;N$3,H544&gt;N$7),H544,#N/A)</f>
        <v>#N/A</v>
      </c>
      <c r="AF544">
        <f t="shared" si="9"/>
        <v>4</v>
      </c>
      <c r="AG544" t="e">
        <f t="array" ref="AG544">IF(OR(I544&lt;O$3,I544&gt;O$7),I544,#N/A)</f>
        <v>#N/A</v>
      </c>
    </row>
    <row r="545" spans="5:33" x14ac:dyDescent="0.25">
      <c r="E545">
        <v>542</v>
      </c>
      <c r="F545">
        <v>13.272727272727273</v>
      </c>
      <c r="G545">
        <v>14.8</v>
      </c>
      <c r="H545">
        <v>13.28</v>
      </c>
      <c r="I545">
        <v>12.85</v>
      </c>
      <c r="Z545">
        <v>1</v>
      </c>
      <c r="AA545" t="e">
        <f t="array" ref="AA545">IF(OR(F545&lt;L$3,F545&gt;L$7),F545,#N/A)</f>
        <v>#N/A</v>
      </c>
      <c r="AB545">
        <f t="shared" si="9"/>
        <v>2</v>
      </c>
      <c r="AC545" t="e">
        <f t="array" ref="AC545">IF(OR(G545&lt;M$3,G545&gt;M$7),G545,#N/A)</f>
        <v>#N/A</v>
      </c>
      <c r="AD545">
        <f t="shared" si="9"/>
        <v>3</v>
      </c>
      <c r="AE545" t="e">
        <f t="array" ref="AE545">IF(OR(H545&lt;N$3,H545&gt;N$7),H545,#N/A)</f>
        <v>#N/A</v>
      </c>
      <c r="AF545">
        <f t="shared" si="9"/>
        <v>4</v>
      </c>
      <c r="AG545" t="e">
        <f t="array" ref="AG545">IF(OR(I545&lt;O$3,I545&gt;O$7),I545,#N/A)</f>
        <v>#N/A</v>
      </c>
    </row>
    <row r="546" spans="5:33" x14ac:dyDescent="0.25">
      <c r="E546">
        <v>543</v>
      </c>
      <c r="F546">
        <v>13.545454545454545</v>
      </c>
      <c r="G546">
        <v>14.7</v>
      </c>
      <c r="H546">
        <v>15.08</v>
      </c>
      <c r="I546">
        <v>14.85</v>
      </c>
      <c r="Z546">
        <v>1</v>
      </c>
      <c r="AA546" t="e">
        <f t="array" ref="AA546">IF(OR(F546&lt;L$3,F546&gt;L$7),F546,#N/A)</f>
        <v>#N/A</v>
      </c>
      <c r="AB546">
        <f t="shared" si="9"/>
        <v>2</v>
      </c>
      <c r="AC546" t="e">
        <f t="array" ref="AC546">IF(OR(G546&lt;M$3,G546&gt;M$7),G546,#N/A)</f>
        <v>#N/A</v>
      </c>
      <c r="AD546">
        <f t="shared" si="9"/>
        <v>3</v>
      </c>
      <c r="AE546" t="e">
        <f t="array" ref="AE546">IF(OR(H546&lt;N$3,H546&gt;N$7),H546,#N/A)</f>
        <v>#N/A</v>
      </c>
      <c r="AF546">
        <f t="shared" si="9"/>
        <v>4</v>
      </c>
      <c r="AG546" t="e">
        <f t="array" ref="AG546">IF(OR(I546&lt;O$3,I546&gt;O$7),I546,#N/A)</f>
        <v>#N/A</v>
      </c>
    </row>
    <row r="547" spans="5:33" x14ac:dyDescent="0.25">
      <c r="E547">
        <v>544</v>
      </c>
      <c r="F547">
        <v>13.727272727272727</v>
      </c>
      <c r="G547">
        <v>13.95</v>
      </c>
      <c r="H547">
        <v>14.4</v>
      </c>
      <c r="I547">
        <v>14.7</v>
      </c>
      <c r="Z547">
        <v>1</v>
      </c>
      <c r="AA547" t="e">
        <f t="array" ref="AA547">IF(OR(F547&lt;L$3,F547&gt;L$7),F547,#N/A)</f>
        <v>#N/A</v>
      </c>
      <c r="AB547">
        <f t="shared" si="9"/>
        <v>2</v>
      </c>
      <c r="AC547" t="e">
        <f t="array" ref="AC547">IF(OR(G547&lt;M$3,G547&gt;M$7),G547,#N/A)</f>
        <v>#N/A</v>
      </c>
      <c r="AD547">
        <f t="shared" si="9"/>
        <v>3</v>
      </c>
      <c r="AE547" t="e">
        <f t="array" ref="AE547">IF(OR(H547&lt;N$3,H547&gt;N$7),H547,#N/A)</f>
        <v>#N/A</v>
      </c>
      <c r="AF547">
        <f t="shared" si="9"/>
        <v>4</v>
      </c>
      <c r="AG547" t="e">
        <f t="array" ref="AG547">IF(OR(I547&lt;O$3,I547&gt;O$7),I547,#N/A)</f>
        <v>#N/A</v>
      </c>
    </row>
    <row r="548" spans="5:33" x14ac:dyDescent="0.25">
      <c r="E548">
        <v>545</v>
      </c>
      <c r="F548">
        <v>16</v>
      </c>
      <c r="G548">
        <v>16.2</v>
      </c>
      <c r="H548">
        <v>14.2</v>
      </c>
      <c r="I548">
        <v>13.93</v>
      </c>
      <c r="Z548">
        <v>1</v>
      </c>
      <c r="AA548" t="e">
        <f t="array" ref="AA548">IF(OR(F548&lt;L$3,F548&gt;L$7),F548,#N/A)</f>
        <v>#N/A</v>
      </c>
      <c r="AB548">
        <f t="shared" si="9"/>
        <v>2</v>
      </c>
      <c r="AC548" t="e">
        <f t="array" ref="AC548">IF(OR(G548&lt;M$3,G548&gt;M$7),G548,#N/A)</f>
        <v>#N/A</v>
      </c>
      <c r="AD548">
        <f t="shared" si="9"/>
        <v>3</v>
      </c>
      <c r="AE548" t="e">
        <f t="array" ref="AE548">IF(OR(H548&lt;N$3,H548&gt;N$7),H548,#N/A)</f>
        <v>#N/A</v>
      </c>
      <c r="AF548">
        <f t="shared" si="9"/>
        <v>4</v>
      </c>
      <c r="AG548" t="e">
        <f t="array" ref="AG548">IF(OR(I548&lt;O$3,I548&gt;O$7),I548,#N/A)</f>
        <v>#N/A</v>
      </c>
    </row>
    <row r="549" spans="5:33" x14ac:dyDescent="0.25">
      <c r="E549">
        <v>546</v>
      </c>
      <c r="F549">
        <v>15.727272727272727</v>
      </c>
      <c r="G549">
        <v>13.7</v>
      </c>
      <c r="H549">
        <v>14.36</v>
      </c>
      <c r="I549">
        <v>13.73</v>
      </c>
      <c r="Z549">
        <v>1</v>
      </c>
      <c r="AA549" t="e">
        <f t="array" ref="AA549">IF(OR(F549&lt;L$3,F549&gt;L$7),F549,#N/A)</f>
        <v>#N/A</v>
      </c>
      <c r="AB549">
        <f t="shared" si="9"/>
        <v>2</v>
      </c>
      <c r="AC549" t="e">
        <f t="array" ref="AC549">IF(OR(G549&lt;M$3,G549&gt;M$7),G549,#N/A)</f>
        <v>#N/A</v>
      </c>
      <c r="AD549">
        <f t="shared" si="9"/>
        <v>3</v>
      </c>
      <c r="AE549" t="e">
        <f t="array" ref="AE549">IF(OR(H549&lt;N$3,H549&gt;N$7),H549,#N/A)</f>
        <v>#N/A</v>
      </c>
      <c r="AF549">
        <f t="shared" si="9"/>
        <v>4</v>
      </c>
      <c r="AG549" t="e">
        <f t="array" ref="AG549">IF(OR(I549&lt;O$3,I549&gt;O$7),I549,#N/A)</f>
        <v>#N/A</v>
      </c>
    </row>
    <row r="550" spans="5:33" x14ac:dyDescent="0.25">
      <c r="E550">
        <v>547</v>
      </c>
      <c r="F550">
        <v>11.636363636363637</v>
      </c>
      <c r="G550">
        <v>11.9</v>
      </c>
      <c r="H550">
        <v>13.86</v>
      </c>
      <c r="I550">
        <v>14.02</v>
      </c>
      <c r="Z550">
        <v>1</v>
      </c>
      <c r="AA550" t="e">
        <f t="array" ref="AA550">IF(OR(F550&lt;L$3,F550&gt;L$7),F550,#N/A)</f>
        <v>#N/A</v>
      </c>
      <c r="AB550">
        <f t="shared" si="9"/>
        <v>2</v>
      </c>
      <c r="AC550" t="e">
        <f t="array" ref="AC550">IF(OR(G550&lt;M$3,G550&gt;M$7),G550,#N/A)</f>
        <v>#N/A</v>
      </c>
      <c r="AD550">
        <f t="shared" si="9"/>
        <v>3</v>
      </c>
      <c r="AE550" t="e">
        <f t="array" ref="AE550">IF(OR(H550&lt;N$3,H550&gt;N$7),H550,#N/A)</f>
        <v>#N/A</v>
      </c>
      <c r="AF550">
        <f t="shared" si="9"/>
        <v>4</v>
      </c>
      <c r="AG550" t="e">
        <f t="array" ref="AG550">IF(OR(I550&lt;O$3,I550&gt;O$7),I550,#N/A)</f>
        <v>#N/A</v>
      </c>
    </row>
    <row r="551" spans="5:33" x14ac:dyDescent="0.25">
      <c r="E551">
        <v>548</v>
      </c>
      <c r="F551">
        <v>11.727272727272727</v>
      </c>
      <c r="G551">
        <v>13.05</v>
      </c>
      <c r="H551">
        <v>13.56</v>
      </c>
      <c r="I551">
        <v>13.88</v>
      </c>
      <c r="Z551">
        <v>1</v>
      </c>
      <c r="AA551" t="e">
        <f t="array" ref="AA551">IF(OR(F551&lt;L$3,F551&gt;L$7),F551,#N/A)</f>
        <v>#N/A</v>
      </c>
      <c r="AB551">
        <f t="shared" si="9"/>
        <v>2</v>
      </c>
      <c r="AC551" t="e">
        <f t="array" ref="AC551">IF(OR(G551&lt;M$3,G551&gt;M$7),G551,#N/A)</f>
        <v>#N/A</v>
      </c>
      <c r="AD551">
        <f t="shared" si="9"/>
        <v>3</v>
      </c>
      <c r="AE551" t="e">
        <f t="array" ref="AE551">IF(OR(H551&lt;N$3,H551&gt;N$7),H551,#N/A)</f>
        <v>#N/A</v>
      </c>
      <c r="AF551">
        <f t="shared" si="9"/>
        <v>4</v>
      </c>
      <c r="AG551" t="e">
        <f t="array" ref="AG551">IF(OR(I551&lt;O$3,I551&gt;O$7),I551,#N/A)</f>
        <v>#N/A</v>
      </c>
    </row>
    <row r="552" spans="5:33" x14ac:dyDescent="0.25">
      <c r="E552">
        <v>549</v>
      </c>
      <c r="F552">
        <v>16.636363636363637</v>
      </c>
      <c r="G552">
        <v>15.4</v>
      </c>
      <c r="H552">
        <v>14.04</v>
      </c>
      <c r="I552">
        <v>13.88</v>
      </c>
      <c r="Z552">
        <v>1</v>
      </c>
      <c r="AA552" t="e">
        <f t="array" ref="AA552">IF(OR(F552&lt;L$3,F552&gt;L$7),F552,#N/A)</f>
        <v>#N/A</v>
      </c>
      <c r="AB552">
        <f t="shared" si="9"/>
        <v>2</v>
      </c>
      <c r="AC552" t="e">
        <f t="array" ref="AC552">IF(OR(G552&lt;M$3,G552&gt;M$7),G552,#N/A)</f>
        <v>#N/A</v>
      </c>
      <c r="AD552">
        <f t="shared" si="9"/>
        <v>3</v>
      </c>
      <c r="AE552" t="e">
        <f t="array" ref="AE552">IF(OR(H552&lt;N$3,H552&gt;N$7),H552,#N/A)</f>
        <v>#N/A</v>
      </c>
      <c r="AF552">
        <f t="shared" si="9"/>
        <v>4</v>
      </c>
      <c r="AG552" t="e">
        <f t="array" ref="AG552">IF(OR(I552&lt;O$3,I552&gt;O$7),I552,#N/A)</f>
        <v>#N/A</v>
      </c>
    </row>
    <row r="553" spans="5:33" x14ac:dyDescent="0.25">
      <c r="E553">
        <v>550</v>
      </c>
      <c r="F553">
        <v>12.363636363636363</v>
      </c>
      <c r="G553">
        <v>12.55</v>
      </c>
      <c r="H553">
        <v>14.16</v>
      </c>
      <c r="I553">
        <v>13.89</v>
      </c>
      <c r="Z553">
        <v>1</v>
      </c>
      <c r="AA553" t="e">
        <f t="array" ref="AA553">IF(OR(F553&lt;L$3,F553&gt;L$7),F553,#N/A)</f>
        <v>#N/A</v>
      </c>
      <c r="AB553">
        <f t="shared" si="9"/>
        <v>2</v>
      </c>
      <c r="AC553" t="e">
        <f t="array" ref="AC553">IF(OR(G553&lt;M$3,G553&gt;M$7),G553,#N/A)</f>
        <v>#N/A</v>
      </c>
      <c r="AD553">
        <f t="shared" si="9"/>
        <v>3</v>
      </c>
      <c r="AE553" t="e">
        <f t="array" ref="AE553">IF(OR(H553&lt;N$3,H553&gt;N$7),H553,#N/A)</f>
        <v>#N/A</v>
      </c>
      <c r="AF553">
        <f t="shared" si="9"/>
        <v>4</v>
      </c>
      <c r="AG553" t="e">
        <f t="array" ref="AG553">IF(OR(I553&lt;O$3,I553&gt;O$7),I553,#N/A)</f>
        <v>#N/A</v>
      </c>
    </row>
    <row r="554" spans="5:33" x14ac:dyDescent="0.25">
      <c r="E554">
        <v>551</v>
      </c>
      <c r="F554">
        <v>12.909090909090908</v>
      </c>
      <c r="G554">
        <v>12.15</v>
      </c>
      <c r="H554">
        <v>13.96</v>
      </c>
      <c r="I554">
        <v>13.9</v>
      </c>
      <c r="Z554">
        <v>1</v>
      </c>
      <c r="AA554" t="e">
        <f t="array" ref="AA554">IF(OR(F554&lt;L$3,F554&gt;L$7),F554,#N/A)</f>
        <v>#N/A</v>
      </c>
      <c r="AB554">
        <f t="shared" si="9"/>
        <v>2</v>
      </c>
      <c r="AC554" t="e">
        <f t="array" ref="AC554">IF(OR(G554&lt;M$3,G554&gt;M$7),G554,#N/A)</f>
        <v>#N/A</v>
      </c>
      <c r="AD554">
        <f t="shared" si="9"/>
        <v>3</v>
      </c>
      <c r="AE554" t="e">
        <f t="array" ref="AE554">IF(OR(H554&lt;N$3,H554&gt;N$7),H554,#N/A)</f>
        <v>#N/A</v>
      </c>
      <c r="AF554">
        <f t="shared" si="9"/>
        <v>4</v>
      </c>
      <c r="AG554" t="e">
        <f t="array" ref="AG554">IF(OR(I554&lt;O$3,I554&gt;O$7),I554,#N/A)</f>
        <v>#N/A</v>
      </c>
    </row>
    <row r="555" spans="5:33" x14ac:dyDescent="0.25">
      <c r="E555">
        <v>552</v>
      </c>
      <c r="F555">
        <v>10.909090909090908</v>
      </c>
      <c r="G555">
        <v>11.25</v>
      </c>
      <c r="H555">
        <v>11.56</v>
      </c>
      <c r="I555">
        <v>12.43</v>
      </c>
      <c r="Z555">
        <v>1</v>
      </c>
      <c r="AA555" t="e">
        <f t="array" ref="AA555">IF(OR(F555&lt;L$3,F555&gt;L$7),F555,#N/A)</f>
        <v>#N/A</v>
      </c>
      <c r="AB555">
        <f t="shared" si="9"/>
        <v>2</v>
      </c>
      <c r="AC555" t="e">
        <f t="array" ref="AC555">IF(OR(G555&lt;M$3,G555&gt;M$7),G555,#N/A)</f>
        <v>#N/A</v>
      </c>
      <c r="AD555">
        <f t="shared" si="9"/>
        <v>3</v>
      </c>
      <c r="AE555" t="e">
        <f t="array" ref="AE555">IF(OR(H555&lt;N$3,H555&gt;N$7),H555,#N/A)</f>
        <v>#N/A</v>
      </c>
      <c r="AF555">
        <f t="shared" si="9"/>
        <v>4</v>
      </c>
      <c r="AG555" t="e">
        <f t="array" ref="AG555">IF(OR(I555&lt;O$3,I555&gt;O$7),I555,#N/A)</f>
        <v>#N/A</v>
      </c>
    </row>
    <row r="556" spans="5:33" x14ac:dyDescent="0.25">
      <c r="E556">
        <v>553</v>
      </c>
      <c r="F556">
        <v>16.90909090909091</v>
      </c>
      <c r="G556">
        <v>15.25</v>
      </c>
      <c r="H556">
        <v>14.72</v>
      </c>
      <c r="I556">
        <v>14.21</v>
      </c>
      <c r="Z556">
        <v>1</v>
      </c>
      <c r="AA556" t="e">
        <f t="array" ref="AA556">IF(OR(F556&lt;L$3,F556&gt;L$7),F556,#N/A)</f>
        <v>#N/A</v>
      </c>
      <c r="AB556">
        <f t="shared" si="9"/>
        <v>2</v>
      </c>
      <c r="AC556" t="e">
        <f t="array" ref="AC556">IF(OR(G556&lt;M$3,G556&gt;M$7),G556,#N/A)</f>
        <v>#N/A</v>
      </c>
      <c r="AD556">
        <f t="shared" si="9"/>
        <v>3</v>
      </c>
      <c r="AE556" t="e">
        <f t="array" ref="AE556">IF(OR(H556&lt;N$3,H556&gt;N$7),H556,#N/A)</f>
        <v>#N/A</v>
      </c>
      <c r="AF556">
        <f t="shared" si="9"/>
        <v>4</v>
      </c>
      <c r="AG556" t="e">
        <f t="array" ref="AG556">IF(OR(I556&lt;O$3,I556&gt;O$7),I556,#N/A)</f>
        <v>#N/A</v>
      </c>
    </row>
    <row r="557" spans="5:33" x14ac:dyDescent="0.25">
      <c r="E557">
        <v>554</v>
      </c>
      <c r="F557">
        <v>15.636363636363637</v>
      </c>
      <c r="G557">
        <v>13.75</v>
      </c>
      <c r="H557">
        <v>13.7</v>
      </c>
      <c r="I557">
        <v>13.81</v>
      </c>
      <c r="Z557">
        <v>1</v>
      </c>
      <c r="AA557" t="e">
        <f t="array" ref="AA557">IF(OR(F557&lt;L$3,F557&gt;L$7),F557,#N/A)</f>
        <v>#N/A</v>
      </c>
      <c r="AB557">
        <f t="shared" si="9"/>
        <v>2</v>
      </c>
      <c r="AC557" t="e">
        <f t="array" ref="AC557">IF(OR(G557&lt;M$3,G557&gt;M$7),G557,#N/A)</f>
        <v>#N/A</v>
      </c>
      <c r="AD557">
        <f t="shared" si="9"/>
        <v>3</v>
      </c>
      <c r="AE557" t="e">
        <f t="array" ref="AE557">IF(OR(H557&lt;N$3,H557&gt;N$7),H557,#N/A)</f>
        <v>#N/A</v>
      </c>
      <c r="AF557">
        <f t="shared" si="9"/>
        <v>4</v>
      </c>
      <c r="AG557" t="e">
        <f t="array" ref="AG557">IF(OR(I557&lt;O$3,I557&gt;O$7),I557,#N/A)</f>
        <v>#N/A</v>
      </c>
    </row>
    <row r="558" spans="5:33" x14ac:dyDescent="0.25">
      <c r="E558">
        <v>555</v>
      </c>
      <c r="F558">
        <v>14.727272727272727</v>
      </c>
      <c r="G558">
        <v>12.85</v>
      </c>
      <c r="H558">
        <v>12.96</v>
      </c>
      <c r="I558">
        <v>13.03</v>
      </c>
      <c r="Z558">
        <v>1</v>
      </c>
      <c r="AA558" t="e">
        <f t="array" ref="AA558">IF(OR(F558&lt;L$3,F558&gt;L$7),F558,#N/A)</f>
        <v>#N/A</v>
      </c>
      <c r="AB558">
        <f t="shared" si="9"/>
        <v>2</v>
      </c>
      <c r="AC558" t="e">
        <f t="array" ref="AC558">IF(OR(G558&lt;M$3,G558&gt;M$7),G558,#N/A)</f>
        <v>#N/A</v>
      </c>
      <c r="AD558">
        <f t="shared" si="9"/>
        <v>3</v>
      </c>
      <c r="AE558" t="e">
        <f t="array" ref="AE558">IF(OR(H558&lt;N$3,H558&gt;N$7),H558,#N/A)</f>
        <v>#N/A</v>
      </c>
      <c r="AF558">
        <f t="shared" si="9"/>
        <v>4</v>
      </c>
      <c r="AG558" t="e">
        <f t="array" ref="AG558">IF(OR(I558&lt;O$3,I558&gt;O$7),I558,#N/A)</f>
        <v>#N/A</v>
      </c>
    </row>
    <row r="559" spans="5:33" x14ac:dyDescent="0.25">
      <c r="E559">
        <v>556</v>
      </c>
      <c r="F559">
        <v>13.272727272727273</v>
      </c>
      <c r="G559">
        <v>13.85</v>
      </c>
      <c r="H559">
        <v>14.5</v>
      </c>
      <c r="I559">
        <v>13.7</v>
      </c>
      <c r="Z559">
        <v>1</v>
      </c>
      <c r="AA559" t="e">
        <f t="array" ref="AA559">IF(OR(F559&lt;L$3,F559&gt;L$7),F559,#N/A)</f>
        <v>#N/A</v>
      </c>
      <c r="AB559">
        <f t="shared" si="9"/>
        <v>2</v>
      </c>
      <c r="AC559" t="e">
        <f t="array" ref="AC559">IF(OR(G559&lt;M$3,G559&gt;M$7),G559,#N/A)</f>
        <v>#N/A</v>
      </c>
      <c r="AD559">
        <f t="shared" si="9"/>
        <v>3</v>
      </c>
      <c r="AE559" t="e">
        <f t="array" ref="AE559">IF(OR(H559&lt;N$3,H559&gt;N$7),H559,#N/A)</f>
        <v>#N/A</v>
      </c>
      <c r="AF559">
        <f t="shared" si="9"/>
        <v>4</v>
      </c>
      <c r="AG559" t="e">
        <f t="array" ref="AG559">IF(OR(I559&lt;O$3,I559&gt;O$7),I559,#N/A)</f>
        <v>#N/A</v>
      </c>
    </row>
    <row r="560" spans="5:33" x14ac:dyDescent="0.25">
      <c r="E560">
        <v>557</v>
      </c>
      <c r="F560">
        <v>15.181818181818182</v>
      </c>
      <c r="G560">
        <v>13.25</v>
      </c>
      <c r="H560">
        <v>13.26</v>
      </c>
      <c r="I560">
        <v>14.07</v>
      </c>
      <c r="Z560">
        <v>1</v>
      </c>
      <c r="AA560" t="e">
        <f t="array" ref="AA560">IF(OR(F560&lt;L$3,F560&gt;L$7),F560,#N/A)</f>
        <v>#N/A</v>
      </c>
      <c r="AB560">
        <f t="shared" si="9"/>
        <v>2</v>
      </c>
      <c r="AC560" t="e">
        <f t="array" ref="AC560">IF(OR(G560&lt;M$3,G560&gt;M$7),G560,#N/A)</f>
        <v>#N/A</v>
      </c>
      <c r="AD560">
        <f t="shared" si="9"/>
        <v>3</v>
      </c>
      <c r="AE560" t="e">
        <f t="array" ref="AE560">IF(OR(H560&lt;N$3,H560&gt;N$7),H560,#N/A)</f>
        <v>#N/A</v>
      </c>
      <c r="AF560">
        <f t="shared" si="9"/>
        <v>4</v>
      </c>
      <c r="AG560" t="e">
        <f t="array" ref="AG560">IF(OR(I560&lt;O$3,I560&gt;O$7),I560,#N/A)</f>
        <v>#N/A</v>
      </c>
    </row>
    <row r="561" spans="5:33" x14ac:dyDescent="0.25">
      <c r="E561">
        <v>558</v>
      </c>
      <c r="F561">
        <v>9.2727272727272734</v>
      </c>
      <c r="G561">
        <v>11.75</v>
      </c>
      <c r="H561">
        <v>14.76</v>
      </c>
      <c r="I561">
        <v>14.55</v>
      </c>
      <c r="Z561">
        <v>1</v>
      </c>
      <c r="AA561" t="e">
        <f t="array" ref="AA561">IF(OR(F561&lt;L$3,F561&gt;L$7),F561,#N/A)</f>
        <v>#N/A</v>
      </c>
      <c r="AB561">
        <f t="shared" si="9"/>
        <v>2</v>
      </c>
      <c r="AC561" t="e">
        <f t="array" ref="AC561">IF(OR(G561&lt;M$3,G561&gt;M$7),G561,#N/A)</f>
        <v>#N/A</v>
      </c>
      <c r="AD561">
        <f t="shared" si="9"/>
        <v>3</v>
      </c>
      <c r="AE561" t="e">
        <f t="array" ref="AE561">IF(OR(H561&lt;N$3,H561&gt;N$7),H561,#N/A)</f>
        <v>#N/A</v>
      </c>
      <c r="AF561">
        <f t="shared" si="9"/>
        <v>4</v>
      </c>
      <c r="AG561" t="e">
        <f t="array" ref="AG561">IF(OR(I561&lt;O$3,I561&gt;O$7),I561,#N/A)</f>
        <v>#N/A</v>
      </c>
    </row>
    <row r="562" spans="5:33" x14ac:dyDescent="0.25">
      <c r="E562">
        <v>559</v>
      </c>
      <c r="F562">
        <v>10.181818181818182</v>
      </c>
      <c r="G562">
        <v>12.5</v>
      </c>
      <c r="H562">
        <v>14.12</v>
      </c>
      <c r="I562">
        <v>14.34</v>
      </c>
      <c r="Z562">
        <v>1</v>
      </c>
      <c r="AA562" t="e">
        <f t="array" ref="AA562">IF(OR(F562&lt;L$3,F562&gt;L$7),F562,#N/A)</f>
        <v>#N/A</v>
      </c>
      <c r="AB562">
        <f t="shared" si="9"/>
        <v>2</v>
      </c>
      <c r="AC562" t="e">
        <f t="array" ref="AC562">IF(OR(G562&lt;M$3,G562&gt;M$7),G562,#N/A)</f>
        <v>#N/A</v>
      </c>
      <c r="AD562">
        <f t="shared" si="9"/>
        <v>3</v>
      </c>
      <c r="AE562" t="e">
        <f t="array" ref="AE562">IF(OR(H562&lt;N$3,H562&gt;N$7),H562,#N/A)</f>
        <v>#N/A</v>
      </c>
      <c r="AF562">
        <f t="shared" si="9"/>
        <v>4</v>
      </c>
      <c r="AG562" t="e">
        <f t="array" ref="AG562">IF(OR(I562&lt;O$3,I562&gt;O$7),I562,#N/A)</f>
        <v>#N/A</v>
      </c>
    </row>
    <row r="563" spans="5:33" x14ac:dyDescent="0.25">
      <c r="E563">
        <v>560</v>
      </c>
      <c r="F563">
        <v>16.636363636363637</v>
      </c>
      <c r="G563">
        <v>14.15</v>
      </c>
      <c r="H563">
        <v>15</v>
      </c>
      <c r="I563">
        <v>14.43</v>
      </c>
      <c r="Z563">
        <v>1</v>
      </c>
      <c r="AA563" t="e">
        <f t="array" ref="AA563">IF(OR(F563&lt;L$3,F563&gt;L$7),F563,#N/A)</f>
        <v>#N/A</v>
      </c>
      <c r="AB563">
        <f t="shared" si="9"/>
        <v>2</v>
      </c>
      <c r="AC563" t="e">
        <f t="array" ref="AC563">IF(OR(G563&lt;M$3,G563&gt;M$7),G563,#N/A)</f>
        <v>#N/A</v>
      </c>
      <c r="AD563">
        <f t="shared" si="9"/>
        <v>3</v>
      </c>
      <c r="AE563" t="e">
        <f t="array" ref="AE563">IF(OR(H563&lt;N$3,H563&gt;N$7),H563,#N/A)</f>
        <v>#N/A</v>
      </c>
      <c r="AF563">
        <f t="shared" si="9"/>
        <v>4</v>
      </c>
      <c r="AG563" t="e">
        <f t="array" ref="AG563">IF(OR(I563&lt;O$3,I563&gt;O$7),I563,#N/A)</f>
        <v>#N/A</v>
      </c>
    </row>
    <row r="564" spans="5:33" x14ac:dyDescent="0.25">
      <c r="E564">
        <v>561</v>
      </c>
      <c r="F564">
        <v>12.272727272727273</v>
      </c>
      <c r="G564">
        <v>12.45</v>
      </c>
      <c r="H564">
        <v>11.94</v>
      </c>
      <c r="I564">
        <v>12.85</v>
      </c>
      <c r="Z564">
        <v>1</v>
      </c>
      <c r="AA564" t="e">
        <f t="array" ref="AA564">IF(OR(F564&lt;L$3,F564&gt;L$7),F564,#N/A)</f>
        <v>#N/A</v>
      </c>
      <c r="AB564">
        <f t="shared" si="9"/>
        <v>2</v>
      </c>
      <c r="AC564" t="e">
        <f t="array" ref="AC564">IF(OR(G564&lt;M$3,G564&gt;M$7),G564,#N/A)</f>
        <v>#N/A</v>
      </c>
      <c r="AD564">
        <f t="shared" si="9"/>
        <v>3</v>
      </c>
      <c r="AE564" t="e">
        <f t="array" ref="AE564">IF(OR(H564&lt;N$3,H564&gt;N$7),H564,#N/A)</f>
        <v>#N/A</v>
      </c>
      <c r="AF564">
        <f t="shared" si="9"/>
        <v>4</v>
      </c>
      <c r="AG564" t="e">
        <f t="array" ref="AG564">IF(OR(I564&lt;O$3,I564&gt;O$7),I564,#N/A)</f>
        <v>#N/A</v>
      </c>
    </row>
    <row r="565" spans="5:33" x14ac:dyDescent="0.25">
      <c r="E565">
        <v>562</v>
      </c>
      <c r="F565">
        <v>12.454545454545455</v>
      </c>
      <c r="G565">
        <v>14</v>
      </c>
      <c r="H565">
        <v>14.32</v>
      </c>
      <c r="I565">
        <v>14.21</v>
      </c>
      <c r="Z565">
        <v>1</v>
      </c>
      <c r="AA565" t="e">
        <f t="array" ref="AA565">IF(OR(F565&lt;L$3,F565&gt;L$7),F565,#N/A)</f>
        <v>#N/A</v>
      </c>
      <c r="AB565">
        <f t="shared" si="9"/>
        <v>2</v>
      </c>
      <c r="AC565" t="e">
        <f t="array" ref="AC565">IF(OR(G565&lt;M$3,G565&gt;M$7),G565,#N/A)</f>
        <v>#N/A</v>
      </c>
      <c r="AD565">
        <f t="shared" si="9"/>
        <v>3</v>
      </c>
      <c r="AE565" t="e">
        <f t="array" ref="AE565">IF(OR(H565&lt;N$3,H565&gt;N$7),H565,#N/A)</f>
        <v>#N/A</v>
      </c>
      <c r="AF565">
        <f t="shared" si="9"/>
        <v>4</v>
      </c>
      <c r="AG565" t="e">
        <f t="array" ref="AG565">IF(OR(I565&lt;O$3,I565&gt;O$7),I565,#N/A)</f>
        <v>#N/A</v>
      </c>
    </row>
    <row r="566" spans="5:33" x14ac:dyDescent="0.25">
      <c r="E566">
        <v>563</v>
      </c>
      <c r="F566">
        <v>12.363636363636363</v>
      </c>
      <c r="G566">
        <v>12.35</v>
      </c>
      <c r="H566">
        <v>14.24</v>
      </c>
      <c r="I566">
        <v>15.29</v>
      </c>
      <c r="Z566">
        <v>1</v>
      </c>
      <c r="AA566" t="e">
        <f t="array" ref="AA566">IF(OR(F566&lt;L$3,F566&gt;L$7),F566,#N/A)</f>
        <v>#N/A</v>
      </c>
      <c r="AB566">
        <f t="shared" si="9"/>
        <v>2</v>
      </c>
      <c r="AC566" t="e">
        <f t="array" ref="AC566">IF(OR(G566&lt;M$3,G566&gt;M$7),G566,#N/A)</f>
        <v>#N/A</v>
      </c>
      <c r="AD566">
        <f t="shared" si="9"/>
        <v>3</v>
      </c>
      <c r="AE566" t="e">
        <f t="array" ref="AE566">IF(OR(H566&lt;N$3,H566&gt;N$7),H566,#N/A)</f>
        <v>#N/A</v>
      </c>
      <c r="AF566">
        <f t="shared" si="9"/>
        <v>4</v>
      </c>
      <c r="AG566" t="e">
        <f t="array" ref="AG566">IF(OR(I566&lt;O$3,I566&gt;O$7),I566,#N/A)</f>
        <v>#N/A</v>
      </c>
    </row>
    <row r="567" spans="5:33" x14ac:dyDescent="0.25">
      <c r="E567">
        <v>564</v>
      </c>
      <c r="F567">
        <v>15.636363636363637</v>
      </c>
      <c r="G567">
        <v>16.899999999999999</v>
      </c>
      <c r="H567">
        <v>14.48</v>
      </c>
      <c r="I567">
        <v>13.03</v>
      </c>
      <c r="Z567">
        <v>1</v>
      </c>
      <c r="AA567" t="e">
        <f t="array" ref="AA567">IF(OR(F567&lt;L$3,F567&gt;L$7),F567,#N/A)</f>
        <v>#N/A</v>
      </c>
      <c r="AB567">
        <f t="shared" si="9"/>
        <v>2</v>
      </c>
      <c r="AC567" t="e">
        <f t="array" ref="AC567">IF(OR(G567&lt;M$3,G567&gt;M$7),G567,#N/A)</f>
        <v>#N/A</v>
      </c>
      <c r="AD567">
        <f t="shared" si="9"/>
        <v>3</v>
      </c>
      <c r="AE567" t="e">
        <f t="array" ref="AE567">IF(OR(H567&lt;N$3,H567&gt;N$7),H567,#N/A)</f>
        <v>#N/A</v>
      </c>
      <c r="AF567">
        <f t="shared" si="9"/>
        <v>4</v>
      </c>
      <c r="AG567" t="e">
        <f t="array" ref="AG567">IF(OR(I567&lt;O$3,I567&gt;O$7),I567,#N/A)</f>
        <v>#N/A</v>
      </c>
    </row>
    <row r="568" spans="5:33" x14ac:dyDescent="0.25">
      <c r="E568">
        <v>565</v>
      </c>
      <c r="F568">
        <v>14.181818181818182</v>
      </c>
      <c r="G568">
        <v>13.3</v>
      </c>
      <c r="H568">
        <v>14.06</v>
      </c>
      <c r="I568">
        <v>13.98</v>
      </c>
      <c r="Z568">
        <v>1</v>
      </c>
      <c r="AA568" t="e">
        <f t="array" ref="AA568">IF(OR(F568&lt;L$3,F568&gt;L$7),F568,#N/A)</f>
        <v>#N/A</v>
      </c>
      <c r="AB568">
        <f t="shared" si="9"/>
        <v>2</v>
      </c>
      <c r="AC568" t="e">
        <f t="array" ref="AC568">IF(OR(G568&lt;M$3,G568&gt;M$7),G568,#N/A)</f>
        <v>#N/A</v>
      </c>
      <c r="AD568">
        <f t="shared" si="9"/>
        <v>3</v>
      </c>
      <c r="AE568" t="e">
        <f t="array" ref="AE568">IF(OR(H568&lt;N$3,H568&gt;N$7),H568,#N/A)</f>
        <v>#N/A</v>
      </c>
      <c r="AF568">
        <f t="shared" si="9"/>
        <v>4</v>
      </c>
      <c r="AG568" t="e">
        <f t="array" ref="AG568">IF(OR(I568&lt;O$3,I568&gt;O$7),I568,#N/A)</f>
        <v>#N/A</v>
      </c>
    </row>
    <row r="569" spans="5:33" x14ac:dyDescent="0.25">
      <c r="E569">
        <v>566</v>
      </c>
      <c r="F569">
        <v>12.272727272727273</v>
      </c>
      <c r="G569">
        <v>13</v>
      </c>
      <c r="H569">
        <v>16.16</v>
      </c>
      <c r="I569">
        <v>14.88</v>
      </c>
      <c r="Z569">
        <v>1</v>
      </c>
      <c r="AA569" t="e">
        <f t="array" ref="AA569">IF(OR(F569&lt;L$3,F569&gt;L$7),F569,#N/A)</f>
        <v>#N/A</v>
      </c>
      <c r="AB569">
        <f t="shared" si="9"/>
        <v>2</v>
      </c>
      <c r="AC569" t="e">
        <f t="array" ref="AC569">IF(OR(G569&lt;M$3,G569&gt;M$7),G569,#N/A)</f>
        <v>#N/A</v>
      </c>
      <c r="AD569">
        <f t="shared" si="9"/>
        <v>3</v>
      </c>
      <c r="AE569" t="e">
        <f t="array" ref="AE569">IF(OR(H569&lt;N$3,H569&gt;N$7),H569,#N/A)</f>
        <v>#N/A</v>
      </c>
      <c r="AF569">
        <f t="shared" si="9"/>
        <v>4</v>
      </c>
      <c r="AG569" t="e">
        <f t="array" ref="AG569">IF(OR(I569&lt;O$3,I569&gt;O$7),I569,#N/A)</f>
        <v>#N/A</v>
      </c>
    </row>
    <row r="570" spans="5:33" x14ac:dyDescent="0.25">
      <c r="E570">
        <v>567</v>
      </c>
      <c r="F570">
        <v>10.181818181818182</v>
      </c>
      <c r="G570">
        <v>11.6</v>
      </c>
      <c r="H570">
        <v>13.9</v>
      </c>
      <c r="I570">
        <v>14.83</v>
      </c>
      <c r="Z570">
        <v>1</v>
      </c>
      <c r="AA570" t="e">
        <f t="array" ref="AA570">IF(OR(F570&lt;L$3,F570&gt;L$7),F570,#N/A)</f>
        <v>#N/A</v>
      </c>
      <c r="AB570">
        <f t="shared" si="9"/>
        <v>2</v>
      </c>
      <c r="AC570" t="e">
        <f t="array" ref="AC570">IF(OR(G570&lt;M$3,G570&gt;M$7),G570,#N/A)</f>
        <v>#N/A</v>
      </c>
      <c r="AD570">
        <f t="shared" si="9"/>
        <v>3</v>
      </c>
      <c r="AE570" t="e">
        <f t="array" ref="AE570">IF(OR(H570&lt;N$3,H570&gt;N$7),H570,#N/A)</f>
        <v>#N/A</v>
      </c>
      <c r="AF570">
        <f t="shared" si="9"/>
        <v>4</v>
      </c>
      <c r="AG570" t="e">
        <f t="array" ref="AG570">IF(OR(I570&lt;O$3,I570&gt;O$7),I570,#N/A)</f>
        <v>#N/A</v>
      </c>
    </row>
    <row r="571" spans="5:33" x14ac:dyDescent="0.25">
      <c r="E571">
        <v>568</v>
      </c>
      <c r="F571">
        <v>12.545454545454545</v>
      </c>
      <c r="G571">
        <v>13.8</v>
      </c>
      <c r="H571">
        <v>13.9</v>
      </c>
      <c r="I571">
        <v>13.77</v>
      </c>
      <c r="Z571">
        <v>1</v>
      </c>
      <c r="AA571" t="e">
        <f t="array" ref="AA571">IF(OR(F571&lt;L$3,F571&gt;L$7),F571,#N/A)</f>
        <v>#N/A</v>
      </c>
      <c r="AB571">
        <f t="shared" si="9"/>
        <v>2</v>
      </c>
      <c r="AC571" t="e">
        <f t="array" ref="AC571">IF(OR(G571&lt;M$3,G571&gt;M$7),G571,#N/A)</f>
        <v>#N/A</v>
      </c>
      <c r="AD571">
        <f t="shared" si="9"/>
        <v>3</v>
      </c>
      <c r="AE571" t="e">
        <f t="array" ref="AE571">IF(OR(H571&lt;N$3,H571&gt;N$7),H571,#N/A)</f>
        <v>#N/A</v>
      </c>
      <c r="AF571">
        <f t="shared" si="9"/>
        <v>4</v>
      </c>
      <c r="AG571" t="e">
        <f t="array" ref="AG571">IF(OR(I571&lt;O$3,I571&gt;O$7),I571,#N/A)</f>
        <v>#N/A</v>
      </c>
    </row>
    <row r="572" spans="5:33" x14ac:dyDescent="0.25">
      <c r="E572">
        <v>569</v>
      </c>
      <c r="F572">
        <v>12.272727272727273</v>
      </c>
      <c r="G572">
        <v>11.45</v>
      </c>
      <c r="H572">
        <v>13.1</v>
      </c>
      <c r="I572">
        <v>14.03</v>
      </c>
      <c r="Z572">
        <v>1</v>
      </c>
      <c r="AA572" t="e">
        <f t="array" ref="AA572">IF(OR(F572&lt;L$3,F572&gt;L$7),F572,#N/A)</f>
        <v>#N/A</v>
      </c>
      <c r="AB572">
        <f t="shared" si="9"/>
        <v>2</v>
      </c>
      <c r="AC572" t="e">
        <f t="array" ref="AC572">IF(OR(G572&lt;M$3,G572&gt;M$7),G572,#N/A)</f>
        <v>#N/A</v>
      </c>
      <c r="AD572">
        <f t="shared" si="9"/>
        <v>3</v>
      </c>
      <c r="AE572" t="e">
        <f t="array" ref="AE572">IF(OR(H572&lt;N$3,H572&gt;N$7),H572,#N/A)</f>
        <v>#N/A</v>
      </c>
      <c r="AF572">
        <f t="shared" si="9"/>
        <v>4</v>
      </c>
      <c r="AG572" t="e">
        <f t="array" ref="AG572">IF(OR(I572&lt;O$3,I572&gt;O$7),I572,#N/A)</f>
        <v>#N/A</v>
      </c>
    </row>
    <row r="573" spans="5:33" x14ac:dyDescent="0.25">
      <c r="E573">
        <v>570</v>
      </c>
      <c r="F573">
        <v>20.181818181818183</v>
      </c>
      <c r="G573">
        <v>16.75</v>
      </c>
      <c r="H573">
        <v>16.52</v>
      </c>
      <c r="I573">
        <v>15.6</v>
      </c>
      <c r="Z573">
        <v>1</v>
      </c>
      <c r="AA573">
        <f t="array" ref="AA573">IF(OR(F573&lt;L$3,F573&gt;L$7),F573,#N/A)</f>
        <v>20.181818181818183</v>
      </c>
      <c r="AB573">
        <f t="shared" si="9"/>
        <v>2</v>
      </c>
      <c r="AC573" t="e">
        <f t="array" ref="AC573">IF(OR(G573&lt;M$3,G573&gt;M$7),G573,#N/A)</f>
        <v>#N/A</v>
      </c>
      <c r="AD573">
        <f t="shared" si="9"/>
        <v>3</v>
      </c>
      <c r="AE573" t="e">
        <f t="array" ref="AE573">IF(OR(H573&lt;N$3,H573&gt;N$7),H573,#N/A)</f>
        <v>#N/A</v>
      </c>
      <c r="AF573">
        <f t="shared" si="9"/>
        <v>4</v>
      </c>
      <c r="AG573" t="e">
        <f t="array" ref="AG573">IF(OR(I573&lt;O$3,I573&gt;O$7),I573,#N/A)</f>
        <v>#N/A</v>
      </c>
    </row>
    <row r="574" spans="5:33" x14ac:dyDescent="0.25">
      <c r="E574">
        <v>571</v>
      </c>
      <c r="F574">
        <v>12</v>
      </c>
      <c r="G574">
        <v>11.55</v>
      </c>
      <c r="H574">
        <v>12.68</v>
      </c>
      <c r="I574">
        <v>13.44</v>
      </c>
      <c r="Z574">
        <v>1</v>
      </c>
      <c r="AA574" t="e">
        <f t="array" ref="AA574">IF(OR(F574&lt;L$3,F574&gt;L$7),F574,#N/A)</f>
        <v>#N/A</v>
      </c>
      <c r="AB574">
        <f t="shared" si="9"/>
        <v>2</v>
      </c>
      <c r="AC574" t="e">
        <f t="array" ref="AC574">IF(OR(G574&lt;M$3,G574&gt;M$7),G574,#N/A)</f>
        <v>#N/A</v>
      </c>
      <c r="AD574">
        <f t="shared" si="9"/>
        <v>3</v>
      </c>
      <c r="AE574" t="e">
        <f t="array" ref="AE574">IF(OR(H574&lt;N$3,H574&gt;N$7),H574,#N/A)</f>
        <v>#N/A</v>
      </c>
      <c r="AF574">
        <f t="shared" si="9"/>
        <v>4</v>
      </c>
      <c r="AG574" t="e">
        <f t="array" ref="AG574">IF(OR(I574&lt;O$3,I574&gt;O$7),I574,#N/A)</f>
        <v>#N/A</v>
      </c>
    </row>
    <row r="575" spans="5:33" x14ac:dyDescent="0.25">
      <c r="E575">
        <v>572</v>
      </c>
      <c r="F575">
        <v>13</v>
      </c>
      <c r="G575">
        <v>13</v>
      </c>
      <c r="H575">
        <v>13.84</v>
      </c>
      <c r="I575">
        <v>14.19</v>
      </c>
      <c r="Z575">
        <v>1</v>
      </c>
      <c r="AA575" t="e">
        <f t="array" ref="AA575">IF(OR(F575&lt;L$3,F575&gt;L$7),F575,#N/A)</f>
        <v>#N/A</v>
      </c>
      <c r="AB575">
        <f t="shared" si="9"/>
        <v>2</v>
      </c>
      <c r="AC575" t="e">
        <f t="array" ref="AC575">IF(OR(G575&lt;M$3,G575&gt;M$7),G575,#N/A)</f>
        <v>#N/A</v>
      </c>
      <c r="AD575">
        <f t="shared" si="9"/>
        <v>3</v>
      </c>
      <c r="AE575" t="e">
        <f t="array" ref="AE575">IF(OR(H575&lt;N$3,H575&gt;N$7),H575,#N/A)</f>
        <v>#N/A</v>
      </c>
      <c r="AF575">
        <f t="shared" si="9"/>
        <v>4</v>
      </c>
      <c r="AG575" t="e">
        <f t="array" ref="AG575">IF(OR(I575&lt;O$3,I575&gt;O$7),I575,#N/A)</f>
        <v>#N/A</v>
      </c>
    </row>
    <row r="576" spans="5:33" x14ac:dyDescent="0.25">
      <c r="E576">
        <v>573</v>
      </c>
      <c r="F576">
        <v>15.363636363636363</v>
      </c>
      <c r="G576">
        <v>14.75</v>
      </c>
      <c r="H576">
        <v>13.74</v>
      </c>
      <c r="I576">
        <v>14.24</v>
      </c>
      <c r="Z576">
        <v>1</v>
      </c>
      <c r="AA576" t="e">
        <f t="array" ref="AA576">IF(OR(F576&lt;L$3,F576&gt;L$7),F576,#N/A)</f>
        <v>#N/A</v>
      </c>
      <c r="AB576">
        <f t="shared" si="9"/>
        <v>2</v>
      </c>
      <c r="AC576" t="e">
        <f t="array" ref="AC576">IF(OR(G576&lt;M$3,G576&gt;M$7),G576,#N/A)</f>
        <v>#N/A</v>
      </c>
      <c r="AD576">
        <f t="shared" si="9"/>
        <v>3</v>
      </c>
      <c r="AE576" t="e">
        <f t="array" ref="AE576">IF(OR(H576&lt;N$3,H576&gt;N$7),H576,#N/A)</f>
        <v>#N/A</v>
      </c>
      <c r="AF576">
        <f t="shared" si="9"/>
        <v>4</v>
      </c>
      <c r="AG576" t="e">
        <f t="array" ref="AG576">IF(OR(I576&lt;O$3,I576&gt;O$7),I576,#N/A)</f>
        <v>#N/A</v>
      </c>
    </row>
    <row r="577" spans="5:33" x14ac:dyDescent="0.25">
      <c r="E577">
        <v>574</v>
      </c>
      <c r="F577">
        <v>18.818181818181817</v>
      </c>
      <c r="G577">
        <v>15.55</v>
      </c>
      <c r="H577">
        <v>15.18</v>
      </c>
      <c r="I577">
        <v>14.15</v>
      </c>
      <c r="Z577">
        <v>1</v>
      </c>
      <c r="AA577" t="e">
        <f t="array" ref="AA577">IF(OR(F577&lt;L$3,F577&gt;L$7),F577,#N/A)</f>
        <v>#N/A</v>
      </c>
      <c r="AB577">
        <f t="shared" si="9"/>
        <v>2</v>
      </c>
      <c r="AC577" t="e">
        <f t="array" ref="AC577">IF(OR(G577&lt;M$3,G577&gt;M$7),G577,#N/A)</f>
        <v>#N/A</v>
      </c>
      <c r="AD577">
        <f t="shared" si="9"/>
        <v>3</v>
      </c>
      <c r="AE577" t="e">
        <f t="array" ref="AE577">IF(OR(H577&lt;N$3,H577&gt;N$7),H577,#N/A)</f>
        <v>#N/A</v>
      </c>
      <c r="AF577">
        <f t="shared" si="9"/>
        <v>4</v>
      </c>
      <c r="AG577" t="e">
        <f t="array" ref="AG577">IF(OR(I577&lt;O$3,I577&gt;O$7),I577,#N/A)</f>
        <v>#N/A</v>
      </c>
    </row>
    <row r="578" spans="5:33" x14ac:dyDescent="0.25">
      <c r="E578">
        <v>575</v>
      </c>
      <c r="F578">
        <v>16.272727272727273</v>
      </c>
      <c r="G578">
        <v>15.5</v>
      </c>
      <c r="H578">
        <v>14</v>
      </c>
      <c r="I578">
        <v>13.58</v>
      </c>
      <c r="Z578">
        <v>1</v>
      </c>
      <c r="AA578" t="e">
        <f t="array" ref="AA578">IF(OR(F578&lt;L$3,F578&gt;L$7),F578,#N/A)</f>
        <v>#N/A</v>
      </c>
      <c r="AB578">
        <f t="shared" si="9"/>
        <v>2</v>
      </c>
      <c r="AC578" t="e">
        <f t="array" ref="AC578">IF(OR(G578&lt;M$3,G578&gt;M$7),G578,#N/A)</f>
        <v>#N/A</v>
      </c>
      <c r="AD578">
        <f t="shared" si="9"/>
        <v>3</v>
      </c>
      <c r="AE578" t="e">
        <f t="array" ref="AE578">IF(OR(H578&lt;N$3,H578&gt;N$7),H578,#N/A)</f>
        <v>#N/A</v>
      </c>
      <c r="AF578">
        <f t="shared" si="9"/>
        <v>4</v>
      </c>
      <c r="AG578" t="e">
        <f t="array" ref="AG578">IF(OR(I578&lt;O$3,I578&gt;O$7),I578,#N/A)</f>
        <v>#N/A</v>
      </c>
    </row>
    <row r="579" spans="5:33" x14ac:dyDescent="0.25">
      <c r="E579">
        <v>576</v>
      </c>
      <c r="F579">
        <v>11.545454545454545</v>
      </c>
      <c r="G579">
        <v>13.65</v>
      </c>
      <c r="H579">
        <v>14.3</v>
      </c>
      <c r="I579">
        <v>14.29</v>
      </c>
      <c r="Z579">
        <v>1</v>
      </c>
      <c r="AA579" t="e">
        <f t="array" ref="AA579">IF(OR(F579&lt;L$3,F579&gt;L$7),F579,#N/A)</f>
        <v>#N/A</v>
      </c>
      <c r="AB579">
        <f t="shared" si="9"/>
        <v>2</v>
      </c>
      <c r="AC579" t="e">
        <f t="array" ref="AC579">IF(OR(G579&lt;M$3,G579&gt;M$7),G579,#N/A)</f>
        <v>#N/A</v>
      </c>
      <c r="AD579">
        <f t="shared" si="9"/>
        <v>3</v>
      </c>
      <c r="AE579" t="e">
        <f t="array" ref="AE579">IF(OR(H579&lt;N$3,H579&gt;N$7),H579,#N/A)</f>
        <v>#N/A</v>
      </c>
      <c r="AF579">
        <f t="shared" si="9"/>
        <v>4</v>
      </c>
      <c r="AG579" t="e">
        <f t="array" ref="AG579">IF(OR(I579&lt;O$3,I579&gt;O$7),I579,#N/A)</f>
        <v>#N/A</v>
      </c>
    </row>
    <row r="580" spans="5:33" x14ac:dyDescent="0.25">
      <c r="E580">
        <v>577</v>
      </c>
      <c r="F580">
        <v>13.363636363636363</v>
      </c>
      <c r="G580">
        <v>14.8</v>
      </c>
      <c r="H580">
        <v>15.06</v>
      </c>
      <c r="I580">
        <v>14.65</v>
      </c>
      <c r="Z580">
        <v>1</v>
      </c>
      <c r="AA580" t="e">
        <f t="array" ref="AA580">IF(OR(F580&lt;L$3,F580&gt;L$7),F580,#N/A)</f>
        <v>#N/A</v>
      </c>
      <c r="AB580">
        <f t="shared" si="9"/>
        <v>2</v>
      </c>
      <c r="AC580" t="e">
        <f t="array" ref="AC580">IF(OR(G580&lt;M$3,G580&gt;M$7),G580,#N/A)</f>
        <v>#N/A</v>
      </c>
      <c r="AD580">
        <f t="shared" si="9"/>
        <v>3</v>
      </c>
      <c r="AE580" t="e">
        <f t="array" ref="AE580">IF(OR(H580&lt;N$3,H580&gt;N$7),H580,#N/A)</f>
        <v>#N/A</v>
      </c>
      <c r="AF580">
        <f t="shared" si="9"/>
        <v>4</v>
      </c>
      <c r="AG580" t="e">
        <f t="array" ref="AG580">IF(OR(I580&lt;O$3,I580&gt;O$7),I580,#N/A)</f>
        <v>#N/A</v>
      </c>
    </row>
    <row r="581" spans="5:33" x14ac:dyDescent="0.25">
      <c r="E581">
        <v>578</v>
      </c>
      <c r="F581">
        <v>12.818181818181818</v>
      </c>
      <c r="G581">
        <v>12.2</v>
      </c>
      <c r="H581">
        <v>13.56</v>
      </c>
      <c r="I581">
        <v>13.48</v>
      </c>
      <c r="Z581">
        <v>1</v>
      </c>
      <c r="AA581" t="e">
        <f t="array" ref="AA581">IF(OR(F581&lt;L$3,F581&gt;L$7),F581,#N/A)</f>
        <v>#N/A</v>
      </c>
      <c r="AB581">
        <f t="shared" ref="AB581:AF644" si="10">Z581+1</f>
        <v>2</v>
      </c>
      <c r="AC581" t="e">
        <f t="array" ref="AC581">IF(OR(G581&lt;M$3,G581&gt;M$7),G581,#N/A)</f>
        <v>#N/A</v>
      </c>
      <c r="AD581">
        <f t="shared" si="10"/>
        <v>3</v>
      </c>
      <c r="AE581" t="e">
        <f t="array" ref="AE581">IF(OR(H581&lt;N$3,H581&gt;N$7),H581,#N/A)</f>
        <v>#N/A</v>
      </c>
      <c r="AF581">
        <f t="shared" si="10"/>
        <v>4</v>
      </c>
      <c r="AG581" t="e">
        <f t="array" ref="AG581">IF(OR(I581&lt;O$3,I581&gt;O$7),I581,#N/A)</f>
        <v>#N/A</v>
      </c>
    </row>
    <row r="582" spans="5:33" x14ac:dyDescent="0.25">
      <c r="E582">
        <v>579</v>
      </c>
      <c r="F582">
        <v>14.272727272727273</v>
      </c>
      <c r="G582">
        <v>14.9</v>
      </c>
      <c r="H582">
        <v>14.02</v>
      </c>
      <c r="I582">
        <v>14.14</v>
      </c>
      <c r="Z582">
        <v>1</v>
      </c>
      <c r="AA582" t="e">
        <f t="array" ref="AA582">IF(OR(F582&lt;L$3,F582&gt;L$7),F582,#N/A)</f>
        <v>#N/A</v>
      </c>
      <c r="AB582">
        <f t="shared" si="10"/>
        <v>2</v>
      </c>
      <c r="AC582" t="e">
        <f t="array" ref="AC582">IF(OR(G582&lt;M$3,G582&gt;M$7),G582,#N/A)</f>
        <v>#N/A</v>
      </c>
      <c r="AD582">
        <f t="shared" si="10"/>
        <v>3</v>
      </c>
      <c r="AE582" t="e">
        <f t="array" ref="AE582">IF(OR(H582&lt;N$3,H582&gt;N$7),H582,#N/A)</f>
        <v>#N/A</v>
      </c>
      <c r="AF582">
        <f t="shared" si="10"/>
        <v>4</v>
      </c>
      <c r="AG582" t="e">
        <f t="array" ref="AG582">IF(OR(I582&lt;O$3,I582&gt;O$7),I582,#N/A)</f>
        <v>#N/A</v>
      </c>
    </row>
    <row r="583" spans="5:33" x14ac:dyDescent="0.25">
      <c r="E583">
        <v>580</v>
      </c>
      <c r="F583">
        <v>14.818181818181818</v>
      </c>
      <c r="G583">
        <v>14.4</v>
      </c>
      <c r="H583">
        <v>13.22</v>
      </c>
      <c r="I583">
        <v>14.19</v>
      </c>
      <c r="Z583">
        <v>1</v>
      </c>
      <c r="AA583" t="e">
        <f t="array" ref="AA583">IF(OR(F583&lt;L$3,F583&gt;L$7),F583,#N/A)</f>
        <v>#N/A</v>
      </c>
      <c r="AB583">
        <f t="shared" si="10"/>
        <v>2</v>
      </c>
      <c r="AC583" t="e">
        <f t="array" ref="AC583">IF(OR(G583&lt;M$3,G583&gt;M$7),G583,#N/A)</f>
        <v>#N/A</v>
      </c>
      <c r="AD583">
        <f t="shared" si="10"/>
        <v>3</v>
      </c>
      <c r="AE583" t="e">
        <f t="array" ref="AE583">IF(OR(H583&lt;N$3,H583&gt;N$7),H583,#N/A)</f>
        <v>#N/A</v>
      </c>
      <c r="AF583">
        <f t="shared" si="10"/>
        <v>4</v>
      </c>
      <c r="AG583" t="e">
        <f t="array" ref="AG583">IF(OR(I583&lt;O$3,I583&gt;O$7),I583,#N/A)</f>
        <v>#N/A</v>
      </c>
    </row>
    <row r="584" spans="5:33" x14ac:dyDescent="0.25">
      <c r="E584">
        <v>581</v>
      </c>
      <c r="F584">
        <v>20.272727272727273</v>
      </c>
      <c r="G584">
        <v>18.75</v>
      </c>
      <c r="H584">
        <v>16.78</v>
      </c>
      <c r="I584">
        <v>14.78</v>
      </c>
      <c r="Z584">
        <v>1</v>
      </c>
      <c r="AA584">
        <f t="array" ref="AA584">IF(OR(F584&lt;L$3,F584&gt;L$7),F584,#N/A)</f>
        <v>20.272727272727273</v>
      </c>
      <c r="AB584">
        <f t="shared" si="10"/>
        <v>2</v>
      </c>
      <c r="AC584">
        <f t="array" ref="AC584">IF(OR(G584&lt;M$3,G584&gt;M$7),G584,#N/A)</f>
        <v>18.75</v>
      </c>
      <c r="AD584">
        <f t="shared" si="10"/>
        <v>3</v>
      </c>
      <c r="AE584" t="e">
        <f t="array" ref="AE584">IF(OR(H584&lt;N$3,H584&gt;N$7),H584,#N/A)</f>
        <v>#N/A</v>
      </c>
      <c r="AF584">
        <f t="shared" si="10"/>
        <v>4</v>
      </c>
      <c r="AG584" t="e">
        <f t="array" ref="AG584">IF(OR(I584&lt;O$3,I584&gt;O$7),I584,#N/A)</f>
        <v>#N/A</v>
      </c>
    </row>
    <row r="585" spans="5:33" x14ac:dyDescent="0.25">
      <c r="E585">
        <v>582</v>
      </c>
      <c r="F585">
        <v>15.545454545454545</v>
      </c>
      <c r="G585">
        <v>13.75</v>
      </c>
      <c r="H585">
        <v>12.34</v>
      </c>
      <c r="I585">
        <v>12.9</v>
      </c>
      <c r="Z585">
        <v>1</v>
      </c>
      <c r="AA585" t="e">
        <f t="array" ref="AA585">IF(OR(F585&lt;L$3,F585&gt;L$7),F585,#N/A)</f>
        <v>#N/A</v>
      </c>
      <c r="AB585">
        <f t="shared" si="10"/>
        <v>2</v>
      </c>
      <c r="AC585" t="e">
        <f t="array" ref="AC585">IF(OR(G585&lt;M$3,G585&gt;M$7),G585,#N/A)</f>
        <v>#N/A</v>
      </c>
      <c r="AD585">
        <f t="shared" si="10"/>
        <v>3</v>
      </c>
      <c r="AE585" t="e">
        <f t="array" ref="AE585">IF(OR(H585&lt;N$3,H585&gt;N$7),H585,#N/A)</f>
        <v>#N/A</v>
      </c>
      <c r="AF585">
        <f t="shared" si="10"/>
        <v>4</v>
      </c>
      <c r="AG585" t="e">
        <f t="array" ref="AG585">IF(OR(I585&lt;O$3,I585&gt;O$7),I585,#N/A)</f>
        <v>#N/A</v>
      </c>
    </row>
    <row r="586" spans="5:33" x14ac:dyDescent="0.25">
      <c r="E586">
        <v>583</v>
      </c>
      <c r="F586">
        <v>12.636363636363637</v>
      </c>
      <c r="G586">
        <v>12.9</v>
      </c>
      <c r="H586">
        <v>13.8</v>
      </c>
      <c r="I586">
        <v>14.24</v>
      </c>
      <c r="Z586">
        <v>1</v>
      </c>
      <c r="AA586" t="e">
        <f t="array" ref="AA586">IF(OR(F586&lt;L$3,F586&gt;L$7),F586,#N/A)</f>
        <v>#N/A</v>
      </c>
      <c r="AB586">
        <f t="shared" si="10"/>
        <v>2</v>
      </c>
      <c r="AC586" t="e">
        <f t="array" ref="AC586">IF(OR(G586&lt;M$3,G586&gt;M$7),G586,#N/A)</f>
        <v>#N/A</v>
      </c>
      <c r="AD586">
        <f t="shared" si="10"/>
        <v>3</v>
      </c>
      <c r="AE586" t="e">
        <f t="array" ref="AE586">IF(OR(H586&lt;N$3,H586&gt;N$7),H586,#N/A)</f>
        <v>#N/A</v>
      </c>
      <c r="AF586">
        <f t="shared" si="10"/>
        <v>4</v>
      </c>
      <c r="AG586" t="e">
        <f t="array" ref="AG586">IF(OR(I586&lt;O$3,I586&gt;O$7),I586,#N/A)</f>
        <v>#N/A</v>
      </c>
    </row>
    <row r="587" spans="5:33" x14ac:dyDescent="0.25">
      <c r="E587">
        <v>584</v>
      </c>
      <c r="F587">
        <v>12</v>
      </c>
      <c r="G587">
        <v>12.05</v>
      </c>
      <c r="H587">
        <v>12.86</v>
      </c>
      <c r="I587">
        <v>14.42</v>
      </c>
      <c r="Z587">
        <v>1</v>
      </c>
      <c r="AA587" t="e">
        <f t="array" ref="AA587">IF(OR(F587&lt;L$3,F587&gt;L$7),F587,#N/A)</f>
        <v>#N/A</v>
      </c>
      <c r="AB587">
        <f t="shared" si="10"/>
        <v>2</v>
      </c>
      <c r="AC587" t="e">
        <f t="array" ref="AC587">IF(OR(G587&lt;M$3,G587&gt;M$7),G587,#N/A)</f>
        <v>#N/A</v>
      </c>
      <c r="AD587">
        <f t="shared" si="10"/>
        <v>3</v>
      </c>
      <c r="AE587" t="e">
        <f t="array" ref="AE587">IF(OR(H587&lt;N$3,H587&gt;N$7),H587,#N/A)</f>
        <v>#N/A</v>
      </c>
      <c r="AF587">
        <f t="shared" si="10"/>
        <v>4</v>
      </c>
      <c r="AG587" t="e">
        <f t="array" ref="AG587">IF(OR(I587&lt;O$3,I587&gt;O$7),I587,#N/A)</f>
        <v>#N/A</v>
      </c>
    </row>
    <row r="588" spans="5:33" x14ac:dyDescent="0.25">
      <c r="E588">
        <v>585</v>
      </c>
      <c r="F588">
        <v>14.545454545454545</v>
      </c>
      <c r="G588">
        <v>12.65</v>
      </c>
      <c r="H588">
        <v>14.76</v>
      </c>
      <c r="I588">
        <v>13.97</v>
      </c>
      <c r="Z588">
        <v>1</v>
      </c>
      <c r="AA588" t="e">
        <f t="array" ref="AA588">IF(OR(F588&lt;L$3,F588&gt;L$7),F588,#N/A)</f>
        <v>#N/A</v>
      </c>
      <c r="AB588">
        <f t="shared" si="10"/>
        <v>2</v>
      </c>
      <c r="AC588" t="e">
        <f t="array" ref="AC588">IF(OR(G588&lt;M$3,G588&gt;M$7),G588,#N/A)</f>
        <v>#N/A</v>
      </c>
      <c r="AD588">
        <f t="shared" si="10"/>
        <v>3</v>
      </c>
      <c r="AE588" t="e">
        <f t="array" ref="AE588">IF(OR(H588&lt;N$3,H588&gt;N$7),H588,#N/A)</f>
        <v>#N/A</v>
      </c>
      <c r="AF588">
        <f t="shared" si="10"/>
        <v>4</v>
      </c>
      <c r="AG588" t="e">
        <f t="array" ref="AG588">IF(OR(I588&lt;O$3,I588&gt;O$7),I588,#N/A)</f>
        <v>#N/A</v>
      </c>
    </row>
    <row r="589" spans="5:33" x14ac:dyDescent="0.25">
      <c r="E589">
        <v>586</v>
      </c>
      <c r="F589">
        <v>13.818181818181818</v>
      </c>
      <c r="G589">
        <v>13.85</v>
      </c>
      <c r="H589">
        <v>13.18</v>
      </c>
      <c r="I589">
        <v>13.38</v>
      </c>
      <c r="Z589">
        <v>1</v>
      </c>
      <c r="AA589" t="e">
        <f t="array" ref="AA589">IF(OR(F589&lt;L$3,F589&gt;L$7),F589,#N/A)</f>
        <v>#N/A</v>
      </c>
      <c r="AB589">
        <f t="shared" si="10"/>
        <v>2</v>
      </c>
      <c r="AC589" t="e">
        <f t="array" ref="AC589">IF(OR(G589&lt;M$3,G589&gt;M$7),G589,#N/A)</f>
        <v>#N/A</v>
      </c>
      <c r="AD589">
        <f t="shared" si="10"/>
        <v>3</v>
      </c>
      <c r="AE589" t="e">
        <f t="array" ref="AE589">IF(OR(H589&lt;N$3,H589&gt;N$7),H589,#N/A)</f>
        <v>#N/A</v>
      </c>
      <c r="AF589">
        <f t="shared" si="10"/>
        <v>4</v>
      </c>
      <c r="AG589" t="e">
        <f t="array" ref="AG589">IF(OR(I589&lt;O$3,I589&gt;O$7),I589,#N/A)</f>
        <v>#N/A</v>
      </c>
    </row>
    <row r="590" spans="5:33" x14ac:dyDescent="0.25">
      <c r="E590">
        <v>587</v>
      </c>
      <c r="F590">
        <v>13</v>
      </c>
      <c r="G590">
        <v>12.45</v>
      </c>
      <c r="H590">
        <v>13.88</v>
      </c>
      <c r="I590">
        <v>13.68</v>
      </c>
      <c r="Z590">
        <v>1</v>
      </c>
      <c r="AA590" t="e">
        <f t="array" ref="AA590">IF(OR(F590&lt;L$3,F590&gt;L$7),F590,#N/A)</f>
        <v>#N/A</v>
      </c>
      <c r="AB590">
        <f t="shared" si="10"/>
        <v>2</v>
      </c>
      <c r="AC590" t="e">
        <f t="array" ref="AC590">IF(OR(G590&lt;M$3,G590&gt;M$7),G590,#N/A)</f>
        <v>#N/A</v>
      </c>
      <c r="AD590">
        <f t="shared" si="10"/>
        <v>3</v>
      </c>
      <c r="AE590" t="e">
        <f t="array" ref="AE590">IF(OR(H590&lt;N$3,H590&gt;N$7),H590,#N/A)</f>
        <v>#N/A</v>
      </c>
      <c r="AF590">
        <f t="shared" si="10"/>
        <v>4</v>
      </c>
      <c r="AG590" t="e">
        <f t="array" ref="AG590">IF(OR(I590&lt;O$3,I590&gt;O$7),I590,#N/A)</f>
        <v>#N/A</v>
      </c>
    </row>
    <row r="591" spans="5:33" x14ac:dyDescent="0.25">
      <c r="E591">
        <v>588</v>
      </c>
      <c r="F591">
        <v>14.545454545454545</v>
      </c>
      <c r="G591">
        <v>13.95</v>
      </c>
      <c r="H591">
        <v>13.84</v>
      </c>
      <c r="I591">
        <v>14.49</v>
      </c>
      <c r="Z591">
        <v>1</v>
      </c>
      <c r="AA591" t="e">
        <f t="array" ref="AA591">IF(OR(F591&lt;L$3,F591&gt;L$7),F591,#N/A)</f>
        <v>#N/A</v>
      </c>
      <c r="AB591">
        <f t="shared" si="10"/>
        <v>2</v>
      </c>
      <c r="AC591" t="e">
        <f t="array" ref="AC591">IF(OR(G591&lt;M$3,G591&gt;M$7),G591,#N/A)</f>
        <v>#N/A</v>
      </c>
      <c r="AD591">
        <f t="shared" si="10"/>
        <v>3</v>
      </c>
      <c r="AE591" t="e">
        <f t="array" ref="AE591">IF(OR(H591&lt;N$3,H591&gt;N$7),H591,#N/A)</f>
        <v>#N/A</v>
      </c>
      <c r="AF591">
        <f t="shared" si="10"/>
        <v>4</v>
      </c>
      <c r="AG591" t="e">
        <f t="array" ref="AG591">IF(OR(I591&lt;O$3,I591&gt;O$7),I591,#N/A)</f>
        <v>#N/A</v>
      </c>
    </row>
    <row r="592" spans="5:33" x14ac:dyDescent="0.25">
      <c r="E592">
        <v>589</v>
      </c>
      <c r="F592">
        <v>15</v>
      </c>
      <c r="G592">
        <v>13.4</v>
      </c>
      <c r="H592">
        <v>15.1</v>
      </c>
      <c r="I592">
        <v>14.44</v>
      </c>
      <c r="Z592">
        <v>1</v>
      </c>
      <c r="AA592" t="e">
        <f t="array" ref="AA592">IF(OR(F592&lt;L$3,F592&gt;L$7),F592,#N/A)</f>
        <v>#N/A</v>
      </c>
      <c r="AB592">
        <f t="shared" si="10"/>
        <v>2</v>
      </c>
      <c r="AC592" t="e">
        <f t="array" ref="AC592">IF(OR(G592&lt;M$3,G592&gt;M$7),G592,#N/A)</f>
        <v>#N/A</v>
      </c>
      <c r="AD592">
        <f t="shared" si="10"/>
        <v>3</v>
      </c>
      <c r="AE592" t="e">
        <f t="array" ref="AE592">IF(OR(H592&lt;N$3,H592&gt;N$7),H592,#N/A)</f>
        <v>#N/A</v>
      </c>
      <c r="AF592">
        <f t="shared" si="10"/>
        <v>4</v>
      </c>
      <c r="AG592" t="e">
        <f t="array" ref="AG592">IF(OR(I592&lt;O$3,I592&gt;O$7),I592,#N/A)</f>
        <v>#N/A</v>
      </c>
    </row>
    <row r="593" spans="5:33" x14ac:dyDescent="0.25">
      <c r="E593">
        <v>590</v>
      </c>
      <c r="F593">
        <v>15.727272727272727</v>
      </c>
      <c r="G593">
        <v>15.5</v>
      </c>
      <c r="H593">
        <v>16.22</v>
      </c>
      <c r="I593">
        <v>15.09</v>
      </c>
      <c r="Z593">
        <v>1</v>
      </c>
      <c r="AA593" t="e">
        <f t="array" ref="AA593">IF(OR(F593&lt;L$3,F593&gt;L$7),F593,#N/A)</f>
        <v>#N/A</v>
      </c>
      <c r="AB593">
        <f t="shared" si="10"/>
        <v>2</v>
      </c>
      <c r="AC593" t="e">
        <f t="array" ref="AC593">IF(OR(G593&lt;M$3,G593&gt;M$7),G593,#N/A)</f>
        <v>#N/A</v>
      </c>
      <c r="AD593">
        <f t="shared" si="10"/>
        <v>3</v>
      </c>
      <c r="AE593" t="e">
        <f t="array" ref="AE593">IF(OR(H593&lt;N$3,H593&gt;N$7),H593,#N/A)</f>
        <v>#N/A</v>
      </c>
      <c r="AF593">
        <f t="shared" si="10"/>
        <v>4</v>
      </c>
      <c r="AG593" t="e">
        <f t="array" ref="AG593">IF(OR(I593&lt;O$3,I593&gt;O$7),I593,#N/A)</f>
        <v>#N/A</v>
      </c>
    </row>
    <row r="594" spans="5:33" x14ac:dyDescent="0.25">
      <c r="E594">
        <v>591</v>
      </c>
      <c r="F594">
        <v>13.727272727272727</v>
      </c>
      <c r="G594">
        <v>13.8</v>
      </c>
      <c r="H594">
        <v>13.22</v>
      </c>
      <c r="I594">
        <v>13.49</v>
      </c>
      <c r="Z594">
        <v>1</v>
      </c>
      <c r="AA594" t="e">
        <f t="array" ref="AA594">IF(OR(F594&lt;L$3,F594&gt;L$7),F594,#N/A)</f>
        <v>#N/A</v>
      </c>
      <c r="AB594">
        <f t="shared" si="10"/>
        <v>2</v>
      </c>
      <c r="AC594" t="e">
        <f t="array" ref="AC594">IF(OR(G594&lt;M$3,G594&gt;M$7),G594,#N/A)</f>
        <v>#N/A</v>
      </c>
      <c r="AD594">
        <f t="shared" si="10"/>
        <v>3</v>
      </c>
      <c r="AE594" t="e">
        <f t="array" ref="AE594">IF(OR(H594&lt;N$3,H594&gt;N$7),H594,#N/A)</f>
        <v>#N/A</v>
      </c>
      <c r="AF594">
        <f t="shared" si="10"/>
        <v>4</v>
      </c>
      <c r="AG594" t="e">
        <f t="array" ref="AG594">IF(OR(I594&lt;O$3,I594&gt;O$7),I594,#N/A)</f>
        <v>#N/A</v>
      </c>
    </row>
    <row r="595" spans="5:33" x14ac:dyDescent="0.25">
      <c r="E595">
        <v>592</v>
      </c>
      <c r="F595">
        <v>13.727272727272727</v>
      </c>
      <c r="G595">
        <v>12.7</v>
      </c>
      <c r="H595">
        <v>14.5</v>
      </c>
      <c r="I595">
        <v>14.16</v>
      </c>
      <c r="Z595">
        <v>1</v>
      </c>
      <c r="AA595" t="e">
        <f t="array" ref="AA595">IF(OR(F595&lt;L$3,F595&gt;L$7),F595,#N/A)</f>
        <v>#N/A</v>
      </c>
      <c r="AB595">
        <f t="shared" si="10"/>
        <v>2</v>
      </c>
      <c r="AC595" t="e">
        <f t="array" ref="AC595">IF(OR(G595&lt;M$3,G595&gt;M$7),G595,#N/A)</f>
        <v>#N/A</v>
      </c>
      <c r="AD595">
        <f t="shared" si="10"/>
        <v>3</v>
      </c>
      <c r="AE595" t="e">
        <f t="array" ref="AE595">IF(OR(H595&lt;N$3,H595&gt;N$7),H595,#N/A)</f>
        <v>#N/A</v>
      </c>
      <c r="AF595">
        <f t="shared" si="10"/>
        <v>4</v>
      </c>
      <c r="AG595" t="e">
        <f t="array" ref="AG595">IF(OR(I595&lt;O$3,I595&gt;O$7),I595,#N/A)</f>
        <v>#N/A</v>
      </c>
    </row>
    <row r="596" spans="5:33" x14ac:dyDescent="0.25">
      <c r="E596">
        <v>593</v>
      </c>
      <c r="F596">
        <v>12.272727272727273</v>
      </c>
      <c r="G596">
        <v>13.4</v>
      </c>
      <c r="H596">
        <v>14.62</v>
      </c>
      <c r="I596">
        <v>14.93</v>
      </c>
      <c r="Z596">
        <v>1</v>
      </c>
      <c r="AA596" t="e">
        <f t="array" ref="AA596">IF(OR(F596&lt;L$3,F596&gt;L$7),F596,#N/A)</f>
        <v>#N/A</v>
      </c>
      <c r="AB596">
        <f t="shared" si="10"/>
        <v>2</v>
      </c>
      <c r="AC596" t="e">
        <f t="array" ref="AC596">IF(OR(G596&lt;M$3,G596&gt;M$7),G596,#N/A)</f>
        <v>#N/A</v>
      </c>
      <c r="AD596">
        <f t="shared" si="10"/>
        <v>3</v>
      </c>
      <c r="AE596" t="e">
        <f t="array" ref="AE596">IF(OR(H596&lt;N$3,H596&gt;N$7),H596,#N/A)</f>
        <v>#N/A</v>
      </c>
      <c r="AF596">
        <f t="shared" si="10"/>
        <v>4</v>
      </c>
      <c r="AG596" t="e">
        <f t="array" ref="AG596">IF(OR(I596&lt;O$3,I596&gt;O$7),I596,#N/A)</f>
        <v>#N/A</v>
      </c>
    </row>
    <row r="597" spans="5:33" x14ac:dyDescent="0.25">
      <c r="E597">
        <v>594</v>
      </c>
      <c r="F597">
        <v>14.181818181818182</v>
      </c>
      <c r="G597">
        <v>17.55</v>
      </c>
      <c r="H597">
        <v>16.239999999999998</v>
      </c>
      <c r="I597">
        <v>14.34</v>
      </c>
      <c r="Z597">
        <v>1</v>
      </c>
      <c r="AA597" t="e">
        <f t="array" ref="AA597">IF(OR(F597&lt;L$3,F597&gt;L$7),F597,#N/A)</f>
        <v>#N/A</v>
      </c>
      <c r="AB597">
        <f t="shared" si="10"/>
        <v>2</v>
      </c>
      <c r="AC597" t="e">
        <f t="array" ref="AC597">IF(OR(G597&lt;M$3,G597&gt;M$7),G597,#N/A)</f>
        <v>#N/A</v>
      </c>
      <c r="AD597">
        <f t="shared" si="10"/>
        <v>3</v>
      </c>
      <c r="AE597" t="e">
        <f t="array" ref="AE597">IF(OR(H597&lt;N$3,H597&gt;N$7),H597,#N/A)</f>
        <v>#N/A</v>
      </c>
      <c r="AF597">
        <f t="shared" si="10"/>
        <v>4</v>
      </c>
      <c r="AG597" t="e">
        <f t="array" ref="AG597">IF(OR(I597&lt;O$3,I597&gt;O$7),I597,#N/A)</f>
        <v>#N/A</v>
      </c>
    </row>
    <row r="598" spans="5:33" x14ac:dyDescent="0.25">
      <c r="E598">
        <v>595</v>
      </c>
      <c r="F598">
        <v>12.272727272727273</v>
      </c>
      <c r="G598">
        <v>12.65</v>
      </c>
      <c r="H598">
        <v>12.44</v>
      </c>
      <c r="I598">
        <v>13.74</v>
      </c>
      <c r="Z598">
        <v>1</v>
      </c>
      <c r="AA598" t="e">
        <f t="array" ref="AA598">IF(OR(F598&lt;L$3,F598&gt;L$7),F598,#N/A)</f>
        <v>#N/A</v>
      </c>
      <c r="AB598">
        <f t="shared" si="10"/>
        <v>2</v>
      </c>
      <c r="AC598" t="e">
        <f t="array" ref="AC598">IF(OR(G598&lt;M$3,G598&gt;M$7),G598,#N/A)</f>
        <v>#N/A</v>
      </c>
      <c r="AD598">
        <f t="shared" si="10"/>
        <v>3</v>
      </c>
      <c r="AE598" t="e">
        <f t="array" ref="AE598">IF(OR(H598&lt;N$3,H598&gt;N$7),H598,#N/A)</f>
        <v>#N/A</v>
      </c>
      <c r="AF598">
        <f t="shared" si="10"/>
        <v>4</v>
      </c>
      <c r="AG598" t="e">
        <f t="array" ref="AG598">IF(OR(I598&lt;O$3,I598&gt;O$7),I598,#N/A)</f>
        <v>#N/A</v>
      </c>
    </row>
    <row r="599" spans="5:33" x14ac:dyDescent="0.25">
      <c r="E599">
        <v>596</v>
      </c>
      <c r="F599">
        <v>15.363636363636363</v>
      </c>
      <c r="G599">
        <v>14</v>
      </c>
      <c r="H599">
        <v>13.46</v>
      </c>
      <c r="I599">
        <v>13.23</v>
      </c>
      <c r="Z599">
        <v>1</v>
      </c>
      <c r="AA599" t="e">
        <f t="array" ref="AA599">IF(OR(F599&lt;L$3,F599&gt;L$7),F599,#N/A)</f>
        <v>#N/A</v>
      </c>
      <c r="AB599">
        <f t="shared" si="10"/>
        <v>2</v>
      </c>
      <c r="AC599" t="e">
        <f t="array" ref="AC599">IF(OR(G599&lt;M$3,G599&gt;M$7),G599,#N/A)</f>
        <v>#N/A</v>
      </c>
      <c r="AD599">
        <f t="shared" si="10"/>
        <v>3</v>
      </c>
      <c r="AE599" t="e">
        <f t="array" ref="AE599">IF(OR(H599&lt;N$3,H599&gt;N$7),H599,#N/A)</f>
        <v>#N/A</v>
      </c>
      <c r="AF599">
        <f t="shared" si="10"/>
        <v>4</v>
      </c>
      <c r="AG599" t="e">
        <f t="array" ref="AG599">IF(OR(I599&lt;O$3,I599&gt;O$7),I599,#N/A)</f>
        <v>#N/A</v>
      </c>
    </row>
    <row r="600" spans="5:33" x14ac:dyDescent="0.25">
      <c r="E600">
        <v>597</v>
      </c>
      <c r="F600">
        <v>14.272727272727273</v>
      </c>
      <c r="G600">
        <v>14.45</v>
      </c>
      <c r="H600">
        <v>13.02</v>
      </c>
      <c r="I600">
        <v>13.6</v>
      </c>
      <c r="Z600">
        <v>1</v>
      </c>
      <c r="AA600" t="e">
        <f t="array" ref="AA600">IF(OR(F600&lt;L$3,F600&gt;L$7),F600,#N/A)</f>
        <v>#N/A</v>
      </c>
      <c r="AB600">
        <f t="shared" si="10"/>
        <v>2</v>
      </c>
      <c r="AC600" t="e">
        <f t="array" ref="AC600">IF(OR(G600&lt;M$3,G600&gt;M$7),G600,#N/A)</f>
        <v>#N/A</v>
      </c>
      <c r="AD600">
        <f t="shared" si="10"/>
        <v>3</v>
      </c>
      <c r="AE600" t="e">
        <f t="array" ref="AE600">IF(OR(H600&lt;N$3,H600&gt;N$7),H600,#N/A)</f>
        <v>#N/A</v>
      </c>
      <c r="AF600">
        <f t="shared" si="10"/>
        <v>4</v>
      </c>
      <c r="AG600" t="e">
        <f t="array" ref="AG600">IF(OR(I600&lt;O$3,I600&gt;O$7),I600,#N/A)</f>
        <v>#N/A</v>
      </c>
    </row>
    <row r="601" spans="5:33" x14ac:dyDescent="0.25">
      <c r="E601">
        <v>598</v>
      </c>
      <c r="F601">
        <v>17.272727272727273</v>
      </c>
      <c r="G601">
        <v>14.6</v>
      </c>
      <c r="H601">
        <v>14.5</v>
      </c>
      <c r="I601">
        <v>14.35</v>
      </c>
      <c r="Z601">
        <v>1</v>
      </c>
      <c r="AA601" t="e">
        <f t="array" ref="AA601">IF(OR(F601&lt;L$3,F601&gt;L$7),F601,#N/A)</f>
        <v>#N/A</v>
      </c>
      <c r="AB601">
        <f t="shared" si="10"/>
        <v>2</v>
      </c>
      <c r="AC601" t="e">
        <f t="array" ref="AC601">IF(OR(G601&lt;M$3,G601&gt;M$7),G601,#N/A)</f>
        <v>#N/A</v>
      </c>
      <c r="AD601">
        <f t="shared" si="10"/>
        <v>3</v>
      </c>
      <c r="AE601" t="e">
        <f t="array" ref="AE601">IF(OR(H601&lt;N$3,H601&gt;N$7),H601,#N/A)</f>
        <v>#N/A</v>
      </c>
      <c r="AF601">
        <f t="shared" si="10"/>
        <v>4</v>
      </c>
      <c r="AG601" t="e">
        <f t="array" ref="AG601">IF(OR(I601&lt;O$3,I601&gt;O$7),I601,#N/A)</f>
        <v>#N/A</v>
      </c>
    </row>
    <row r="602" spans="5:33" x14ac:dyDescent="0.25">
      <c r="E602">
        <v>599</v>
      </c>
      <c r="F602">
        <v>16.636363636363637</v>
      </c>
      <c r="G602">
        <v>16.899999999999999</v>
      </c>
      <c r="H602">
        <v>15.54</v>
      </c>
      <c r="I602">
        <v>14.93</v>
      </c>
      <c r="Z602">
        <v>1</v>
      </c>
      <c r="AA602" t="e">
        <f t="array" ref="AA602">IF(OR(F602&lt;L$3,F602&gt;L$7),F602,#N/A)</f>
        <v>#N/A</v>
      </c>
      <c r="AB602">
        <f t="shared" si="10"/>
        <v>2</v>
      </c>
      <c r="AC602" t="e">
        <f t="array" ref="AC602">IF(OR(G602&lt;M$3,G602&gt;M$7),G602,#N/A)</f>
        <v>#N/A</v>
      </c>
      <c r="AD602">
        <f t="shared" si="10"/>
        <v>3</v>
      </c>
      <c r="AE602" t="e">
        <f t="array" ref="AE602">IF(OR(H602&lt;N$3,H602&gt;N$7),H602,#N/A)</f>
        <v>#N/A</v>
      </c>
      <c r="AF602">
        <f t="shared" si="10"/>
        <v>4</v>
      </c>
      <c r="AG602" t="e">
        <f t="array" ref="AG602">IF(OR(I602&lt;O$3,I602&gt;O$7),I602,#N/A)</f>
        <v>#N/A</v>
      </c>
    </row>
    <row r="603" spans="5:33" x14ac:dyDescent="0.25">
      <c r="E603">
        <v>600</v>
      </c>
      <c r="F603">
        <v>9.7272727272727266</v>
      </c>
      <c r="G603">
        <v>11.1</v>
      </c>
      <c r="H603">
        <v>13.7</v>
      </c>
      <c r="I603">
        <v>13.81</v>
      </c>
      <c r="Z603">
        <v>1</v>
      </c>
      <c r="AA603" t="e">
        <f t="array" ref="AA603">IF(OR(F603&lt;L$3,F603&gt;L$7),F603,#N/A)</f>
        <v>#N/A</v>
      </c>
      <c r="AB603">
        <f t="shared" si="10"/>
        <v>2</v>
      </c>
      <c r="AC603" t="e">
        <f t="array" ref="AC603">IF(OR(G603&lt;M$3,G603&gt;M$7),G603,#N/A)</f>
        <v>#N/A</v>
      </c>
      <c r="AD603">
        <f t="shared" si="10"/>
        <v>3</v>
      </c>
      <c r="AE603" t="e">
        <f t="array" ref="AE603">IF(OR(H603&lt;N$3,H603&gt;N$7),H603,#N/A)</f>
        <v>#N/A</v>
      </c>
      <c r="AF603">
        <f t="shared" si="10"/>
        <v>4</v>
      </c>
      <c r="AG603" t="e">
        <f t="array" ref="AG603">IF(OR(I603&lt;O$3,I603&gt;O$7),I603,#N/A)</f>
        <v>#N/A</v>
      </c>
    </row>
    <row r="604" spans="5:33" x14ac:dyDescent="0.25">
      <c r="E604">
        <v>601</v>
      </c>
      <c r="F604">
        <v>17.181818181818183</v>
      </c>
      <c r="G604">
        <v>16.899999999999999</v>
      </c>
      <c r="H604">
        <v>15.62</v>
      </c>
      <c r="I604">
        <v>15.04</v>
      </c>
      <c r="Z604">
        <v>1</v>
      </c>
      <c r="AA604" t="e">
        <f t="array" ref="AA604">IF(OR(F604&lt;L$3,F604&gt;L$7),F604,#N/A)</f>
        <v>#N/A</v>
      </c>
      <c r="AB604">
        <f t="shared" si="10"/>
        <v>2</v>
      </c>
      <c r="AC604" t="e">
        <f t="array" ref="AC604">IF(OR(G604&lt;M$3,G604&gt;M$7),G604,#N/A)</f>
        <v>#N/A</v>
      </c>
      <c r="AD604">
        <f t="shared" si="10"/>
        <v>3</v>
      </c>
      <c r="AE604" t="e">
        <f t="array" ref="AE604">IF(OR(H604&lt;N$3,H604&gt;N$7),H604,#N/A)</f>
        <v>#N/A</v>
      </c>
      <c r="AF604">
        <f t="shared" si="10"/>
        <v>4</v>
      </c>
      <c r="AG604" t="e">
        <f t="array" ref="AG604">IF(OR(I604&lt;O$3,I604&gt;O$7),I604,#N/A)</f>
        <v>#N/A</v>
      </c>
    </row>
    <row r="605" spans="5:33" x14ac:dyDescent="0.25">
      <c r="E605">
        <v>602</v>
      </c>
      <c r="F605">
        <v>12.454545454545455</v>
      </c>
      <c r="G605">
        <v>12.9</v>
      </c>
      <c r="H605">
        <v>14.36</v>
      </c>
      <c r="I605">
        <v>14.41</v>
      </c>
      <c r="Z605">
        <v>1</v>
      </c>
      <c r="AA605" t="e">
        <f t="array" ref="AA605">IF(OR(F605&lt;L$3,F605&gt;L$7),F605,#N/A)</f>
        <v>#N/A</v>
      </c>
      <c r="AB605">
        <f t="shared" si="10"/>
        <v>2</v>
      </c>
      <c r="AC605" t="e">
        <f t="array" ref="AC605">IF(OR(G605&lt;M$3,G605&gt;M$7),G605,#N/A)</f>
        <v>#N/A</v>
      </c>
      <c r="AD605">
        <f t="shared" si="10"/>
        <v>3</v>
      </c>
      <c r="AE605" t="e">
        <f t="array" ref="AE605">IF(OR(H605&lt;N$3,H605&gt;N$7),H605,#N/A)</f>
        <v>#N/A</v>
      </c>
      <c r="AF605">
        <f t="shared" si="10"/>
        <v>4</v>
      </c>
      <c r="AG605" t="e">
        <f t="array" ref="AG605">IF(OR(I605&lt;O$3,I605&gt;O$7),I605,#N/A)</f>
        <v>#N/A</v>
      </c>
    </row>
    <row r="606" spans="5:33" x14ac:dyDescent="0.25">
      <c r="E606">
        <v>603</v>
      </c>
      <c r="F606">
        <v>9.2727272727272734</v>
      </c>
      <c r="G606">
        <v>9.75</v>
      </c>
      <c r="H606">
        <v>13.06</v>
      </c>
      <c r="I606">
        <v>13.17</v>
      </c>
      <c r="Z606">
        <v>1</v>
      </c>
      <c r="AA606" t="e">
        <f t="array" ref="AA606">IF(OR(F606&lt;L$3,F606&gt;L$7),F606,#N/A)</f>
        <v>#N/A</v>
      </c>
      <c r="AB606">
        <f t="shared" si="10"/>
        <v>2</v>
      </c>
      <c r="AC606" t="e">
        <f t="array" ref="AC606">IF(OR(G606&lt;M$3,G606&gt;M$7),G606,#N/A)</f>
        <v>#N/A</v>
      </c>
      <c r="AD606">
        <f t="shared" si="10"/>
        <v>3</v>
      </c>
      <c r="AE606" t="e">
        <f t="array" ref="AE606">IF(OR(H606&lt;N$3,H606&gt;N$7),H606,#N/A)</f>
        <v>#N/A</v>
      </c>
      <c r="AF606">
        <f t="shared" si="10"/>
        <v>4</v>
      </c>
      <c r="AG606" t="e">
        <f t="array" ref="AG606">IF(OR(I606&lt;O$3,I606&gt;O$7),I606,#N/A)</f>
        <v>#N/A</v>
      </c>
    </row>
    <row r="607" spans="5:33" x14ac:dyDescent="0.25">
      <c r="E607">
        <v>604</v>
      </c>
      <c r="F607">
        <v>15.818181818181818</v>
      </c>
      <c r="G607">
        <v>13.9</v>
      </c>
      <c r="H607">
        <v>14.36</v>
      </c>
      <c r="I607">
        <v>13.99</v>
      </c>
      <c r="Z607">
        <v>1</v>
      </c>
      <c r="AA607" t="e">
        <f t="array" ref="AA607">IF(OR(F607&lt;L$3,F607&gt;L$7),F607,#N/A)</f>
        <v>#N/A</v>
      </c>
      <c r="AB607">
        <f t="shared" si="10"/>
        <v>2</v>
      </c>
      <c r="AC607" t="e">
        <f t="array" ref="AC607">IF(OR(G607&lt;M$3,G607&gt;M$7),G607,#N/A)</f>
        <v>#N/A</v>
      </c>
      <c r="AD607">
        <f t="shared" si="10"/>
        <v>3</v>
      </c>
      <c r="AE607" t="e">
        <f t="array" ref="AE607">IF(OR(H607&lt;N$3,H607&gt;N$7),H607,#N/A)</f>
        <v>#N/A</v>
      </c>
      <c r="AF607">
        <f t="shared" si="10"/>
        <v>4</v>
      </c>
      <c r="AG607" t="e">
        <f t="array" ref="AG607">IF(OR(I607&lt;O$3,I607&gt;O$7),I607,#N/A)</f>
        <v>#N/A</v>
      </c>
    </row>
    <row r="608" spans="5:33" x14ac:dyDescent="0.25">
      <c r="E608">
        <v>605</v>
      </c>
      <c r="F608">
        <v>13.454545454545455</v>
      </c>
      <c r="G608">
        <v>12.4</v>
      </c>
      <c r="H608">
        <v>12.96</v>
      </c>
      <c r="I608">
        <v>13.8</v>
      </c>
      <c r="Z608">
        <v>1</v>
      </c>
      <c r="AA608" t="e">
        <f t="array" ref="AA608">IF(OR(F608&lt;L$3,F608&gt;L$7),F608,#N/A)</f>
        <v>#N/A</v>
      </c>
      <c r="AB608">
        <f t="shared" si="10"/>
        <v>2</v>
      </c>
      <c r="AC608" t="e">
        <f t="array" ref="AC608">IF(OR(G608&lt;M$3,G608&gt;M$7),G608,#N/A)</f>
        <v>#N/A</v>
      </c>
      <c r="AD608">
        <f t="shared" si="10"/>
        <v>3</v>
      </c>
      <c r="AE608" t="e">
        <f t="array" ref="AE608">IF(OR(H608&lt;N$3,H608&gt;N$7),H608,#N/A)</f>
        <v>#N/A</v>
      </c>
      <c r="AF608">
        <f t="shared" si="10"/>
        <v>4</v>
      </c>
      <c r="AG608" t="e">
        <f t="array" ref="AG608">IF(OR(I608&lt;O$3,I608&gt;O$7),I608,#N/A)</f>
        <v>#N/A</v>
      </c>
    </row>
    <row r="609" spans="5:33" x14ac:dyDescent="0.25">
      <c r="E609">
        <v>606</v>
      </c>
      <c r="F609">
        <v>13.818181818181818</v>
      </c>
      <c r="G609">
        <v>13.3</v>
      </c>
      <c r="H609">
        <v>14.44</v>
      </c>
      <c r="I609">
        <v>14.34</v>
      </c>
      <c r="Z609">
        <v>1</v>
      </c>
      <c r="AA609" t="e">
        <f t="array" ref="AA609">IF(OR(F609&lt;L$3,F609&gt;L$7),F609,#N/A)</f>
        <v>#N/A</v>
      </c>
      <c r="AB609">
        <f t="shared" si="10"/>
        <v>2</v>
      </c>
      <c r="AC609" t="e">
        <f t="array" ref="AC609">IF(OR(G609&lt;M$3,G609&gt;M$7),G609,#N/A)</f>
        <v>#N/A</v>
      </c>
      <c r="AD609">
        <f t="shared" si="10"/>
        <v>3</v>
      </c>
      <c r="AE609" t="e">
        <f t="array" ref="AE609">IF(OR(H609&lt;N$3,H609&gt;N$7),H609,#N/A)</f>
        <v>#N/A</v>
      </c>
      <c r="AF609">
        <f t="shared" si="10"/>
        <v>4</v>
      </c>
      <c r="AG609" t="e">
        <f t="array" ref="AG609">IF(OR(I609&lt;O$3,I609&gt;O$7),I609,#N/A)</f>
        <v>#N/A</v>
      </c>
    </row>
    <row r="610" spans="5:33" x14ac:dyDescent="0.25">
      <c r="E610">
        <v>607</v>
      </c>
      <c r="F610">
        <v>20.181818181818183</v>
      </c>
      <c r="G610">
        <v>17.2</v>
      </c>
      <c r="H610">
        <v>16.86</v>
      </c>
      <c r="I610">
        <v>13.99</v>
      </c>
      <c r="Z610">
        <v>1</v>
      </c>
      <c r="AA610">
        <f t="array" ref="AA610">IF(OR(F610&lt;L$3,F610&gt;L$7),F610,#N/A)</f>
        <v>20.181818181818183</v>
      </c>
      <c r="AB610">
        <f t="shared" si="10"/>
        <v>2</v>
      </c>
      <c r="AC610" t="e">
        <f t="array" ref="AC610">IF(OR(G610&lt;M$3,G610&gt;M$7),G610,#N/A)</f>
        <v>#N/A</v>
      </c>
      <c r="AD610">
        <f t="shared" si="10"/>
        <v>3</v>
      </c>
      <c r="AE610" t="e">
        <f t="array" ref="AE610">IF(OR(H610&lt;N$3,H610&gt;N$7),H610,#N/A)</f>
        <v>#N/A</v>
      </c>
      <c r="AF610">
        <f t="shared" si="10"/>
        <v>4</v>
      </c>
      <c r="AG610" t="e">
        <f t="array" ref="AG610">IF(OR(I610&lt;O$3,I610&gt;O$7),I610,#N/A)</f>
        <v>#N/A</v>
      </c>
    </row>
    <row r="611" spans="5:33" x14ac:dyDescent="0.25">
      <c r="E611">
        <v>608</v>
      </c>
      <c r="F611">
        <v>12.090909090909092</v>
      </c>
      <c r="G611">
        <v>14.4</v>
      </c>
      <c r="H611">
        <v>13.84</v>
      </c>
      <c r="I611">
        <v>14.23</v>
      </c>
      <c r="Z611">
        <v>1</v>
      </c>
      <c r="AA611" t="e">
        <f t="array" ref="AA611">IF(OR(F611&lt;L$3,F611&gt;L$7),F611,#N/A)</f>
        <v>#N/A</v>
      </c>
      <c r="AB611">
        <f t="shared" si="10"/>
        <v>2</v>
      </c>
      <c r="AC611" t="e">
        <f t="array" ref="AC611">IF(OR(G611&lt;M$3,G611&gt;M$7),G611,#N/A)</f>
        <v>#N/A</v>
      </c>
      <c r="AD611">
        <f t="shared" si="10"/>
        <v>3</v>
      </c>
      <c r="AE611" t="e">
        <f t="array" ref="AE611">IF(OR(H611&lt;N$3,H611&gt;N$7),H611,#N/A)</f>
        <v>#N/A</v>
      </c>
      <c r="AF611">
        <f t="shared" si="10"/>
        <v>4</v>
      </c>
      <c r="AG611" t="e">
        <f t="array" ref="AG611">IF(OR(I611&lt;O$3,I611&gt;O$7),I611,#N/A)</f>
        <v>#N/A</v>
      </c>
    </row>
    <row r="612" spans="5:33" x14ac:dyDescent="0.25">
      <c r="E612">
        <v>609</v>
      </c>
      <c r="F612">
        <v>14.363636363636363</v>
      </c>
      <c r="G612">
        <v>12.65</v>
      </c>
      <c r="H612">
        <v>13.14</v>
      </c>
      <c r="I612">
        <v>14.21</v>
      </c>
      <c r="Z612">
        <v>1</v>
      </c>
      <c r="AA612" t="e">
        <f t="array" ref="AA612">IF(OR(F612&lt;L$3,F612&gt;L$7),F612,#N/A)</f>
        <v>#N/A</v>
      </c>
      <c r="AB612">
        <f t="shared" si="10"/>
        <v>2</v>
      </c>
      <c r="AC612" t="e">
        <f t="array" ref="AC612">IF(OR(G612&lt;M$3,G612&gt;M$7),G612,#N/A)</f>
        <v>#N/A</v>
      </c>
      <c r="AD612">
        <f t="shared" si="10"/>
        <v>3</v>
      </c>
      <c r="AE612" t="e">
        <f t="array" ref="AE612">IF(OR(H612&lt;N$3,H612&gt;N$7),H612,#N/A)</f>
        <v>#N/A</v>
      </c>
      <c r="AF612">
        <f t="shared" si="10"/>
        <v>4</v>
      </c>
      <c r="AG612" t="e">
        <f t="array" ref="AG612">IF(OR(I612&lt;O$3,I612&gt;O$7),I612,#N/A)</f>
        <v>#N/A</v>
      </c>
    </row>
    <row r="613" spans="5:33" x14ac:dyDescent="0.25">
      <c r="E613">
        <v>610</v>
      </c>
      <c r="F613">
        <v>14.909090909090908</v>
      </c>
      <c r="G613">
        <v>14.7</v>
      </c>
      <c r="H613">
        <v>13.8</v>
      </c>
      <c r="I613">
        <v>14.03</v>
      </c>
      <c r="Z613">
        <v>1</v>
      </c>
      <c r="AA613" t="e">
        <f t="array" ref="AA613">IF(OR(F613&lt;L$3,F613&gt;L$7),F613,#N/A)</f>
        <v>#N/A</v>
      </c>
      <c r="AB613">
        <f t="shared" si="10"/>
        <v>2</v>
      </c>
      <c r="AC613" t="e">
        <f t="array" ref="AC613">IF(OR(G613&lt;M$3,G613&gt;M$7),G613,#N/A)</f>
        <v>#N/A</v>
      </c>
      <c r="AD613">
        <f t="shared" si="10"/>
        <v>3</v>
      </c>
      <c r="AE613" t="e">
        <f t="array" ref="AE613">IF(OR(H613&lt;N$3,H613&gt;N$7),H613,#N/A)</f>
        <v>#N/A</v>
      </c>
      <c r="AF613">
        <f t="shared" si="10"/>
        <v>4</v>
      </c>
      <c r="AG613" t="e">
        <f t="array" ref="AG613">IF(OR(I613&lt;O$3,I613&gt;O$7),I613,#N/A)</f>
        <v>#N/A</v>
      </c>
    </row>
    <row r="614" spans="5:33" x14ac:dyDescent="0.25">
      <c r="E614">
        <v>611</v>
      </c>
      <c r="F614">
        <v>15.090909090909092</v>
      </c>
      <c r="G614">
        <v>15.45</v>
      </c>
      <c r="H614">
        <v>14.2</v>
      </c>
      <c r="I614">
        <v>14.4</v>
      </c>
      <c r="Z614">
        <v>1</v>
      </c>
      <c r="AA614" t="e">
        <f t="array" ref="AA614">IF(OR(F614&lt;L$3,F614&gt;L$7),F614,#N/A)</f>
        <v>#N/A</v>
      </c>
      <c r="AB614">
        <f t="shared" si="10"/>
        <v>2</v>
      </c>
      <c r="AC614" t="e">
        <f t="array" ref="AC614">IF(OR(G614&lt;M$3,G614&gt;M$7),G614,#N/A)</f>
        <v>#N/A</v>
      </c>
      <c r="AD614">
        <f t="shared" si="10"/>
        <v>3</v>
      </c>
      <c r="AE614" t="e">
        <f t="array" ref="AE614">IF(OR(H614&lt;N$3,H614&gt;N$7),H614,#N/A)</f>
        <v>#N/A</v>
      </c>
      <c r="AF614">
        <f t="shared" si="10"/>
        <v>4</v>
      </c>
      <c r="AG614" t="e">
        <f t="array" ref="AG614">IF(OR(I614&lt;O$3,I614&gt;O$7),I614,#N/A)</f>
        <v>#N/A</v>
      </c>
    </row>
    <row r="615" spans="5:33" x14ac:dyDescent="0.25">
      <c r="E615">
        <v>612</v>
      </c>
      <c r="F615">
        <v>15</v>
      </c>
      <c r="G615">
        <v>14.5</v>
      </c>
      <c r="H615">
        <v>14.12</v>
      </c>
      <c r="I615">
        <v>14.1</v>
      </c>
      <c r="Z615">
        <v>1</v>
      </c>
      <c r="AA615" t="e">
        <f t="array" ref="AA615">IF(OR(F615&lt;L$3,F615&gt;L$7),F615,#N/A)</f>
        <v>#N/A</v>
      </c>
      <c r="AB615">
        <f t="shared" si="10"/>
        <v>2</v>
      </c>
      <c r="AC615" t="e">
        <f t="array" ref="AC615">IF(OR(G615&lt;M$3,G615&gt;M$7),G615,#N/A)</f>
        <v>#N/A</v>
      </c>
      <c r="AD615">
        <f t="shared" si="10"/>
        <v>3</v>
      </c>
      <c r="AE615" t="e">
        <f t="array" ref="AE615">IF(OR(H615&lt;N$3,H615&gt;N$7),H615,#N/A)</f>
        <v>#N/A</v>
      </c>
      <c r="AF615">
        <f t="shared" si="10"/>
        <v>4</v>
      </c>
      <c r="AG615" t="e">
        <f t="array" ref="AG615">IF(OR(I615&lt;O$3,I615&gt;O$7),I615,#N/A)</f>
        <v>#N/A</v>
      </c>
    </row>
    <row r="616" spans="5:33" x14ac:dyDescent="0.25">
      <c r="E616">
        <v>613</v>
      </c>
      <c r="F616">
        <v>11.454545454545455</v>
      </c>
      <c r="G616">
        <v>12.25</v>
      </c>
      <c r="H616">
        <v>13.3</v>
      </c>
      <c r="I616">
        <v>13.1</v>
      </c>
      <c r="Z616">
        <v>1</v>
      </c>
      <c r="AA616" t="e">
        <f t="array" ref="AA616">IF(OR(F616&lt;L$3,F616&gt;L$7),F616,#N/A)</f>
        <v>#N/A</v>
      </c>
      <c r="AB616">
        <f t="shared" si="10"/>
        <v>2</v>
      </c>
      <c r="AC616" t="e">
        <f t="array" ref="AC616">IF(OR(G616&lt;M$3,G616&gt;M$7),G616,#N/A)</f>
        <v>#N/A</v>
      </c>
      <c r="AD616">
        <f t="shared" si="10"/>
        <v>3</v>
      </c>
      <c r="AE616" t="e">
        <f t="array" ref="AE616">IF(OR(H616&lt;N$3,H616&gt;N$7),H616,#N/A)</f>
        <v>#N/A</v>
      </c>
      <c r="AF616">
        <f t="shared" si="10"/>
        <v>4</v>
      </c>
      <c r="AG616" t="e">
        <f t="array" ref="AG616">IF(OR(I616&lt;O$3,I616&gt;O$7),I616,#N/A)</f>
        <v>#N/A</v>
      </c>
    </row>
    <row r="617" spans="5:33" x14ac:dyDescent="0.25">
      <c r="E617">
        <v>614</v>
      </c>
      <c r="F617">
        <v>12.727272727272727</v>
      </c>
      <c r="G617">
        <v>12.95</v>
      </c>
      <c r="H617">
        <v>14.24</v>
      </c>
      <c r="I617">
        <v>14.11</v>
      </c>
      <c r="Z617">
        <v>1</v>
      </c>
      <c r="AA617" t="e">
        <f t="array" ref="AA617">IF(OR(F617&lt;L$3,F617&gt;L$7),F617,#N/A)</f>
        <v>#N/A</v>
      </c>
      <c r="AB617">
        <f t="shared" si="10"/>
        <v>2</v>
      </c>
      <c r="AC617" t="e">
        <f t="array" ref="AC617">IF(OR(G617&lt;M$3,G617&gt;M$7),G617,#N/A)</f>
        <v>#N/A</v>
      </c>
      <c r="AD617">
        <f t="shared" si="10"/>
        <v>3</v>
      </c>
      <c r="AE617" t="e">
        <f t="array" ref="AE617">IF(OR(H617&lt;N$3,H617&gt;N$7),H617,#N/A)</f>
        <v>#N/A</v>
      </c>
      <c r="AF617">
        <f t="shared" si="10"/>
        <v>4</v>
      </c>
      <c r="AG617" t="e">
        <f t="array" ref="AG617">IF(OR(I617&lt;O$3,I617&gt;O$7),I617,#N/A)</f>
        <v>#N/A</v>
      </c>
    </row>
    <row r="618" spans="5:33" x14ac:dyDescent="0.25">
      <c r="E618">
        <v>615</v>
      </c>
      <c r="F618">
        <v>14.545454545454545</v>
      </c>
      <c r="G618">
        <v>13.75</v>
      </c>
      <c r="H618">
        <v>14.04</v>
      </c>
      <c r="I618">
        <v>13.55</v>
      </c>
      <c r="Z618">
        <v>1</v>
      </c>
      <c r="AA618" t="e">
        <f t="array" ref="AA618">IF(OR(F618&lt;L$3,F618&gt;L$7),F618,#N/A)</f>
        <v>#N/A</v>
      </c>
      <c r="AB618">
        <f t="shared" si="10"/>
        <v>2</v>
      </c>
      <c r="AC618" t="e">
        <f t="array" ref="AC618">IF(OR(G618&lt;M$3,G618&gt;M$7),G618,#N/A)</f>
        <v>#N/A</v>
      </c>
      <c r="AD618">
        <f t="shared" si="10"/>
        <v>3</v>
      </c>
      <c r="AE618" t="e">
        <f t="array" ref="AE618">IF(OR(H618&lt;N$3,H618&gt;N$7),H618,#N/A)</f>
        <v>#N/A</v>
      </c>
      <c r="AF618">
        <f t="shared" si="10"/>
        <v>4</v>
      </c>
      <c r="AG618" t="e">
        <f t="array" ref="AG618">IF(OR(I618&lt;O$3,I618&gt;O$7),I618,#N/A)</f>
        <v>#N/A</v>
      </c>
    </row>
    <row r="619" spans="5:33" x14ac:dyDescent="0.25">
      <c r="E619">
        <v>616</v>
      </c>
      <c r="F619">
        <v>13.909090909090908</v>
      </c>
      <c r="G619">
        <v>15.7</v>
      </c>
      <c r="H619">
        <v>13.7</v>
      </c>
      <c r="I619">
        <v>13.88</v>
      </c>
      <c r="Z619">
        <v>1</v>
      </c>
      <c r="AA619" t="e">
        <f t="array" ref="AA619">IF(OR(F619&lt;L$3,F619&gt;L$7),F619,#N/A)</f>
        <v>#N/A</v>
      </c>
      <c r="AB619">
        <f t="shared" si="10"/>
        <v>2</v>
      </c>
      <c r="AC619" t="e">
        <f t="array" ref="AC619">IF(OR(G619&lt;M$3,G619&gt;M$7),G619,#N/A)</f>
        <v>#N/A</v>
      </c>
      <c r="AD619">
        <f t="shared" si="10"/>
        <v>3</v>
      </c>
      <c r="AE619" t="e">
        <f t="array" ref="AE619">IF(OR(H619&lt;N$3,H619&gt;N$7),H619,#N/A)</f>
        <v>#N/A</v>
      </c>
      <c r="AF619">
        <f t="shared" si="10"/>
        <v>4</v>
      </c>
      <c r="AG619" t="e">
        <f t="array" ref="AG619">IF(OR(I619&lt;O$3,I619&gt;O$7),I619,#N/A)</f>
        <v>#N/A</v>
      </c>
    </row>
    <row r="620" spans="5:33" x14ac:dyDescent="0.25">
      <c r="E620">
        <v>617</v>
      </c>
      <c r="F620">
        <v>10.363636363636363</v>
      </c>
      <c r="G620">
        <v>11.8</v>
      </c>
      <c r="H620">
        <v>13.44</v>
      </c>
      <c r="I620">
        <v>13.52</v>
      </c>
      <c r="Z620">
        <v>1</v>
      </c>
      <c r="AA620" t="e">
        <f t="array" ref="AA620">IF(OR(F620&lt;L$3,F620&gt;L$7),F620,#N/A)</f>
        <v>#N/A</v>
      </c>
      <c r="AB620">
        <f t="shared" si="10"/>
        <v>2</v>
      </c>
      <c r="AC620" t="e">
        <f t="array" ref="AC620">IF(OR(G620&lt;M$3,G620&gt;M$7),G620,#N/A)</f>
        <v>#N/A</v>
      </c>
      <c r="AD620">
        <f t="shared" si="10"/>
        <v>3</v>
      </c>
      <c r="AE620" t="e">
        <f t="array" ref="AE620">IF(OR(H620&lt;N$3,H620&gt;N$7),H620,#N/A)</f>
        <v>#N/A</v>
      </c>
      <c r="AF620">
        <f t="shared" si="10"/>
        <v>4</v>
      </c>
      <c r="AG620" t="e">
        <f t="array" ref="AG620">IF(OR(I620&lt;O$3,I620&gt;O$7),I620,#N/A)</f>
        <v>#N/A</v>
      </c>
    </row>
    <row r="621" spans="5:33" x14ac:dyDescent="0.25">
      <c r="E621">
        <v>618</v>
      </c>
      <c r="F621">
        <v>14.818181818181818</v>
      </c>
      <c r="G621">
        <v>14.75</v>
      </c>
      <c r="H621">
        <v>14.46</v>
      </c>
      <c r="I621">
        <v>14.72</v>
      </c>
      <c r="Z621">
        <v>1</v>
      </c>
      <c r="AA621" t="e">
        <f t="array" ref="AA621">IF(OR(F621&lt;L$3,F621&gt;L$7),F621,#N/A)</f>
        <v>#N/A</v>
      </c>
      <c r="AB621">
        <f t="shared" si="10"/>
        <v>2</v>
      </c>
      <c r="AC621" t="e">
        <f t="array" ref="AC621">IF(OR(G621&lt;M$3,G621&gt;M$7),G621,#N/A)</f>
        <v>#N/A</v>
      </c>
      <c r="AD621">
        <f t="shared" si="10"/>
        <v>3</v>
      </c>
      <c r="AE621" t="e">
        <f t="array" ref="AE621">IF(OR(H621&lt;N$3,H621&gt;N$7),H621,#N/A)</f>
        <v>#N/A</v>
      </c>
      <c r="AF621">
        <f t="shared" si="10"/>
        <v>4</v>
      </c>
      <c r="AG621" t="e">
        <f t="array" ref="AG621">IF(OR(I621&lt;O$3,I621&gt;O$7),I621,#N/A)</f>
        <v>#N/A</v>
      </c>
    </row>
    <row r="622" spans="5:33" x14ac:dyDescent="0.25">
      <c r="E622">
        <v>619</v>
      </c>
      <c r="F622">
        <v>13.454545454545455</v>
      </c>
      <c r="G622">
        <v>12.35</v>
      </c>
      <c r="H622">
        <v>13.18</v>
      </c>
      <c r="I622">
        <v>14.43</v>
      </c>
      <c r="Z622">
        <v>1</v>
      </c>
      <c r="AA622" t="e">
        <f t="array" ref="AA622">IF(OR(F622&lt;L$3,F622&gt;L$7),F622,#N/A)</f>
        <v>#N/A</v>
      </c>
      <c r="AB622">
        <f t="shared" si="10"/>
        <v>2</v>
      </c>
      <c r="AC622" t="e">
        <f t="array" ref="AC622">IF(OR(G622&lt;M$3,G622&gt;M$7),G622,#N/A)</f>
        <v>#N/A</v>
      </c>
      <c r="AD622">
        <f t="shared" si="10"/>
        <v>3</v>
      </c>
      <c r="AE622" t="e">
        <f t="array" ref="AE622">IF(OR(H622&lt;N$3,H622&gt;N$7),H622,#N/A)</f>
        <v>#N/A</v>
      </c>
      <c r="AF622">
        <f t="shared" si="10"/>
        <v>4</v>
      </c>
      <c r="AG622" t="e">
        <f t="array" ref="AG622">IF(OR(I622&lt;O$3,I622&gt;O$7),I622,#N/A)</f>
        <v>#N/A</v>
      </c>
    </row>
    <row r="623" spans="5:33" x14ac:dyDescent="0.25">
      <c r="E623">
        <v>620</v>
      </c>
      <c r="F623">
        <v>11.818181818181818</v>
      </c>
      <c r="G623">
        <v>10.35</v>
      </c>
      <c r="H623">
        <v>12.96</v>
      </c>
      <c r="I623">
        <v>14.17</v>
      </c>
      <c r="Z623">
        <v>1</v>
      </c>
      <c r="AA623" t="e">
        <f t="array" ref="AA623">IF(OR(F623&lt;L$3,F623&gt;L$7),F623,#N/A)</f>
        <v>#N/A</v>
      </c>
      <c r="AB623">
        <f t="shared" si="10"/>
        <v>2</v>
      </c>
      <c r="AC623" t="e">
        <f t="array" ref="AC623">IF(OR(G623&lt;M$3,G623&gt;M$7),G623,#N/A)</f>
        <v>#N/A</v>
      </c>
      <c r="AD623">
        <f t="shared" si="10"/>
        <v>3</v>
      </c>
      <c r="AE623" t="e">
        <f t="array" ref="AE623">IF(OR(H623&lt;N$3,H623&gt;N$7),H623,#N/A)</f>
        <v>#N/A</v>
      </c>
      <c r="AF623">
        <f t="shared" si="10"/>
        <v>4</v>
      </c>
      <c r="AG623" t="e">
        <f t="array" ref="AG623">IF(OR(I623&lt;O$3,I623&gt;O$7),I623,#N/A)</f>
        <v>#N/A</v>
      </c>
    </row>
    <row r="624" spans="5:33" x14ac:dyDescent="0.25">
      <c r="E624">
        <v>621</v>
      </c>
      <c r="F624">
        <v>16.818181818181817</v>
      </c>
      <c r="G624">
        <v>15.4</v>
      </c>
      <c r="H624">
        <v>13.38</v>
      </c>
      <c r="I624">
        <v>13.25</v>
      </c>
      <c r="Z624">
        <v>1</v>
      </c>
      <c r="AA624" t="e">
        <f t="array" ref="AA624">IF(OR(F624&lt;L$3,F624&gt;L$7),F624,#N/A)</f>
        <v>#N/A</v>
      </c>
      <c r="AB624">
        <f t="shared" si="10"/>
        <v>2</v>
      </c>
      <c r="AC624" t="e">
        <f t="array" ref="AC624">IF(OR(G624&lt;M$3,G624&gt;M$7),G624,#N/A)</f>
        <v>#N/A</v>
      </c>
      <c r="AD624">
        <f t="shared" si="10"/>
        <v>3</v>
      </c>
      <c r="AE624" t="e">
        <f t="array" ref="AE624">IF(OR(H624&lt;N$3,H624&gt;N$7),H624,#N/A)</f>
        <v>#N/A</v>
      </c>
      <c r="AF624">
        <f t="shared" si="10"/>
        <v>4</v>
      </c>
      <c r="AG624" t="e">
        <f t="array" ref="AG624">IF(OR(I624&lt;O$3,I624&gt;O$7),I624,#N/A)</f>
        <v>#N/A</v>
      </c>
    </row>
    <row r="625" spans="5:33" x14ac:dyDescent="0.25">
      <c r="E625">
        <v>622</v>
      </c>
      <c r="F625">
        <v>15</v>
      </c>
      <c r="G625">
        <v>16.75</v>
      </c>
      <c r="H625">
        <v>14.8</v>
      </c>
      <c r="I625">
        <v>14.12</v>
      </c>
      <c r="Z625">
        <v>1</v>
      </c>
      <c r="AA625" t="e">
        <f t="array" ref="AA625">IF(OR(F625&lt;L$3,F625&gt;L$7),F625,#N/A)</f>
        <v>#N/A</v>
      </c>
      <c r="AB625">
        <f t="shared" si="10"/>
        <v>2</v>
      </c>
      <c r="AC625" t="e">
        <f t="array" ref="AC625">IF(OR(G625&lt;M$3,G625&gt;M$7),G625,#N/A)</f>
        <v>#N/A</v>
      </c>
      <c r="AD625">
        <f t="shared" si="10"/>
        <v>3</v>
      </c>
      <c r="AE625" t="e">
        <f t="array" ref="AE625">IF(OR(H625&lt;N$3,H625&gt;N$7),H625,#N/A)</f>
        <v>#N/A</v>
      </c>
      <c r="AF625">
        <f t="shared" si="10"/>
        <v>4</v>
      </c>
      <c r="AG625" t="e">
        <f t="array" ref="AG625">IF(OR(I625&lt;O$3,I625&gt;O$7),I625,#N/A)</f>
        <v>#N/A</v>
      </c>
    </row>
    <row r="626" spans="5:33" x14ac:dyDescent="0.25">
      <c r="E626">
        <v>623</v>
      </c>
      <c r="F626">
        <v>12.818181818181818</v>
      </c>
      <c r="G626">
        <v>14.5</v>
      </c>
      <c r="H626">
        <v>15.28</v>
      </c>
      <c r="I626">
        <v>14.65</v>
      </c>
      <c r="Z626">
        <v>1</v>
      </c>
      <c r="AA626" t="e">
        <f t="array" ref="AA626">IF(OR(F626&lt;L$3,F626&gt;L$7),F626,#N/A)</f>
        <v>#N/A</v>
      </c>
      <c r="AB626">
        <f t="shared" si="10"/>
        <v>2</v>
      </c>
      <c r="AC626" t="e">
        <f t="array" ref="AC626">IF(OR(G626&lt;M$3,G626&gt;M$7),G626,#N/A)</f>
        <v>#N/A</v>
      </c>
      <c r="AD626">
        <f t="shared" si="10"/>
        <v>3</v>
      </c>
      <c r="AE626" t="e">
        <f t="array" ref="AE626">IF(OR(H626&lt;N$3,H626&gt;N$7),H626,#N/A)</f>
        <v>#N/A</v>
      </c>
      <c r="AF626">
        <f t="shared" si="10"/>
        <v>4</v>
      </c>
      <c r="AG626" t="e">
        <f t="array" ref="AG626">IF(OR(I626&lt;O$3,I626&gt;O$7),I626,#N/A)</f>
        <v>#N/A</v>
      </c>
    </row>
    <row r="627" spans="5:33" x14ac:dyDescent="0.25">
      <c r="E627">
        <v>624</v>
      </c>
      <c r="F627">
        <v>17.818181818181817</v>
      </c>
      <c r="G627">
        <v>14.5</v>
      </c>
      <c r="H627">
        <v>13.88</v>
      </c>
      <c r="I627">
        <v>14.16</v>
      </c>
      <c r="Z627">
        <v>1</v>
      </c>
      <c r="AA627" t="e">
        <f t="array" ref="AA627">IF(OR(F627&lt;L$3,F627&gt;L$7),F627,#N/A)</f>
        <v>#N/A</v>
      </c>
      <c r="AB627">
        <f t="shared" si="10"/>
        <v>2</v>
      </c>
      <c r="AC627" t="e">
        <f t="array" ref="AC627">IF(OR(G627&lt;M$3,G627&gt;M$7),G627,#N/A)</f>
        <v>#N/A</v>
      </c>
      <c r="AD627">
        <f t="shared" si="10"/>
        <v>3</v>
      </c>
      <c r="AE627" t="e">
        <f t="array" ref="AE627">IF(OR(H627&lt;N$3,H627&gt;N$7),H627,#N/A)</f>
        <v>#N/A</v>
      </c>
      <c r="AF627">
        <f t="shared" si="10"/>
        <v>4</v>
      </c>
      <c r="AG627" t="e">
        <f t="array" ref="AG627">IF(OR(I627&lt;O$3,I627&gt;O$7),I627,#N/A)</f>
        <v>#N/A</v>
      </c>
    </row>
    <row r="628" spans="5:33" x14ac:dyDescent="0.25">
      <c r="E628">
        <v>625</v>
      </c>
      <c r="F628">
        <v>13.363636363636363</v>
      </c>
      <c r="G628">
        <v>13.4</v>
      </c>
      <c r="H628">
        <v>13.4</v>
      </c>
      <c r="I628">
        <v>14.08</v>
      </c>
      <c r="Z628">
        <v>1</v>
      </c>
      <c r="AA628" t="e">
        <f t="array" ref="AA628">IF(OR(F628&lt;L$3,F628&gt;L$7),F628,#N/A)</f>
        <v>#N/A</v>
      </c>
      <c r="AB628">
        <f t="shared" si="10"/>
        <v>2</v>
      </c>
      <c r="AC628" t="e">
        <f t="array" ref="AC628">IF(OR(G628&lt;M$3,G628&gt;M$7),G628,#N/A)</f>
        <v>#N/A</v>
      </c>
      <c r="AD628">
        <f t="shared" si="10"/>
        <v>3</v>
      </c>
      <c r="AE628" t="e">
        <f t="array" ref="AE628">IF(OR(H628&lt;N$3,H628&gt;N$7),H628,#N/A)</f>
        <v>#N/A</v>
      </c>
      <c r="AF628">
        <f t="shared" si="10"/>
        <v>4</v>
      </c>
      <c r="AG628" t="e">
        <f t="array" ref="AG628">IF(OR(I628&lt;O$3,I628&gt;O$7),I628,#N/A)</f>
        <v>#N/A</v>
      </c>
    </row>
    <row r="629" spans="5:33" x14ac:dyDescent="0.25">
      <c r="E629">
        <v>626</v>
      </c>
      <c r="F629">
        <v>15.454545454545455</v>
      </c>
      <c r="G629">
        <v>13.95</v>
      </c>
      <c r="H629">
        <v>14</v>
      </c>
      <c r="I629">
        <v>14.29</v>
      </c>
      <c r="Z629">
        <v>1</v>
      </c>
      <c r="AA629" t="e">
        <f t="array" ref="AA629">IF(OR(F629&lt;L$3,F629&gt;L$7),F629,#N/A)</f>
        <v>#N/A</v>
      </c>
      <c r="AB629">
        <f t="shared" si="10"/>
        <v>2</v>
      </c>
      <c r="AC629" t="e">
        <f t="array" ref="AC629">IF(OR(G629&lt;M$3,G629&gt;M$7),G629,#N/A)</f>
        <v>#N/A</v>
      </c>
      <c r="AD629">
        <f t="shared" si="10"/>
        <v>3</v>
      </c>
      <c r="AE629" t="e">
        <f t="array" ref="AE629">IF(OR(H629&lt;N$3,H629&gt;N$7),H629,#N/A)</f>
        <v>#N/A</v>
      </c>
      <c r="AF629">
        <f t="shared" si="10"/>
        <v>4</v>
      </c>
      <c r="AG629" t="e">
        <f t="array" ref="AG629">IF(OR(I629&lt;O$3,I629&gt;O$7),I629,#N/A)</f>
        <v>#N/A</v>
      </c>
    </row>
    <row r="630" spans="5:33" x14ac:dyDescent="0.25">
      <c r="E630">
        <v>627</v>
      </c>
      <c r="F630">
        <v>13.090909090909092</v>
      </c>
      <c r="G630">
        <v>14.35</v>
      </c>
      <c r="H630">
        <v>15.38</v>
      </c>
      <c r="I630">
        <v>14.86</v>
      </c>
      <c r="Z630">
        <v>1</v>
      </c>
      <c r="AA630" t="e">
        <f t="array" ref="AA630">IF(OR(F630&lt;L$3,F630&gt;L$7),F630,#N/A)</f>
        <v>#N/A</v>
      </c>
      <c r="AB630">
        <f t="shared" si="10"/>
        <v>2</v>
      </c>
      <c r="AC630" t="e">
        <f t="array" ref="AC630">IF(OR(G630&lt;M$3,G630&gt;M$7),G630,#N/A)</f>
        <v>#N/A</v>
      </c>
      <c r="AD630">
        <f t="shared" si="10"/>
        <v>3</v>
      </c>
      <c r="AE630" t="e">
        <f t="array" ref="AE630">IF(OR(H630&lt;N$3,H630&gt;N$7),H630,#N/A)</f>
        <v>#N/A</v>
      </c>
      <c r="AF630">
        <f t="shared" si="10"/>
        <v>4</v>
      </c>
      <c r="AG630" t="e">
        <f t="array" ref="AG630">IF(OR(I630&lt;O$3,I630&gt;O$7),I630,#N/A)</f>
        <v>#N/A</v>
      </c>
    </row>
    <row r="631" spans="5:33" x14ac:dyDescent="0.25">
      <c r="E631">
        <v>628</v>
      </c>
      <c r="F631">
        <v>13.818181818181818</v>
      </c>
      <c r="G631">
        <v>12.5</v>
      </c>
      <c r="H631">
        <v>12.28</v>
      </c>
      <c r="I631">
        <v>13.85</v>
      </c>
      <c r="Z631">
        <v>1</v>
      </c>
      <c r="AA631" t="e">
        <f t="array" ref="AA631">IF(OR(F631&lt;L$3,F631&gt;L$7),F631,#N/A)</f>
        <v>#N/A</v>
      </c>
      <c r="AB631">
        <f t="shared" si="10"/>
        <v>2</v>
      </c>
      <c r="AC631" t="e">
        <f t="array" ref="AC631">IF(OR(G631&lt;M$3,G631&gt;M$7),G631,#N/A)</f>
        <v>#N/A</v>
      </c>
      <c r="AD631">
        <f t="shared" si="10"/>
        <v>3</v>
      </c>
      <c r="AE631" t="e">
        <f t="array" ref="AE631">IF(OR(H631&lt;N$3,H631&gt;N$7),H631,#N/A)</f>
        <v>#N/A</v>
      </c>
      <c r="AF631">
        <f t="shared" si="10"/>
        <v>4</v>
      </c>
      <c r="AG631" t="e">
        <f t="array" ref="AG631">IF(OR(I631&lt;O$3,I631&gt;O$7),I631,#N/A)</f>
        <v>#N/A</v>
      </c>
    </row>
    <row r="632" spans="5:33" x14ac:dyDescent="0.25">
      <c r="E632">
        <v>629</v>
      </c>
      <c r="F632">
        <v>10.909090909090908</v>
      </c>
      <c r="G632">
        <v>12.25</v>
      </c>
      <c r="H632">
        <v>13.2</v>
      </c>
      <c r="I632">
        <v>13.33</v>
      </c>
      <c r="Z632">
        <v>1</v>
      </c>
      <c r="AA632" t="e">
        <f t="array" ref="AA632">IF(OR(F632&lt;L$3,F632&gt;L$7),F632,#N/A)</f>
        <v>#N/A</v>
      </c>
      <c r="AB632">
        <f t="shared" si="10"/>
        <v>2</v>
      </c>
      <c r="AC632" t="e">
        <f t="array" ref="AC632">IF(OR(G632&lt;M$3,G632&gt;M$7),G632,#N/A)</f>
        <v>#N/A</v>
      </c>
      <c r="AD632">
        <f t="shared" si="10"/>
        <v>3</v>
      </c>
      <c r="AE632" t="e">
        <f t="array" ref="AE632">IF(OR(H632&lt;N$3,H632&gt;N$7),H632,#N/A)</f>
        <v>#N/A</v>
      </c>
      <c r="AF632">
        <f t="shared" si="10"/>
        <v>4</v>
      </c>
      <c r="AG632" t="e">
        <f t="array" ref="AG632">IF(OR(I632&lt;O$3,I632&gt;O$7),I632,#N/A)</f>
        <v>#N/A</v>
      </c>
    </row>
    <row r="633" spans="5:33" x14ac:dyDescent="0.25">
      <c r="E633">
        <v>630</v>
      </c>
      <c r="F633">
        <v>11.363636363636363</v>
      </c>
      <c r="G633">
        <v>12.1</v>
      </c>
      <c r="H633">
        <v>13.44</v>
      </c>
      <c r="I633">
        <v>13.86</v>
      </c>
      <c r="Z633">
        <v>1</v>
      </c>
      <c r="AA633" t="e">
        <f t="array" ref="AA633">IF(OR(F633&lt;L$3,F633&gt;L$7),F633,#N/A)</f>
        <v>#N/A</v>
      </c>
      <c r="AB633">
        <f t="shared" si="10"/>
        <v>2</v>
      </c>
      <c r="AC633" t="e">
        <f t="array" ref="AC633">IF(OR(G633&lt;M$3,G633&gt;M$7),G633,#N/A)</f>
        <v>#N/A</v>
      </c>
      <c r="AD633">
        <f t="shared" si="10"/>
        <v>3</v>
      </c>
      <c r="AE633" t="e">
        <f t="array" ref="AE633">IF(OR(H633&lt;N$3,H633&gt;N$7),H633,#N/A)</f>
        <v>#N/A</v>
      </c>
      <c r="AF633">
        <f t="shared" si="10"/>
        <v>4</v>
      </c>
      <c r="AG633" t="e">
        <f t="array" ref="AG633">IF(OR(I633&lt;O$3,I633&gt;O$7),I633,#N/A)</f>
        <v>#N/A</v>
      </c>
    </row>
    <row r="634" spans="5:33" x14ac:dyDescent="0.25">
      <c r="E634">
        <v>631</v>
      </c>
      <c r="F634">
        <v>15.181818181818182</v>
      </c>
      <c r="G634">
        <v>12.3</v>
      </c>
      <c r="H634">
        <v>12.5</v>
      </c>
      <c r="I634">
        <v>13.8</v>
      </c>
      <c r="Z634">
        <v>1</v>
      </c>
      <c r="AA634" t="e">
        <f t="array" ref="AA634">IF(OR(F634&lt;L$3,F634&gt;L$7),F634,#N/A)</f>
        <v>#N/A</v>
      </c>
      <c r="AB634">
        <f t="shared" si="10"/>
        <v>2</v>
      </c>
      <c r="AC634" t="e">
        <f t="array" ref="AC634">IF(OR(G634&lt;M$3,G634&gt;M$7),G634,#N/A)</f>
        <v>#N/A</v>
      </c>
      <c r="AD634">
        <f t="shared" si="10"/>
        <v>3</v>
      </c>
      <c r="AE634" t="e">
        <f t="array" ref="AE634">IF(OR(H634&lt;N$3,H634&gt;N$7),H634,#N/A)</f>
        <v>#N/A</v>
      </c>
      <c r="AF634">
        <f t="shared" si="10"/>
        <v>4</v>
      </c>
      <c r="AG634" t="e">
        <f t="array" ref="AG634">IF(OR(I634&lt;O$3,I634&gt;O$7),I634,#N/A)</f>
        <v>#N/A</v>
      </c>
    </row>
    <row r="635" spans="5:33" x14ac:dyDescent="0.25">
      <c r="E635">
        <v>632</v>
      </c>
      <c r="F635">
        <v>17.272727272727273</v>
      </c>
      <c r="G635">
        <v>17.45</v>
      </c>
      <c r="H635">
        <v>15.56</v>
      </c>
      <c r="I635">
        <v>13.79</v>
      </c>
      <c r="Z635">
        <v>1</v>
      </c>
      <c r="AA635" t="e">
        <f t="array" ref="AA635">IF(OR(F635&lt;L$3,F635&gt;L$7),F635,#N/A)</f>
        <v>#N/A</v>
      </c>
      <c r="AB635">
        <f t="shared" si="10"/>
        <v>2</v>
      </c>
      <c r="AC635" t="e">
        <f t="array" ref="AC635">IF(OR(G635&lt;M$3,G635&gt;M$7),G635,#N/A)</f>
        <v>#N/A</v>
      </c>
      <c r="AD635">
        <f t="shared" si="10"/>
        <v>3</v>
      </c>
      <c r="AE635" t="e">
        <f t="array" ref="AE635">IF(OR(H635&lt;N$3,H635&gt;N$7),H635,#N/A)</f>
        <v>#N/A</v>
      </c>
      <c r="AF635">
        <f t="shared" si="10"/>
        <v>4</v>
      </c>
      <c r="AG635" t="e">
        <f t="array" ref="AG635">IF(OR(I635&lt;O$3,I635&gt;O$7),I635,#N/A)</f>
        <v>#N/A</v>
      </c>
    </row>
    <row r="636" spans="5:33" x14ac:dyDescent="0.25">
      <c r="E636">
        <v>633</v>
      </c>
      <c r="F636">
        <v>18</v>
      </c>
      <c r="G636">
        <v>15.2</v>
      </c>
      <c r="H636">
        <v>13.6</v>
      </c>
      <c r="I636">
        <v>13.71</v>
      </c>
      <c r="Z636">
        <v>1</v>
      </c>
      <c r="AA636" t="e">
        <f t="array" ref="AA636">IF(OR(F636&lt;L$3,F636&gt;L$7),F636,#N/A)</f>
        <v>#N/A</v>
      </c>
      <c r="AB636">
        <f t="shared" si="10"/>
        <v>2</v>
      </c>
      <c r="AC636" t="e">
        <f t="array" ref="AC636">IF(OR(G636&lt;M$3,G636&gt;M$7),G636,#N/A)</f>
        <v>#N/A</v>
      </c>
      <c r="AD636">
        <f t="shared" si="10"/>
        <v>3</v>
      </c>
      <c r="AE636" t="e">
        <f t="array" ref="AE636">IF(OR(H636&lt;N$3,H636&gt;N$7),H636,#N/A)</f>
        <v>#N/A</v>
      </c>
      <c r="AF636">
        <f t="shared" si="10"/>
        <v>4</v>
      </c>
      <c r="AG636" t="e">
        <f t="array" ref="AG636">IF(OR(I636&lt;O$3,I636&gt;O$7),I636,#N/A)</f>
        <v>#N/A</v>
      </c>
    </row>
    <row r="637" spans="5:33" x14ac:dyDescent="0.25">
      <c r="E637">
        <v>634</v>
      </c>
      <c r="F637">
        <v>14.363636363636363</v>
      </c>
      <c r="G637">
        <v>12.9</v>
      </c>
      <c r="H637">
        <v>12.7</v>
      </c>
      <c r="I637">
        <v>13.61</v>
      </c>
      <c r="Z637">
        <v>1</v>
      </c>
      <c r="AA637" t="e">
        <f t="array" ref="AA637">IF(OR(F637&lt;L$3,F637&gt;L$7),F637,#N/A)</f>
        <v>#N/A</v>
      </c>
      <c r="AB637">
        <f t="shared" si="10"/>
        <v>2</v>
      </c>
      <c r="AC637" t="e">
        <f t="array" ref="AC637">IF(OR(G637&lt;M$3,G637&gt;M$7),G637,#N/A)</f>
        <v>#N/A</v>
      </c>
      <c r="AD637">
        <f t="shared" si="10"/>
        <v>3</v>
      </c>
      <c r="AE637" t="e">
        <f t="array" ref="AE637">IF(OR(H637&lt;N$3,H637&gt;N$7),H637,#N/A)</f>
        <v>#N/A</v>
      </c>
      <c r="AF637">
        <f t="shared" si="10"/>
        <v>4</v>
      </c>
      <c r="AG637" t="e">
        <f t="array" ref="AG637">IF(OR(I637&lt;O$3,I637&gt;O$7),I637,#N/A)</f>
        <v>#N/A</v>
      </c>
    </row>
    <row r="638" spans="5:33" x14ac:dyDescent="0.25">
      <c r="E638">
        <v>635</v>
      </c>
      <c r="F638">
        <v>10.272727272727273</v>
      </c>
      <c r="G638">
        <v>13.15</v>
      </c>
      <c r="H638">
        <v>13.14</v>
      </c>
      <c r="I638">
        <v>13.36</v>
      </c>
      <c r="Z638">
        <v>1</v>
      </c>
      <c r="AA638" t="e">
        <f t="array" ref="AA638">IF(OR(F638&lt;L$3,F638&gt;L$7),F638,#N/A)</f>
        <v>#N/A</v>
      </c>
      <c r="AB638">
        <f t="shared" si="10"/>
        <v>2</v>
      </c>
      <c r="AC638" t="e">
        <f t="array" ref="AC638">IF(OR(G638&lt;M$3,G638&gt;M$7),G638,#N/A)</f>
        <v>#N/A</v>
      </c>
      <c r="AD638">
        <f t="shared" si="10"/>
        <v>3</v>
      </c>
      <c r="AE638" t="e">
        <f t="array" ref="AE638">IF(OR(H638&lt;N$3,H638&gt;N$7),H638,#N/A)</f>
        <v>#N/A</v>
      </c>
      <c r="AF638">
        <f t="shared" si="10"/>
        <v>4</v>
      </c>
      <c r="AG638" t="e">
        <f t="array" ref="AG638">IF(OR(I638&lt;O$3,I638&gt;O$7),I638,#N/A)</f>
        <v>#N/A</v>
      </c>
    </row>
    <row r="639" spans="5:33" x14ac:dyDescent="0.25">
      <c r="E639">
        <v>636</v>
      </c>
      <c r="F639">
        <v>12.454545454545455</v>
      </c>
      <c r="G639">
        <v>14.65</v>
      </c>
      <c r="H639">
        <v>15.02</v>
      </c>
      <c r="I639">
        <v>15.19</v>
      </c>
      <c r="Z639">
        <v>1</v>
      </c>
      <c r="AA639" t="e">
        <f t="array" ref="AA639">IF(OR(F639&lt;L$3,F639&gt;L$7),F639,#N/A)</f>
        <v>#N/A</v>
      </c>
      <c r="AB639">
        <f t="shared" si="10"/>
        <v>2</v>
      </c>
      <c r="AC639" t="e">
        <f t="array" ref="AC639">IF(OR(G639&lt;M$3,G639&gt;M$7),G639,#N/A)</f>
        <v>#N/A</v>
      </c>
      <c r="AD639">
        <f t="shared" si="10"/>
        <v>3</v>
      </c>
      <c r="AE639" t="e">
        <f t="array" ref="AE639">IF(OR(H639&lt;N$3,H639&gt;N$7),H639,#N/A)</f>
        <v>#N/A</v>
      </c>
      <c r="AF639">
        <f t="shared" si="10"/>
        <v>4</v>
      </c>
      <c r="AG639" t="e">
        <f t="array" ref="AG639">IF(OR(I639&lt;O$3,I639&gt;O$7),I639,#N/A)</f>
        <v>#N/A</v>
      </c>
    </row>
    <row r="640" spans="5:33" x14ac:dyDescent="0.25">
      <c r="E640">
        <v>637</v>
      </c>
      <c r="F640">
        <v>10</v>
      </c>
      <c r="G640">
        <v>12.55</v>
      </c>
      <c r="H640">
        <v>14.04</v>
      </c>
      <c r="I640">
        <v>14.36</v>
      </c>
      <c r="Z640">
        <v>1</v>
      </c>
      <c r="AA640" t="e">
        <f t="array" ref="AA640">IF(OR(F640&lt;L$3,F640&gt;L$7),F640,#N/A)</f>
        <v>#N/A</v>
      </c>
      <c r="AB640">
        <f t="shared" si="10"/>
        <v>2</v>
      </c>
      <c r="AC640" t="e">
        <f t="array" ref="AC640">IF(OR(G640&lt;M$3,G640&gt;M$7),G640,#N/A)</f>
        <v>#N/A</v>
      </c>
      <c r="AD640">
        <f t="shared" si="10"/>
        <v>3</v>
      </c>
      <c r="AE640" t="e">
        <f t="array" ref="AE640">IF(OR(H640&lt;N$3,H640&gt;N$7),H640,#N/A)</f>
        <v>#N/A</v>
      </c>
      <c r="AF640">
        <f t="shared" si="10"/>
        <v>4</v>
      </c>
      <c r="AG640" t="e">
        <f t="array" ref="AG640">IF(OR(I640&lt;O$3,I640&gt;O$7),I640,#N/A)</f>
        <v>#N/A</v>
      </c>
    </row>
    <row r="641" spans="5:33" x14ac:dyDescent="0.25">
      <c r="E641">
        <v>638</v>
      </c>
      <c r="F641">
        <v>12.181818181818182</v>
      </c>
      <c r="G641">
        <v>12.7</v>
      </c>
      <c r="H641">
        <v>13.24</v>
      </c>
      <c r="I641">
        <v>12.82</v>
      </c>
      <c r="Z641">
        <v>1</v>
      </c>
      <c r="AA641" t="e">
        <f t="array" ref="AA641">IF(OR(F641&lt;L$3,F641&gt;L$7),F641,#N/A)</f>
        <v>#N/A</v>
      </c>
      <c r="AB641">
        <f t="shared" si="10"/>
        <v>2</v>
      </c>
      <c r="AC641" t="e">
        <f t="array" ref="AC641">IF(OR(G641&lt;M$3,G641&gt;M$7),G641,#N/A)</f>
        <v>#N/A</v>
      </c>
      <c r="AD641">
        <f t="shared" si="10"/>
        <v>3</v>
      </c>
      <c r="AE641" t="e">
        <f t="array" ref="AE641">IF(OR(H641&lt;N$3,H641&gt;N$7),H641,#N/A)</f>
        <v>#N/A</v>
      </c>
      <c r="AF641">
        <f t="shared" si="10"/>
        <v>4</v>
      </c>
      <c r="AG641" t="e">
        <f t="array" ref="AG641">IF(OR(I641&lt;O$3,I641&gt;O$7),I641,#N/A)</f>
        <v>#N/A</v>
      </c>
    </row>
    <row r="642" spans="5:33" x14ac:dyDescent="0.25">
      <c r="E642">
        <v>639</v>
      </c>
      <c r="F642">
        <v>15.727272727272727</v>
      </c>
      <c r="G642">
        <v>15.55</v>
      </c>
      <c r="H642">
        <v>15.1</v>
      </c>
      <c r="I642">
        <v>14.93</v>
      </c>
      <c r="Z642">
        <v>1</v>
      </c>
      <c r="AA642" t="e">
        <f t="array" ref="AA642">IF(OR(F642&lt;L$3,F642&gt;L$7),F642,#N/A)</f>
        <v>#N/A</v>
      </c>
      <c r="AB642">
        <f t="shared" si="10"/>
        <v>2</v>
      </c>
      <c r="AC642" t="e">
        <f t="array" ref="AC642">IF(OR(G642&lt;M$3,G642&gt;M$7),G642,#N/A)</f>
        <v>#N/A</v>
      </c>
      <c r="AD642">
        <f t="shared" si="10"/>
        <v>3</v>
      </c>
      <c r="AE642" t="e">
        <f t="array" ref="AE642">IF(OR(H642&lt;N$3,H642&gt;N$7),H642,#N/A)</f>
        <v>#N/A</v>
      </c>
      <c r="AF642">
        <f t="shared" si="10"/>
        <v>4</v>
      </c>
      <c r="AG642" t="e">
        <f t="array" ref="AG642">IF(OR(I642&lt;O$3,I642&gt;O$7),I642,#N/A)</f>
        <v>#N/A</v>
      </c>
    </row>
    <row r="643" spans="5:33" x14ac:dyDescent="0.25">
      <c r="E643">
        <v>640</v>
      </c>
      <c r="F643">
        <v>18.636363636363637</v>
      </c>
      <c r="G643">
        <v>15</v>
      </c>
      <c r="H643">
        <v>14.28</v>
      </c>
      <c r="I643">
        <v>15.62</v>
      </c>
      <c r="Z643">
        <v>1</v>
      </c>
      <c r="AA643" t="e">
        <f t="array" ref="AA643">IF(OR(F643&lt;L$3,F643&gt;L$7),F643,#N/A)</f>
        <v>#N/A</v>
      </c>
      <c r="AB643">
        <f t="shared" si="10"/>
        <v>2</v>
      </c>
      <c r="AC643" t="e">
        <f t="array" ref="AC643">IF(OR(G643&lt;M$3,G643&gt;M$7),G643,#N/A)</f>
        <v>#N/A</v>
      </c>
      <c r="AD643">
        <f t="shared" si="10"/>
        <v>3</v>
      </c>
      <c r="AE643" t="e">
        <f t="array" ref="AE643">IF(OR(H643&lt;N$3,H643&gt;N$7),H643,#N/A)</f>
        <v>#N/A</v>
      </c>
      <c r="AF643">
        <f t="shared" si="10"/>
        <v>4</v>
      </c>
      <c r="AG643" t="e">
        <f t="array" ref="AG643">IF(OR(I643&lt;O$3,I643&gt;O$7),I643,#N/A)</f>
        <v>#N/A</v>
      </c>
    </row>
    <row r="644" spans="5:33" x14ac:dyDescent="0.25">
      <c r="E644">
        <v>641</v>
      </c>
      <c r="F644">
        <v>14.454545454545455</v>
      </c>
      <c r="G644">
        <v>15.15</v>
      </c>
      <c r="H644">
        <v>13.94</v>
      </c>
      <c r="I644">
        <v>13.5</v>
      </c>
      <c r="Z644">
        <v>1</v>
      </c>
      <c r="AA644" t="e">
        <f t="array" ref="AA644">IF(OR(F644&lt;L$3,F644&gt;L$7),F644,#N/A)</f>
        <v>#N/A</v>
      </c>
      <c r="AB644">
        <f t="shared" si="10"/>
        <v>2</v>
      </c>
      <c r="AC644" t="e">
        <f t="array" ref="AC644">IF(OR(G644&lt;M$3,G644&gt;M$7),G644,#N/A)</f>
        <v>#N/A</v>
      </c>
      <c r="AD644">
        <f t="shared" si="10"/>
        <v>3</v>
      </c>
      <c r="AE644" t="e">
        <f t="array" ref="AE644">IF(OR(H644&lt;N$3,H644&gt;N$7),H644,#N/A)</f>
        <v>#N/A</v>
      </c>
      <c r="AF644">
        <f t="shared" si="10"/>
        <v>4</v>
      </c>
      <c r="AG644" t="e">
        <f t="array" ref="AG644">IF(OR(I644&lt;O$3,I644&gt;O$7),I644,#N/A)</f>
        <v>#N/A</v>
      </c>
    </row>
    <row r="645" spans="5:33" x14ac:dyDescent="0.25">
      <c r="E645">
        <v>642</v>
      </c>
      <c r="F645">
        <v>14.818181818181818</v>
      </c>
      <c r="G645">
        <v>15.25</v>
      </c>
      <c r="H645">
        <v>13.9</v>
      </c>
      <c r="I645">
        <v>13.82</v>
      </c>
      <c r="Z645">
        <v>1</v>
      </c>
      <c r="AA645" t="e">
        <f t="array" ref="AA645">IF(OR(F645&lt;L$3,F645&gt;L$7),F645,#N/A)</f>
        <v>#N/A</v>
      </c>
      <c r="AB645">
        <f t="shared" ref="AB645:AF708" si="11">Z645+1</f>
        <v>2</v>
      </c>
      <c r="AC645" t="e">
        <f t="array" ref="AC645">IF(OR(G645&lt;M$3,G645&gt;M$7),G645,#N/A)</f>
        <v>#N/A</v>
      </c>
      <c r="AD645">
        <f t="shared" si="11"/>
        <v>3</v>
      </c>
      <c r="AE645" t="e">
        <f t="array" ref="AE645">IF(OR(H645&lt;N$3,H645&gt;N$7),H645,#N/A)</f>
        <v>#N/A</v>
      </c>
      <c r="AF645">
        <f t="shared" si="11"/>
        <v>4</v>
      </c>
      <c r="AG645" t="e">
        <f t="array" ref="AG645">IF(OR(I645&lt;O$3,I645&gt;O$7),I645,#N/A)</f>
        <v>#N/A</v>
      </c>
    </row>
    <row r="646" spans="5:33" x14ac:dyDescent="0.25">
      <c r="E646">
        <v>643</v>
      </c>
      <c r="F646">
        <v>14.090909090909092</v>
      </c>
      <c r="G646">
        <v>15.15</v>
      </c>
      <c r="H646">
        <v>14.66</v>
      </c>
      <c r="I646">
        <v>13.96</v>
      </c>
      <c r="Z646">
        <v>1</v>
      </c>
      <c r="AA646" t="e">
        <f t="array" ref="AA646">IF(OR(F646&lt;L$3,F646&gt;L$7),F646,#N/A)</f>
        <v>#N/A</v>
      </c>
      <c r="AB646">
        <f t="shared" si="11"/>
        <v>2</v>
      </c>
      <c r="AC646" t="e">
        <f t="array" ref="AC646">IF(OR(G646&lt;M$3,G646&gt;M$7),G646,#N/A)</f>
        <v>#N/A</v>
      </c>
      <c r="AD646">
        <f t="shared" si="11"/>
        <v>3</v>
      </c>
      <c r="AE646" t="e">
        <f t="array" ref="AE646">IF(OR(H646&lt;N$3,H646&gt;N$7),H646,#N/A)</f>
        <v>#N/A</v>
      </c>
      <c r="AF646">
        <f t="shared" si="11"/>
        <v>4</v>
      </c>
      <c r="AG646" t="e">
        <f t="array" ref="AG646">IF(OR(I646&lt;O$3,I646&gt;O$7),I646,#N/A)</f>
        <v>#N/A</v>
      </c>
    </row>
    <row r="647" spans="5:33" x14ac:dyDescent="0.25">
      <c r="E647">
        <v>644</v>
      </c>
      <c r="F647">
        <v>14.909090909090908</v>
      </c>
      <c r="G647">
        <v>15.5</v>
      </c>
      <c r="H647">
        <v>14.2</v>
      </c>
      <c r="I647">
        <v>14.39</v>
      </c>
      <c r="Z647">
        <v>1</v>
      </c>
      <c r="AA647" t="e">
        <f t="array" ref="AA647">IF(OR(F647&lt;L$3,F647&gt;L$7),F647,#N/A)</f>
        <v>#N/A</v>
      </c>
      <c r="AB647">
        <f t="shared" si="11"/>
        <v>2</v>
      </c>
      <c r="AC647" t="e">
        <f t="array" ref="AC647">IF(OR(G647&lt;M$3,G647&gt;M$7),G647,#N/A)</f>
        <v>#N/A</v>
      </c>
      <c r="AD647">
        <f t="shared" si="11"/>
        <v>3</v>
      </c>
      <c r="AE647" t="e">
        <f t="array" ref="AE647">IF(OR(H647&lt;N$3,H647&gt;N$7),H647,#N/A)</f>
        <v>#N/A</v>
      </c>
      <c r="AF647">
        <f t="shared" si="11"/>
        <v>4</v>
      </c>
      <c r="AG647" t="e">
        <f t="array" ref="AG647">IF(OR(I647&lt;O$3,I647&gt;O$7),I647,#N/A)</f>
        <v>#N/A</v>
      </c>
    </row>
    <row r="648" spans="5:33" x14ac:dyDescent="0.25">
      <c r="E648">
        <v>645</v>
      </c>
      <c r="F648">
        <v>17.363636363636363</v>
      </c>
      <c r="G648">
        <v>14.75</v>
      </c>
      <c r="H648">
        <v>13.84</v>
      </c>
      <c r="I648">
        <v>13.5</v>
      </c>
      <c r="Z648">
        <v>1</v>
      </c>
      <c r="AA648" t="e">
        <f t="array" ref="AA648">IF(OR(F648&lt;L$3,F648&gt;L$7),F648,#N/A)</f>
        <v>#N/A</v>
      </c>
      <c r="AB648">
        <f t="shared" si="11"/>
        <v>2</v>
      </c>
      <c r="AC648" t="e">
        <f t="array" ref="AC648">IF(OR(G648&lt;M$3,G648&gt;M$7),G648,#N/A)</f>
        <v>#N/A</v>
      </c>
      <c r="AD648">
        <f t="shared" si="11"/>
        <v>3</v>
      </c>
      <c r="AE648" t="e">
        <f t="array" ref="AE648">IF(OR(H648&lt;N$3,H648&gt;N$7),H648,#N/A)</f>
        <v>#N/A</v>
      </c>
      <c r="AF648">
        <f t="shared" si="11"/>
        <v>4</v>
      </c>
      <c r="AG648" t="e">
        <f t="array" ref="AG648">IF(OR(I648&lt;O$3,I648&gt;O$7),I648,#N/A)</f>
        <v>#N/A</v>
      </c>
    </row>
    <row r="649" spans="5:33" x14ac:dyDescent="0.25">
      <c r="E649">
        <v>646</v>
      </c>
      <c r="F649">
        <v>11.818181818181818</v>
      </c>
      <c r="G649">
        <v>10.65</v>
      </c>
      <c r="H649">
        <v>13.46</v>
      </c>
      <c r="I649">
        <v>13.52</v>
      </c>
      <c r="Z649">
        <v>1</v>
      </c>
      <c r="AA649" t="e">
        <f t="array" ref="AA649">IF(OR(F649&lt;L$3,F649&gt;L$7),F649,#N/A)</f>
        <v>#N/A</v>
      </c>
      <c r="AB649">
        <f t="shared" si="11"/>
        <v>2</v>
      </c>
      <c r="AC649" t="e">
        <f t="array" ref="AC649">IF(OR(G649&lt;M$3,G649&gt;M$7),G649,#N/A)</f>
        <v>#N/A</v>
      </c>
      <c r="AD649">
        <f t="shared" si="11"/>
        <v>3</v>
      </c>
      <c r="AE649" t="e">
        <f t="array" ref="AE649">IF(OR(H649&lt;N$3,H649&gt;N$7),H649,#N/A)</f>
        <v>#N/A</v>
      </c>
      <c r="AF649">
        <f t="shared" si="11"/>
        <v>4</v>
      </c>
      <c r="AG649" t="e">
        <f t="array" ref="AG649">IF(OR(I649&lt;O$3,I649&gt;O$7),I649,#N/A)</f>
        <v>#N/A</v>
      </c>
    </row>
    <row r="650" spans="5:33" x14ac:dyDescent="0.25">
      <c r="E650">
        <v>647</v>
      </c>
      <c r="F650">
        <v>16.727272727272727</v>
      </c>
      <c r="G650">
        <v>16.45</v>
      </c>
      <c r="H650">
        <v>15.2</v>
      </c>
      <c r="I650">
        <v>14.6</v>
      </c>
      <c r="Z650">
        <v>1</v>
      </c>
      <c r="AA650" t="e">
        <f t="array" ref="AA650">IF(OR(F650&lt;L$3,F650&gt;L$7),F650,#N/A)</f>
        <v>#N/A</v>
      </c>
      <c r="AB650">
        <f t="shared" si="11"/>
        <v>2</v>
      </c>
      <c r="AC650" t="e">
        <f t="array" ref="AC650">IF(OR(G650&lt;M$3,G650&gt;M$7),G650,#N/A)</f>
        <v>#N/A</v>
      </c>
      <c r="AD650">
        <f t="shared" si="11"/>
        <v>3</v>
      </c>
      <c r="AE650" t="e">
        <f t="array" ref="AE650">IF(OR(H650&lt;N$3,H650&gt;N$7),H650,#N/A)</f>
        <v>#N/A</v>
      </c>
      <c r="AF650">
        <f t="shared" si="11"/>
        <v>4</v>
      </c>
      <c r="AG650" t="e">
        <f t="array" ref="AG650">IF(OR(I650&lt;O$3,I650&gt;O$7),I650,#N/A)</f>
        <v>#N/A</v>
      </c>
    </row>
    <row r="651" spans="5:33" x14ac:dyDescent="0.25">
      <c r="E651">
        <v>648</v>
      </c>
      <c r="F651">
        <v>15.181818181818182</v>
      </c>
      <c r="G651">
        <v>13.7</v>
      </c>
      <c r="H651">
        <v>14.34</v>
      </c>
      <c r="I651">
        <v>14.06</v>
      </c>
      <c r="Z651">
        <v>1</v>
      </c>
      <c r="AA651" t="e">
        <f t="array" ref="AA651">IF(OR(F651&lt;L$3,F651&gt;L$7),F651,#N/A)</f>
        <v>#N/A</v>
      </c>
      <c r="AB651">
        <f t="shared" si="11"/>
        <v>2</v>
      </c>
      <c r="AC651" t="e">
        <f t="array" ref="AC651">IF(OR(G651&lt;M$3,G651&gt;M$7),G651,#N/A)</f>
        <v>#N/A</v>
      </c>
      <c r="AD651">
        <f t="shared" si="11"/>
        <v>3</v>
      </c>
      <c r="AE651" t="e">
        <f t="array" ref="AE651">IF(OR(H651&lt;N$3,H651&gt;N$7),H651,#N/A)</f>
        <v>#N/A</v>
      </c>
      <c r="AF651">
        <f t="shared" si="11"/>
        <v>4</v>
      </c>
      <c r="AG651" t="e">
        <f t="array" ref="AG651">IF(OR(I651&lt;O$3,I651&gt;O$7),I651,#N/A)</f>
        <v>#N/A</v>
      </c>
    </row>
    <row r="652" spans="5:33" x14ac:dyDescent="0.25">
      <c r="E652">
        <v>649</v>
      </c>
      <c r="F652">
        <v>13.545454545454545</v>
      </c>
      <c r="G652">
        <v>12.85</v>
      </c>
      <c r="H652">
        <v>14.98</v>
      </c>
      <c r="I652">
        <v>14.55</v>
      </c>
      <c r="Z652">
        <v>1</v>
      </c>
      <c r="AA652" t="e">
        <f t="array" ref="AA652">IF(OR(F652&lt;L$3,F652&gt;L$7),F652,#N/A)</f>
        <v>#N/A</v>
      </c>
      <c r="AB652">
        <f t="shared" si="11"/>
        <v>2</v>
      </c>
      <c r="AC652" t="e">
        <f t="array" ref="AC652">IF(OR(G652&lt;M$3,G652&gt;M$7),G652,#N/A)</f>
        <v>#N/A</v>
      </c>
      <c r="AD652">
        <f t="shared" si="11"/>
        <v>3</v>
      </c>
      <c r="AE652" t="e">
        <f t="array" ref="AE652">IF(OR(H652&lt;N$3,H652&gt;N$7),H652,#N/A)</f>
        <v>#N/A</v>
      </c>
      <c r="AF652">
        <f t="shared" si="11"/>
        <v>4</v>
      </c>
      <c r="AG652" t="e">
        <f t="array" ref="AG652">IF(OR(I652&lt;O$3,I652&gt;O$7),I652,#N/A)</f>
        <v>#N/A</v>
      </c>
    </row>
    <row r="653" spans="5:33" x14ac:dyDescent="0.25">
      <c r="E653">
        <v>650</v>
      </c>
      <c r="F653">
        <v>12.545454545454545</v>
      </c>
      <c r="G653">
        <v>14.5</v>
      </c>
      <c r="H653">
        <v>14.46</v>
      </c>
      <c r="I653">
        <v>14.92</v>
      </c>
      <c r="Z653">
        <v>1</v>
      </c>
      <c r="AA653" t="e">
        <f t="array" ref="AA653">IF(OR(F653&lt;L$3,F653&gt;L$7),F653,#N/A)</f>
        <v>#N/A</v>
      </c>
      <c r="AB653">
        <f t="shared" si="11"/>
        <v>2</v>
      </c>
      <c r="AC653" t="e">
        <f t="array" ref="AC653">IF(OR(G653&lt;M$3,G653&gt;M$7),G653,#N/A)</f>
        <v>#N/A</v>
      </c>
      <c r="AD653">
        <f t="shared" si="11"/>
        <v>3</v>
      </c>
      <c r="AE653" t="e">
        <f t="array" ref="AE653">IF(OR(H653&lt;N$3,H653&gt;N$7),H653,#N/A)</f>
        <v>#N/A</v>
      </c>
      <c r="AF653">
        <f t="shared" si="11"/>
        <v>4</v>
      </c>
      <c r="AG653" t="e">
        <f t="array" ref="AG653">IF(OR(I653&lt;O$3,I653&gt;O$7),I653,#N/A)</f>
        <v>#N/A</v>
      </c>
    </row>
    <row r="654" spans="5:33" x14ac:dyDescent="0.25">
      <c r="E654">
        <v>651</v>
      </c>
      <c r="F654">
        <v>16.727272727272727</v>
      </c>
      <c r="G654">
        <v>15.3</v>
      </c>
      <c r="H654">
        <v>13.88</v>
      </c>
      <c r="I654">
        <v>13.73</v>
      </c>
      <c r="Z654">
        <v>1</v>
      </c>
      <c r="AA654" t="e">
        <f t="array" ref="AA654">IF(OR(F654&lt;L$3,F654&gt;L$7),F654,#N/A)</f>
        <v>#N/A</v>
      </c>
      <c r="AB654">
        <f t="shared" si="11"/>
        <v>2</v>
      </c>
      <c r="AC654" t="e">
        <f t="array" ref="AC654">IF(OR(G654&lt;M$3,G654&gt;M$7),G654,#N/A)</f>
        <v>#N/A</v>
      </c>
      <c r="AD654">
        <f t="shared" si="11"/>
        <v>3</v>
      </c>
      <c r="AE654" t="e">
        <f t="array" ref="AE654">IF(OR(H654&lt;N$3,H654&gt;N$7),H654,#N/A)</f>
        <v>#N/A</v>
      </c>
      <c r="AF654">
        <f t="shared" si="11"/>
        <v>4</v>
      </c>
      <c r="AG654" t="e">
        <f t="array" ref="AG654">IF(OR(I654&lt;O$3,I654&gt;O$7),I654,#N/A)</f>
        <v>#N/A</v>
      </c>
    </row>
    <row r="655" spans="5:33" x14ac:dyDescent="0.25">
      <c r="E655">
        <v>652</v>
      </c>
      <c r="F655">
        <v>17</v>
      </c>
      <c r="G655">
        <v>15.7</v>
      </c>
      <c r="H655">
        <v>14.66</v>
      </c>
      <c r="I655">
        <v>14.25</v>
      </c>
      <c r="Z655">
        <v>1</v>
      </c>
      <c r="AA655" t="e">
        <f t="array" ref="AA655">IF(OR(F655&lt;L$3,F655&gt;L$7),F655,#N/A)</f>
        <v>#N/A</v>
      </c>
      <c r="AB655">
        <f t="shared" si="11"/>
        <v>2</v>
      </c>
      <c r="AC655" t="e">
        <f t="array" ref="AC655">IF(OR(G655&lt;M$3,G655&gt;M$7),G655,#N/A)</f>
        <v>#N/A</v>
      </c>
      <c r="AD655">
        <f t="shared" si="11"/>
        <v>3</v>
      </c>
      <c r="AE655" t="e">
        <f t="array" ref="AE655">IF(OR(H655&lt;N$3,H655&gt;N$7),H655,#N/A)</f>
        <v>#N/A</v>
      </c>
      <c r="AF655">
        <f t="shared" si="11"/>
        <v>4</v>
      </c>
      <c r="AG655" t="e">
        <f t="array" ref="AG655">IF(OR(I655&lt;O$3,I655&gt;O$7),I655,#N/A)</f>
        <v>#N/A</v>
      </c>
    </row>
    <row r="656" spans="5:33" x14ac:dyDescent="0.25">
      <c r="E656">
        <v>653</v>
      </c>
      <c r="F656">
        <v>12.636363636363637</v>
      </c>
      <c r="G656">
        <v>13.2</v>
      </c>
      <c r="H656">
        <v>13.02</v>
      </c>
      <c r="I656">
        <v>13.25</v>
      </c>
      <c r="Z656">
        <v>1</v>
      </c>
      <c r="AA656" t="e">
        <f t="array" ref="AA656">IF(OR(F656&lt;L$3,F656&gt;L$7),F656,#N/A)</f>
        <v>#N/A</v>
      </c>
      <c r="AB656">
        <f t="shared" si="11"/>
        <v>2</v>
      </c>
      <c r="AC656" t="e">
        <f t="array" ref="AC656">IF(OR(G656&lt;M$3,G656&gt;M$7),G656,#N/A)</f>
        <v>#N/A</v>
      </c>
      <c r="AD656">
        <f t="shared" si="11"/>
        <v>3</v>
      </c>
      <c r="AE656" t="e">
        <f t="array" ref="AE656">IF(OR(H656&lt;N$3,H656&gt;N$7),H656,#N/A)</f>
        <v>#N/A</v>
      </c>
      <c r="AF656">
        <f t="shared" si="11"/>
        <v>4</v>
      </c>
      <c r="AG656" t="e">
        <f t="array" ref="AG656">IF(OR(I656&lt;O$3,I656&gt;O$7),I656,#N/A)</f>
        <v>#N/A</v>
      </c>
    </row>
    <row r="657" spans="5:33" x14ac:dyDescent="0.25">
      <c r="E657">
        <v>654</v>
      </c>
      <c r="F657">
        <v>13.727272727272727</v>
      </c>
      <c r="G657">
        <v>13.95</v>
      </c>
      <c r="H657">
        <v>12.8</v>
      </c>
      <c r="I657">
        <v>14.05</v>
      </c>
      <c r="Z657">
        <v>1</v>
      </c>
      <c r="AA657" t="e">
        <f t="array" ref="AA657">IF(OR(F657&lt;L$3,F657&gt;L$7),F657,#N/A)</f>
        <v>#N/A</v>
      </c>
      <c r="AB657">
        <f t="shared" si="11"/>
        <v>2</v>
      </c>
      <c r="AC657" t="e">
        <f t="array" ref="AC657">IF(OR(G657&lt;M$3,G657&gt;M$7),G657,#N/A)</f>
        <v>#N/A</v>
      </c>
      <c r="AD657">
        <f t="shared" si="11"/>
        <v>3</v>
      </c>
      <c r="AE657" t="e">
        <f t="array" ref="AE657">IF(OR(H657&lt;N$3,H657&gt;N$7),H657,#N/A)</f>
        <v>#N/A</v>
      </c>
      <c r="AF657">
        <f t="shared" si="11"/>
        <v>4</v>
      </c>
      <c r="AG657" t="e">
        <f t="array" ref="AG657">IF(OR(I657&lt;O$3,I657&gt;O$7),I657,#N/A)</f>
        <v>#N/A</v>
      </c>
    </row>
    <row r="658" spans="5:33" x14ac:dyDescent="0.25">
      <c r="E658">
        <v>655</v>
      </c>
      <c r="F658">
        <v>14.454545454545455</v>
      </c>
      <c r="G658">
        <v>13.85</v>
      </c>
      <c r="H658">
        <v>14.14</v>
      </c>
      <c r="I658">
        <v>14.79</v>
      </c>
      <c r="Z658">
        <v>1</v>
      </c>
      <c r="AA658" t="e">
        <f t="array" ref="AA658">IF(OR(F658&lt;L$3,F658&gt;L$7),F658,#N/A)</f>
        <v>#N/A</v>
      </c>
      <c r="AB658">
        <f t="shared" si="11"/>
        <v>2</v>
      </c>
      <c r="AC658" t="e">
        <f t="array" ref="AC658">IF(OR(G658&lt;M$3,G658&gt;M$7),G658,#N/A)</f>
        <v>#N/A</v>
      </c>
      <c r="AD658">
        <f t="shared" si="11"/>
        <v>3</v>
      </c>
      <c r="AE658" t="e">
        <f t="array" ref="AE658">IF(OR(H658&lt;N$3,H658&gt;N$7),H658,#N/A)</f>
        <v>#N/A</v>
      </c>
      <c r="AF658">
        <f t="shared" si="11"/>
        <v>4</v>
      </c>
      <c r="AG658" t="e">
        <f t="array" ref="AG658">IF(OR(I658&lt;O$3,I658&gt;O$7),I658,#N/A)</f>
        <v>#N/A</v>
      </c>
    </row>
    <row r="659" spans="5:33" x14ac:dyDescent="0.25">
      <c r="E659">
        <v>656</v>
      </c>
      <c r="F659">
        <v>15.090909090909092</v>
      </c>
      <c r="G659">
        <v>16.100000000000001</v>
      </c>
      <c r="H659">
        <v>14.22</v>
      </c>
      <c r="I659">
        <v>14.83</v>
      </c>
      <c r="Z659">
        <v>1</v>
      </c>
      <c r="AA659" t="e">
        <f t="array" ref="AA659">IF(OR(F659&lt;L$3,F659&gt;L$7),F659,#N/A)</f>
        <v>#N/A</v>
      </c>
      <c r="AB659">
        <f t="shared" si="11"/>
        <v>2</v>
      </c>
      <c r="AC659" t="e">
        <f t="array" ref="AC659">IF(OR(G659&lt;M$3,G659&gt;M$7),G659,#N/A)</f>
        <v>#N/A</v>
      </c>
      <c r="AD659">
        <f t="shared" si="11"/>
        <v>3</v>
      </c>
      <c r="AE659" t="e">
        <f t="array" ref="AE659">IF(OR(H659&lt;N$3,H659&gt;N$7),H659,#N/A)</f>
        <v>#N/A</v>
      </c>
      <c r="AF659">
        <f t="shared" si="11"/>
        <v>4</v>
      </c>
      <c r="AG659" t="e">
        <f t="array" ref="AG659">IF(OR(I659&lt;O$3,I659&gt;O$7),I659,#N/A)</f>
        <v>#N/A</v>
      </c>
    </row>
    <row r="660" spans="5:33" x14ac:dyDescent="0.25">
      <c r="E660">
        <v>657</v>
      </c>
      <c r="F660">
        <v>15</v>
      </c>
      <c r="G660">
        <v>14.65</v>
      </c>
      <c r="H660">
        <v>16.7</v>
      </c>
      <c r="I660">
        <v>14.47</v>
      </c>
      <c r="Z660">
        <v>1</v>
      </c>
      <c r="AA660" t="e">
        <f t="array" ref="AA660">IF(OR(F660&lt;L$3,F660&gt;L$7),F660,#N/A)</f>
        <v>#N/A</v>
      </c>
      <c r="AB660">
        <f t="shared" si="11"/>
        <v>2</v>
      </c>
      <c r="AC660" t="e">
        <f t="array" ref="AC660">IF(OR(G660&lt;M$3,G660&gt;M$7),G660,#N/A)</f>
        <v>#N/A</v>
      </c>
      <c r="AD660">
        <f t="shared" si="11"/>
        <v>3</v>
      </c>
      <c r="AE660" t="e">
        <f t="array" ref="AE660">IF(OR(H660&lt;N$3,H660&gt;N$7),H660,#N/A)</f>
        <v>#N/A</v>
      </c>
      <c r="AF660">
        <f t="shared" si="11"/>
        <v>4</v>
      </c>
      <c r="AG660" t="e">
        <f t="array" ref="AG660">IF(OR(I660&lt;O$3,I660&gt;O$7),I660,#N/A)</f>
        <v>#N/A</v>
      </c>
    </row>
    <row r="661" spans="5:33" x14ac:dyDescent="0.25">
      <c r="E661">
        <v>658</v>
      </c>
      <c r="F661">
        <v>14.636363636363637</v>
      </c>
      <c r="G661">
        <v>15.45</v>
      </c>
      <c r="H661">
        <v>14.54</v>
      </c>
      <c r="I661">
        <v>14.88</v>
      </c>
      <c r="Z661">
        <v>1</v>
      </c>
      <c r="AA661" t="e">
        <f t="array" ref="AA661">IF(OR(F661&lt;L$3,F661&gt;L$7),F661,#N/A)</f>
        <v>#N/A</v>
      </c>
      <c r="AB661">
        <f t="shared" si="11"/>
        <v>2</v>
      </c>
      <c r="AC661" t="e">
        <f t="array" ref="AC661">IF(OR(G661&lt;M$3,G661&gt;M$7),G661,#N/A)</f>
        <v>#N/A</v>
      </c>
      <c r="AD661">
        <f t="shared" si="11"/>
        <v>3</v>
      </c>
      <c r="AE661" t="e">
        <f t="array" ref="AE661">IF(OR(H661&lt;N$3,H661&gt;N$7),H661,#N/A)</f>
        <v>#N/A</v>
      </c>
      <c r="AF661">
        <f t="shared" si="11"/>
        <v>4</v>
      </c>
      <c r="AG661" t="e">
        <f t="array" ref="AG661">IF(OR(I661&lt;O$3,I661&gt;O$7),I661,#N/A)</f>
        <v>#N/A</v>
      </c>
    </row>
    <row r="662" spans="5:33" x14ac:dyDescent="0.25">
      <c r="E662">
        <v>659</v>
      </c>
      <c r="F662">
        <v>12.363636363636363</v>
      </c>
      <c r="G662">
        <v>10.8</v>
      </c>
      <c r="H662">
        <v>13.7</v>
      </c>
      <c r="I662">
        <v>13.69</v>
      </c>
      <c r="Z662">
        <v>1</v>
      </c>
      <c r="AA662" t="e">
        <f t="array" ref="AA662">IF(OR(F662&lt;L$3,F662&gt;L$7),F662,#N/A)</f>
        <v>#N/A</v>
      </c>
      <c r="AB662">
        <f t="shared" si="11"/>
        <v>2</v>
      </c>
      <c r="AC662" t="e">
        <f t="array" ref="AC662">IF(OR(G662&lt;M$3,G662&gt;M$7),G662,#N/A)</f>
        <v>#N/A</v>
      </c>
      <c r="AD662">
        <f t="shared" si="11"/>
        <v>3</v>
      </c>
      <c r="AE662" t="e">
        <f t="array" ref="AE662">IF(OR(H662&lt;N$3,H662&gt;N$7),H662,#N/A)</f>
        <v>#N/A</v>
      </c>
      <c r="AF662">
        <f t="shared" si="11"/>
        <v>4</v>
      </c>
      <c r="AG662" t="e">
        <f t="array" ref="AG662">IF(OR(I662&lt;O$3,I662&gt;O$7),I662,#N/A)</f>
        <v>#N/A</v>
      </c>
    </row>
    <row r="663" spans="5:33" x14ac:dyDescent="0.25">
      <c r="E663">
        <v>660</v>
      </c>
      <c r="F663">
        <v>14.454545454545455</v>
      </c>
      <c r="G663">
        <v>13.35</v>
      </c>
      <c r="H663">
        <v>14.02</v>
      </c>
      <c r="I663">
        <v>13.42</v>
      </c>
      <c r="Z663">
        <v>1</v>
      </c>
      <c r="AA663" t="e">
        <f t="array" ref="AA663">IF(OR(F663&lt;L$3,F663&gt;L$7),F663,#N/A)</f>
        <v>#N/A</v>
      </c>
      <c r="AB663">
        <f t="shared" si="11"/>
        <v>2</v>
      </c>
      <c r="AC663" t="e">
        <f t="array" ref="AC663">IF(OR(G663&lt;M$3,G663&gt;M$7),G663,#N/A)</f>
        <v>#N/A</v>
      </c>
      <c r="AD663">
        <f t="shared" si="11"/>
        <v>3</v>
      </c>
      <c r="AE663" t="e">
        <f t="array" ref="AE663">IF(OR(H663&lt;N$3,H663&gt;N$7),H663,#N/A)</f>
        <v>#N/A</v>
      </c>
      <c r="AF663">
        <f t="shared" si="11"/>
        <v>4</v>
      </c>
      <c r="AG663" t="e">
        <f t="array" ref="AG663">IF(OR(I663&lt;O$3,I663&gt;O$7),I663,#N/A)</f>
        <v>#N/A</v>
      </c>
    </row>
    <row r="664" spans="5:33" x14ac:dyDescent="0.25">
      <c r="E664">
        <v>661</v>
      </c>
      <c r="F664">
        <v>17.545454545454547</v>
      </c>
      <c r="G664">
        <v>15.05</v>
      </c>
      <c r="H664">
        <v>14.16</v>
      </c>
      <c r="I664">
        <v>13.66</v>
      </c>
      <c r="Z664">
        <v>1</v>
      </c>
      <c r="AA664" t="e">
        <f t="array" ref="AA664">IF(OR(F664&lt;L$3,F664&gt;L$7),F664,#N/A)</f>
        <v>#N/A</v>
      </c>
      <c r="AB664">
        <f t="shared" si="11"/>
        <v>2</v>
      </c>
      <c r="AC664" t="e">
        <f t="array" ref="AC664">IF(OR(G664&lt;M$3,G664&gt;M$7),G664,#N/A)</f>
        <v>#N/A</v>
      </c>
      <c r="AD664">
        <f t="shared" si="11"/>
        <v>3</v>
      </c>
      <c r="AE664" t="e">
        <f t="array" ref="AE664">IF(OR(H664&lt;N$3,H664&gt;N$7),H664,#N/A)</f>
        <v>#N/A</v>
      </c>
      <c r="AF664">
        <f t="shared" si="11"/>
        <v>4</v>
      </c>
      <c r="AG664" t="e">
        <f t="array" ref="AG664">IF(OR(I664&lt;O$3,I664&gt;O$7),I664,#N/A)</f>
        <v>#N/A</v>
      </c>
    </row>
    <row r="665" spans="5:33" x14ac:dyDescent="0.25">
      <c r="E665">
        <v>662</v>
      </c>
      <c r="F665">
        <v>13.636363636363637</v>
      </c>
      <c r="G665">
        <v>14.15</v>
      </c>
      <c r="H665">
        <v>14.58</v>
      </c>
      <c r="I665">
        <v>14.01</v>
      </c>
      <c r="Z665">
        <v>1</v>
      </c>
      <c r="AA665" t="e">
        <f t="array" ref="AA665">IF(OR(F665&lt;L$3,F665&gt;L$7),F665,#N/A)</f>
        <v>#N/A</v>
      </c>
      <c r="AB665">
        <f t="shared" si="11"/>
        <v>2</v>
      </c>
      <c r="AC665" t="e">
        <f t="array" ref="AC665">IF(OR(G665&lt;M$3,G665&gt;M$7),G665,#N/A)</f>
        <v>#N/A</v>
      </c>
      <c r="AD665">
        <f t="shared" si="11"/>
        <v>3</v>
      </c>
      <c r="AE665" t="e">
        <f t="array" ref="AE665">IF(OR(H665&lt;N$3,H665&gt;N$7),H665,#N/A)</f>
        <v>#N/A</v>
      </c>
      <c r="AF665">
        <f t="shared" si="11"/>
        <v>4</v>
      </c>
      <c r="AG665" t="e">
        <f t="array" ref="AG665">IF(OR(I665&lt;O$3,I665&gt;O$7),I665,#N/A)</f>
        <v>#N/A</v>
      </c>
    </row>
    <row r="666" spans="5:33" x14ac:dyDescent="0.25">
      <c r="E666">
        <v>663</v>
      </c>
      <c r="F666">
        <v>13.272727272727273</v>
      </c>
      <c r="G666">
        <v>14.4</v>
      </c>
      <c r="H666">
        <v>14.84</v>
      </c>
      <c r="I666">
        <v>14.65</v>
      </c>
      <c r="Z666">
        <v>1</v>
      </c>
      <c r="AA666" t="e">
        <f t="array" ref="AA666">IF(OR(F666&lt;L$3,F666&gt;L$7),F666,#N/A)</f>
        <v>#N/A</v>
      </c>
      <c r="AB666">
        <f t="shared" si="11"/>
        <v>2</v>
      </c>
      <c r="AC666" t="e">
        <f t="array" ref="AC666">IF(OR(G666&lt;M$3,G666&gt;M$7),G666,#N/A)</f>
        <v>#N/A</v>
      </c>
      <c r="AD666">
        <f t="shared" si="11"/>
        <v>3</v>
      </c>
      <c r="AE666" t="e">
        <f t="array" ref="AE666">IF(OR(H666&lt;N$3,H666&gt;N$7),H666,#N/A)</f>
        <v>#N/A</v>
      </c>
      <c r="AF666">
        <f t="shared" si="11"/>
        <v>4</v>
      </c>
      <c r="AG666" t="e">
        <f t="array" ref="AG666">IF(OR(I666&lt;O$3,I666&gt;O$7),I666,#N/A)</f>
        <v>#N/A</v>
      </c>
    </row>
    <row r="667" spans="5:33" x14ac:dyDescent="0.25">
      <c r="E667">
        <v>664</v>
      </c>
      <c r="F667">
        <v>13.090909090909092</v>
      </c>
      <c r="G667">
        <v>12.9</v>
      </c>
      <c r="H667">
        <v>15.44</v>
      </c>
      <c r="I667">
        <v>14.15</v>
      </c>
      <c r="Z667">
        <v>1</v>
      </c>
      <c r="AA667" t="e">
        <f t="array" ref="AA667">IF(OR(F667&lt;L$3,F667&gt;L$7),F667,#N/A)</f>
        <v>#N/A</v>
      </c>
      <c r="AB667">
        <f t="shared" si="11"/>
        <v>2</v>
      </c>
      <c r="AC667" t="e">
        <f t="array" ref="AC667">IF(OR(G667&lt;M$3,G667&gt;M$7),G667,#N/A)</f>
        <v>#N/A</v>
      </c>
      <c r="AD667">
        <f t="shared" si="11"/>
        <v>3</v>
      </c>
      <c r="AE667" t="e">
        <f t="array" ref="AE667">IF(OR(H667&lt;N$3,H667&gt;N$7),H667,#N/A)</f>
        <v>#N/A</v>
      </c>
      <c r="AF667">
        <f t="shared" si="11"/>
        <v>4</v>
      </c>
      <c r="AG667" t="e">
        <f t="array" ref="AG667">IF(OR(I667&lt;O$3,I667&gt;O$7),I667,#N/A)</f>
        <v>#N/A</v>
      </c>
    </row>
    <row r="668" spans="5:33" x14ac:dyDescent="0.25">
      <c r="E668">
        <v>665</v>
      </c>
      <c r="F668">
        <v>17.181818181818183</v>
      </c>
      <c r="G668">
        <v>16.850000000000001</v>
      </c>
      <c r="H668">
        <v>13.98</v>
      </c>
      <c r="I668">
        <v>13.61</v>
      </c>
      <c r="Z668">
        <v>1</v>
      </c>
      <c r="AA668" t="e">
        <f t="array" ref="AA668">IF(OR(F668&lt;L$3,F668&gt;L$7),F668,#N/A)</f>
        <v>#N/A</v>
      </c>
      <c r="AB668">
        <f t="shared" si="11"/>
        <v>2</v>
      </c>
      <c r="AC668" t="e">
        <f t="array" ref="AC668">IF(OR(G668&lt;M$3,G668&gt;M$7),G668,#N/A)</f>
        <v>#N/A</v>
      </c>
      <c r="AD668">
        <f t="shared" si="11"/>
        <v>3</v>
      </c>
      <c r="AE668" t="e">
        <f t="array" ref="AE668">IF(OR(H668&lt;N$3,H668&gt;N$7),H668,#N/A)</f>
        <v>#N/A</v>
      </c>
      <c r="AF668">
        <f t="shared" si="11"/>
        <v>4</v>
      </c>
      <c r="AG668" t="e">
        <f t="array" ref="AG668">IF(OR(I668&lt;O$3,I668&gt;O$7),I668,#N/A)</f>
        <v>#N/A</v>
      </c>
    </row>
    <row r="669" spans="5:33" x14ac:dyDescent="0.25">
      <c r="E669">
        <v>666</v>
      </c>
      <c r="F669">
        <v>19.727272727272727</v>
      </c>
      <c r="G669">
        <v>18.95</v>
      </c>
      <c r="H669">
        <v>16.88</v>
      </c>
      <c r="I669">
        <v>15.34</v>
      </c>
      <c r="Z669">
        <v>1</v>
      </c>
      <c r="AA669" t="e">
        <f t="array" ref="AA669">IF(OR(F669&lt;L$3,F669&gt;L$7),F669,#N/A)</f>
        <v>#N/A</v>
      </c>
      <c r="AB669">
        <f t="shared" si="11"/>
        <v>2</v>
      </c>
      <c r="AC669">
        <f t="array" ref="AC669">IF(OR(G669&lt;M$3,G669&gt;M$7),G669,#N/A)</f>
        <v>18.95</v>
      </c>
      <c r="AD669">
        <f t="shared" si="11"/>
        <v>3</v>
      </c>
      <c r="AE669">
        <f t="array" ref="AE669">IF(OR(H669&lt;N$3,H669&gt;N$7),H669,#N/A)</f>
        <v>16.88</v>
      </c>
      <c r="AF669">
        <f t="shared" si="11"/>
        <v>4</v>
      </c>
      <c r="AG669" t="e">
        <f t="array" ref="AG669">IF(OR(I669&lt;O$3,I669&gt;O$7),I669,#N/A)</f>
        <v>#N/A</v>
      </c>
    </row>
    <row r="670" spans="5:33" x14ac:dyDescent="0.25">
      <c r="E670">
        <v>667</v>
      </c>
      <c r="F670">
        <v>15.636363636363637</v>
      </c>
      <c r="G670">
        <v>15.85</v>
      </c>
      <c r="H670">
        <v>14</v>
      </c>
      <c r="I670">
        <v>14.49</v>
      </c>
      <c r="Z670">
        <v>1</v>
      </c>
      <c r="AA670" t="e">
        <f t="array" ref="AA670">IF(OR(F670&lt;L$3,F670&gt;L$7),F670,#N/A)</f>
        <v>#N/A</v>
      </c>
      <c r="AB670">
        <f t="shared" si="11"/>
        <v>2</v>
      </c>
      <c r="AC670" t="e">
        <f t="array" ref="AC670">IF(OR(G670&lt;M$3,G670&gt;M$7),G670,#N/A)</f>
        <v>#N/A</v>
      </c>
      <c r="AD670">
        <f t="shared" si="11"/>
        <v>3</v>
      </c>
      <c r="AE670" t="e">
        <f t="array" ref="AE670">IF(OR(H670&lt;N$3,H670&gt;N$7),H670,#N/A)</f>
        <v>#N/A</v>
      </c>
      <c r="AF670">
        <f t="shared" si="11"/>
        <v>4</v>
      </c>
      <c r="AG670" t="e">
        <f t="array" ref="AG670">IF(OR(I670&lt;O$3,I670&gt;O$7),I670,#N/A)</f>
        <v>#N/A</v>
      </c>
    </row>
    <row r="671" spans="5:33" x14ac:dyDescent="0.25">
      <c r="E671">
        <v>668</v>
      </c>
      <c r="F671">
        <v>13.727272727272727</v>
      </c>
      <c r="G671">
        <v>13.85</v>
      </c>
      <c r="H671">
        <v>14.64</v>
      </c>
      <c r="I671">
        <v>13.77</v>
      </c>
      <c r="Z671">
        <v>1</v>
      </c>
      <c r="AA671" t="e">
        <f t="array" ref="AA671">IF(OR(F671&lt;L$3,F671&gt;L$7),F671,#N/A)</f>
        <v>#N/A</v>
      </c>
      <c r="AB671">
        <f t="shared" si="11"/>
        <v>2</v>
      </c>
      <c r="AC671" t="e">
        <f t="array" ref="AC671">IF(OR(G671&lt;M$3,G671&gt;M$7),G671,#N/A)</f>
        <v>#N/A</v>
      </c>
      <c r="AD671">
        <f t="shared" si="11"/>
        <v>3</v>
      </c>
      <c r="AE671" t="e">
        <f t="array" ref="AE671">IF(OR(H671&lt;N$3,H671&gt;N$7),H671,#N/A)</f>
        <v>#N/A</v>
      </c>
      <c r="AF671">
        <f t="shared" si="11"/>
        <v>4</v>
      </c>
      <c r="AG671" t="e">
        <f t="array" ref="AG671">IF(OR(I671&lt;O$3,I671&gt;O$7),I671,#N/A)</f>
        <v>#N/A</v>
      </c>
    </row>
    <row r="672" spans="5:33" x14ac:dyDescent="0.25">
      <c r="E672">
        <v>669</v>
      </c>
      <c r="F672">
        <v>12.909090909090908</v>
      </c>
      <c r="G672">
        <v>13.35</v>
      </c>
      <c r="H672">
        <v>13.08</v>
      </c>
      <c r="I672">
        <v>13.45</v>
      </c>
      <c r="Z672">
        <v>1</v>
      </c>
      <c r="AA672" t="e">
        <f t="array" ref="AA672">IF(OR(F672&lt;L$3,F672&gt;L$7),F672,#N/A)</f>
        <v>#N/A</v>
      </c>
      <c r="AB672">
        <f t="shared" si="11"/>
        <v>2</v>
      </c>
      <c r="AC672" t="e">
        <f t="array" ref="AC672">IF(OR(G672&lt;M$3,G672&gt;M$7),G672,#N/A)</f>
        <v>#N/A</v>
      </c>
      <c r="AD672">
        <f t="shared" si="11"/>
        <v>3</v>
      </c>
      <c r="AE672" t="e">
        <f t="array" ref="AE672">IF(OR(H672&lt;N$3,H672&gt;N$7),H672,#N/A)</f>
        <v>#N/A</v>
      </c>
      <c r="AF672">
        <f t="shared" si="11"/>
        <v>4</v>
      </c>
      <c r="AG672" t="e">
        <f t="array" ref="AG672">IF(OR(I672&lt;O$3,I672&gt;O$7),I672,#N/A)</f>
        <v>#N/A</v>
      </c>
    </row>
    <row r="673" spans="5:33" x14ac:dyDescent="0.25">
      <c r="E673">
        <v>670</v>
      </c>
      <c r="F673">
        <v>12.181818181818182</v>
      </c>
      <c r="G673">
        <v>13.35</v>
      </c>
      <c r="H673">
        <v>14.02</v>
      </c>
      <c r="I673">
        <v>13.42</v>
      </c>
      <c r="Z673">
        <v>1</v>
      </c>
      <c r="AA673" t="e">
        <f t="array" ref="AA673">IF(OR(F673&lt;L$3,F673&gt;L$7),F673,#N/A)</f>
        <v>#N/A</v>
      </c>
      <c r="AB673">
        <f t="shared" si="11"/>
        <v>2</v>
      </c>
      <c r="AC673" t="e">
        <f t="array" ref="AC673">IF(OR(G673&lt;M$3,G673&gt;M$7),G673,#N/A)</f>
        <v>#N/A</v>
      </c>
      <c r="AD673">
        <f t="shared" si="11"/>
        <v>3</v>
      </c>
      <c r="AE673" t="e">
        <f t="array" ref="AE673">IF(OR(H673&lt;N$3,H673&gt;N$7),H673,#N/A)</f>
        <v>#N/A</v>
      </c>
      <c r="AF673">
        <f t="shared" si="11"/>
        <v>4</v>
      </c>
      <c r="AG673" t="e">
        <f t="array" ref="AG673">IF(OR(I673&lt;O$3,I673&gt;O$7),I673,#N/A)</f>
        <v>#N/A</v>
      </c>
    </row>
    <row r="674" spans="5:33" x14ac:dyDescent="0.25">
      <c r="E674">
        <v>671</v>
      </c>
      <c r="F674">
        <v>13.181818181818182</v>
      </c>
      <c r="G674">
        <v>12.75</v>
      </c>
      <c r="H674">
        <v>12.8</v>
      </c>
      <c r="I674">
        <v>13.16</v>
      </c>
      <c r="Z674">
        <v>1</v>
      </c>
      <c r="AA674" t="e">
        <f t="array" ref="AA674">IF(OR(F674&lt;L$3,F674&gt;L$7),F674,#N/A)</f>
        <v>#N/A</v>
      </c>
      <c r="AB674">
        <f t="shared" si="11"/>
        <v>2</v>
      </c>
      <c r="AC674" t="e">
        <f t="array" ref="AC674">IF(OR(G674&lt;M$3,G674&gt;M$7),G674,#N/A)</f>
        <v>#N/A</v>
      </c>
      <c r="AD674">
        <f t="shared" si="11"/>
        <v>3</v>
      </c>
      <c r="AE674" t="e">
        <f t="array" ref="AE674">IF(OR(H674&lt;N$3,H674&gt;N$7),H674,#N/A)</f>
        <v>#N/A</v>
      </c>
      <c r="AF674">
        <f t="shared" si="11"/>
        <v>4</v>
      </c>
      <c r="AG674" t="e">
        <f t="array" ref="AG674">IF(OR(I674&lt;O$3,I674&gt;O$7),I674,#N/A)</f>
        <v>#N/A</v>
      </c>
    </row>
    <row r="675" spans="5:33" x14ac:dyDescent="0.25">
      <c r="E675">
        <v>672</v>
      </c>
      <c r="F675">
        <v>16.727272727272727</v>
      </c>
      <c r="G675">
        <v>20.5</v>
      </c>
      <c r="H675">
        <v>17.52</v>
      </c>
      <c r="I675">
        <v>15.1</v>
      </c>
      <c r="Z675">
        <v>1</v>
      </c>
      <c r="AA675" t="e">
        <f t="array" ref="AA675">IF(OR(F675&lt;L$3,F675&gt;L$7),F675,#N/A)</f>
        <v>#N/A</v>
      </c>
      <c r="AB675">
        <f t="shared" si="11"/>
        <v>2</v>
      </c>
      <c r="AC675">
        <f t="array" ref="AC675">IF(OR(G675&lt;M$3,G675&gt;M$7),G675,#N/A)</f>
        <v>20.5</v>
      </c>
      <c r="AD675">
        <f t="shared" si="11"/>
        <v>3</v>
      </c>
      <c r="AE675">
        <f t="array" ref="AE675">IF(OR(H675&lt;N$3,H675&gt;N$7),H675,#N/A)</f>
        <v>17.52</v>
      </c>
      <c r="AF675">
        <f t="shared" si="11"/>
        <v>4</v>
      </c>
      <c r="AG675" t="e">
        <f t="array" ref="AG675">IF(OR(I675&lt;O$3,I675&gt;O$7),I675,#N/A)</f>
        <v>#N/A</v>
      </c>
    </row>
    <row r="676" spans="5:33" x14ac:dyDescent="0.25">
      <c r="E676">
        <v>673</v>
      </c>
      <c r="F676">
        <v>10.818181818181818</v>
      </c>
      <c r="G676">
        <v>11.55</v>
      </c>
      <c r="H676">
        <v>13.24</v>
      </c>
      <c r="I676">
        <v>14.03</v>
      </c>
      <c r="Z676">
        <v>1</v>
      </c>
      <c r="AA676" t="e">
        <f t="array" ref="AA676">IF(OR(F676&lt;L$3,F676&gt;L$7),F676,#N/A)</f>
        <v>#N/A</v>
      </c>
      <c r="AB676">
        <f t="shared" si="11"/>
        <v>2</v>
      </c>
      <c r="AC676" t="e">
        <f t="array" ref="AC676">IF(OR(G676&lt;M$3,G676&gt;M$7),G676,#N/A)</f>
        <v>#N/A</v>
      </c>
      <c r="AD676">
        <f t="shared" si="11"/>
        <v>3</v>
      </c>
      <c r="AE676" t="e">
        <f t="array" ref="AE676">IF(OR(H676&lt;N$3,H676&gt;N$7),H676,#N/A)</f>
        <v>#N/A</v>
      </c>
      <c r="AF676">
        <f t="shared" si="11"/>
        <v>4</v>
      </c>
      <c r="AG676" t="e">
        <f t="array" ref="AG676">IF(OR(I676&lt;O$3,I676&gt;O$7),I676,#N/A)</f>
        <v>#N/A</v>
      </c>
    </row>
    <row r="677" spans="5:33" x14ac:dyDescent="0.25">
      <c r="E677">
        <v>674</v>
      </c>
      <c r="F677">
        <v>12</v>
      </c>
      <c r="G677">
        <v>15.4</v>
      </c>
      <c r="H677">
        <v>13.6</v>
      </c>
      <c r="I677">
        <v>13.72</v>
      </c>
      <c r="Z677">
        <v>1</v>
      </c>
      <c r="AA677" t="e">
        <f t="array" ref="AA677">IF(OR(F677&lt;L$3,F677&gt;L$7),F677,#N/A)</f>
        <v>#N/A</v>
      </c>
      <c r="AB677">
        <f t="shared" si="11"/>
        <v>2</v>
      </c>
      <c r="AC677" t="e">
        <f t="array" ref="AC677">IF(OR(G677&lt;M$3,G677&gt;M$7),G677,#N/A)</f>
        <v>#N/A</v>
      </c>
      <c r="AD677">
        <f t="shared" si="11"/>
        <v>3</v>
      </c>
      <c r="AE677" t="e">
        <f t="array" ref="AE677">IF(OR(H677&lt;N$3,H677&gt;N$7),H677,#N/A)</f>
        <v>#N/A</v>
      </c>
      <c r="AF677">
        <f t="shared" si="11"/>
        <v>4</v>
      </c>
      <c r="AG677" t="e">
        <f t="array" ref="AG677">IF(OR(I677&lt;O$3,I677&gt;O$7),I677,#N/A)</f>
        <v>#N/A</v>
      </c>
    </row>
    <row r="678" spans="5:33" x14ac:dyDescent="0.25">
      <c r="E678">
        <v>675</v>
      </c>
      <c r="F678">
        <v>11.454545454545455</v>
      </c>
      <c r="G678">
        <v>12.5</v>
      </c>
      <c r="H678">
        <v>14.18</v>
      </c>
      <c r="I678">
        <v>13.8</v>
      </c>
      <c r="Z678">
        <v>1</v>
      </c>
      <c r="AA678" t="e">
        <f t="array" ref="AA678">IF(OR(F678&lt;L$3,F678&gt;L$7),F678,#N/A)</f>
        <v>#N/A</v>
      </c>
      <c r="AB678">
        <f t="shared" si="11"/>
        <v>2</v>
      </c>
      <c r="AC678" t="e">
        <f t="array" ref="AC678">IF(OR(G678&lt;M$3,G678&gt;M$7),G678,#N/A)</f>
        <v>#N/A</v>
      </c>
      <c r="AD678">
        <f t="shared" si="11"/>
        <v>3</v>
      </c>
      <c r="AE678" t="e">
        <f t="array" ref="AE678">IF(OR(H678&lt;N$3,H678&gt;N$7),H678,#N/A)</f>
        <v>#N/A</v>
      </c>
      <c r="AF678">
        <f t="shared" si="11"/>
        <v>4</v>
      </c>
      <c r="AG678" t="e">
        <f t="array" ref="AG678">IF(OR(I678&lt;O$3,I678&gt;O$7),I678,#N/A)</f>
        <v>#N/A</v>
      </c>
    </row>
    <row r="679" spans="5:33" x14ac:dyDescent="0.25">
      <c r="E679">
        <v>676</v>
      </c>
      <c r="F679">
        <v>9.2727272727272734</v>
      </c>
      <c r="G679">
        <v>12.55</v>
      </c>
      <c r="H679">
        <v>14.1</v>
      </c>
      <c r="I679">
        <v>14.71</v>
      </c>
      <c r="Z679">
        <v>1</v>
      </c>
      <c r="AA679" t="e">
        <f t="array" ref="AA679">IF(OR(F679&lt;L$3,F679&gt;L$7),F679,#N/A)</f>
        <v>#N/A</v>
      </c>
      <c r="AB679">
        <f t="shared" si="11"/>
        <v>2</v>
      </c>
      <c r="AC679" t="e">
        <f t="array" ref="AC679">IF(OR(G679&lt;M$3,G679&gt;M$7),G679,#N/A)</f>
        <v>#N/A</v>
      </c>
      <c r="AD679">
        <f t="shared" si="11"/>
        <v>3</v>
      </c>
      <c r="AE679" t="e">
        <f t="array" ref="AE679">IF(OR(H679&lt;N$3,H679&gt;N$7),H679,#N/A)</f>
        <v>#N/A</v>
      </c>
      <c r="AF679">
        <f t="shared" si="11"/>
        <v>4</v>
      </c>
      <c r="AG679" t="e">
        <f t="array" ref="AG679">IF(OR(I679&lt;O$3,I679&gt;O$7),I679,#N/A)</f>
        <v>#N/A</v>
      </c>
    </row>
    <row r="680" spans="5:33" x14ac:dyDescent="0.25">
      <c r="E680">
        <v>677</v>
      </c>
      <c r="F680">
        <v>15.363636363636363</v>
      </c>
      <c r="G680">
        <v>14.25</v>
      </c>
      <c r="H680">
        <v>13.36</v>
      </c>
      <c r="I680">
        <v>14.27</v>
      </c>
      <c r="Z680">
        <v>1</v>
      </c>
      <c r="AA680" t="e">
        <f t="array" ref="AA680">IF(OR(F680&lt;L$3,F680&gt;L$7),F680,#N/A)</f>
        <v>#N/A</v>
      </c>
      <c r="AB680">
        <f t="shared" si="11"/>
        <v>2</v>
      </c>
      <c r="AC680" t="e">
        <f t="array" ref="AC680">IF(OR(G680&lt;M$3,G680&gt;M$7),G680,#N/A)</f>
        <v>#N/A</v>
      </c>
      <c r="AD680">
        <f t="shared" si="11"/>
        <v>3</v>
      </c>
      <c r="AE680" t="e">
        <f t="array" ref="AE680">IF(OR(H680&lt;N$3,H680&gt;N$7),H680,#N/A)</f>
        <v>#N/A</v>
      </c>
      <c r="AF680">
        <f t="shared" si="11"/>
        <v>4</v>
      </c>
      <c r="AG680" t="e">
        <f t="array" ref="AG680">IF(OR(I680&lt;O$3,I680&gt;O$7),I680,#N/A)</f>
        <v>#N/A</v>
      </c>
    </row>
    <row r="681" spans="5:33" x14ac:dyDescent="0.25">
      <c r="E681">
        <v>678</v>
      </c>
      <c r="F681">
        <v>11.090909090909092</v>
      </c>
      <c r="G681">
        <v>12.3</v>
      </c>
      <c r="H681">
        <v>13.1</v>
      </c>
      <c r="I681">
        <v>13.7</v>
      </c>
      <c r="Z681">
        <v>1</v>
      </c>
      <c r="AA681" t="e">
        <f t="array" ref="AA681">IF(OR(F681&lt;L$3,F681&gt;L$7),F681,#N/A)</f>
        <v>#N/A</v>
      </c>
      <c r="AB681">
        <f t="shared" si="11"/>
        <v>2</v>
      </c>
      <c r="AC681" t="e">
        <f t="array" ref="AC681">IF(OR(G681&lt;M$3,G681&gt;M$7),G681,#N/A)</f>
        <v>#N/A</v>
      </c>
      <c r="AD681">
        <f t="shared" si="11"/>
        <v>3</v>
      </c>
      <c r="AE681" t="e">
        <f t="array" ref="AE681">IF(OR(H681&lt;N$3,H681&gt;N$7),H681,#N/A)</f>
        <v>#N/A</v>
      </c>
      <c r="AF681">
        <f t="shared" si="11"/>
        <v>4</v>
      </c>
      <c r="AG681" t="e">
        <f t="array" ref="AG681">IF(OR(I681&lt;O$3,I681&gt;O$7),I681,#N/A)</f>
        <v>#N/A</v>
      </c>
    </row>
    <row r="682" spans="5:33" x14ac:dyDescent="0.25">
      <c r="E682">
        <v>679</v>
      </c>
      <c r="F682">
        <v>13.090909090909092</v>
      </c>
      <c r="G682">
        <v>12.35</v>
      </c>
      <c r="H682">
        <v>14</v>
      </c>
      <c r="I682">
        <v>14.8</v>
      </c>
      <c r="Z682">
        <v>1</v>
      </c>
      <c r="AA682" t="e">
        <f t="array" ref="AA682">IF(OR(F682&lt;L$3,F682&gt;L$7),F682,#N/A)</f>
        <v>#N/A</v>
      </c>
      <c r="AB682">
        <f t="shared" si="11"/>
        <v>2</v>
      </c>
      <c r="AC682" t="e">
        <f t="array" ref="AC682">IF(OR(G682&lt;M$3,G682&gt;M$7),G682,#N/A)</f>
        <v>#N/A</v>
      </c>
      <c r="AD682">
        <f t="shared" si="11"/>
        <v>3</v>
      </c>
      <c r="AE682" t="e">
        <f t="array" ref="AE682">IF(OR(H682&lt;N$3,H682&gt;N$7),H682,#N/A)</f>
        <v>#N/A</v>
      </c>
      <c r="AF682">
        <f t="shared" si="11"/>
        <v>4</v>
      </c>
      <c r="AG682" t="e">
        <f t="array" ref="AG682">IF(OR(I682&lt;O$3,I682&gt;O$7),I682,#N/A)</f>
        <v>#N/A</v>
      </c>
    </row>
    <row r="683" spans="5:33" x14ac:dyDescent="0.25">
      <c r="E683">
        <v>680</v>
      </c>
      <c r="F683">
        <v>13.636363636363637</v>
      </c>
      <c r="G683">
        <v>15.7</v>
      </c>
      <c r="H683">
        <v>14.7</v>
      </c>
      <c r="I683">
        <v>14.32</v>
      </c>
      <c r="Z683">
        <v>1</v>
      </c>
      <c r="AA683" t="e">
        <f t="array" ref="AA683">IF(OR(F683&lt;L$3,F683&gt;L$7),F683,#N/A)</f>
        <v>#N/A</v>
      </c>
      <c r="AB683">
        <f t="shared" si="11"/>
        <v>2</v>
      </c>
      <c r="AC683" t="e">
        <f t="array" ref="AC683">IF(OR(G683&lt;M$3,G683&gt;M$7),G683,#N/A)</f>
        <v>#N/A</v>
      </c>
      <c r="AD683">
        <f t="shared" si="11"/>
        <v>3</v>
      </c>
      <c r="AE683" t="e">
        <f t="array" ref="AE683">IF(OR(H683&lt;N$3,H683&gt;N$7),H683,#N/A)</f>
        <v>#N/A</v>
      </c>
      <c r="AF683">
        <f t="shared" si="11"/>
        <v>4</v>
      </c>
      <c r="AG683" t="e">
        <f t="array" ref="AG683">IF(OR(I683&lt;O$3,I683&gt;O$7),I683,#N/A)</f>
        <v>#N/A</v>
      </c>
    </row>
    <row r="684" spans="5:33" x14ac:dyDescent="0.25">
      <c r="E684">
        <v>681</v>
      </c>
      <c r="F684">
        <v>12.545454545454545</v>
      </c>
      <c r="G684">
        <v>12.75</v>
      </c>
      <c r="H684">
        <v>12.9</v>
      </c>
      <c r="I684">
        <v>14.16</v>
      </c>
      <c r="Z684">
        <v>1</v>
      </c>
      <c r="AA684" t="e">
        <f t="array" ref="AA684">IF(OR(F684&lt;L$3,F684&gt;L$7),F684,#N/A)</f>
        <v>#N/A</v>
      </c>
      <c r="AB684">
        <f t="shared" si="11"/>
        <v>2</v>
      </c>
      <c r="AC684" t="e">
        <f t="array" ref="AC684">IF(OR(G684&lt;M$3,G684&gt;M$7),G684,#N/A)</f>
        <v>#N/A</v>
      </c>
      <c r="AD684">
        <f t="shared" si="11"/>
        <v>3</v>
      </c>
      <c r="AE684" t="e">
        <f t="array" ref="AE684">IF(OR(H684&lt;N$3,H684&gt;N$7),H684,#N/A)</f>
        <v>#N/A</v>
      </c>
      <c r="AF684">
        <f t="shared" si="11"/>
        <v>4</v>
      </c>
      <c r="AG684" t="e">
        <f t="array" ref="AG684">IF(OR(I684&lt;O$3,I684&gt;O$7),I684,#N/A)</f>
        <v>#N/A</v>
      </c>
    </row>
    <row r="685" spans="5:33" x14ac:dyDescent="0.25">
      <c r="E685">
        <v>682</v>
      </c>
      <c r="F685">
        <v>11.454545454545455</v>
      </c>
      <c r="G685">
        <v>12.75</v>
      </c>
      <c r="H685">
        <v>13.36</v>
      </c>
      <c r="I685">
        <v>13.47</v>
      </c>
      <c r="Z685">
        <v>1</v>
      </c>
      <c r="AA685" t="e">
        <f t="array" ref="AA685">IF(OR(F685&lt;L$3,F685&gt;L$7),F685,#N/A)</f>
        <v>#N/A</v>
      </c>
      <c r="AB685">
        <f t="shared" si="11"/>
        <v>2</v>
      </c>
      <c r="AC685" t="e">
        <f t="array" ref="AC685">IF(OR(G685&lt;M$3,G685&gt;M$7),G685,#N/A)</f>
        <v>#N/A</v>
      </c>
      <c r="AD685">
        <f t="shared" si="11"/>
        <v>3</v>
      </c>
      <c r="AE685" t="e">
        <f t="array" ref="AE685">IF(OR(H685&lt;N$3,H685&gt;N$7),H685,#N/A)</f>
        <v>#N/A</v>
      </c>
      <c r="AF685">
        <f t="shared" si="11"/>
        <v>4</v>
      </c>
      <c r="AG685" t="e">
        <f t="array" ref="AG685">IF(OR(I685&lt;O$3,I685&gt;O$7),I685,#N/A)</f>
        <v>#N/A</v>
      </c>
    </row>
    <row r="686" spans="5:33" x14ac:dyDescent="0.25">
      <c r="E686">
        <v>683</v>
      </c>
      <c r="F686">
        <v>11.363636363636363</v>
      </c>
      <c r="G686">
        <v>14.45</v>
      </c>
      <c r="H686">
        <v>13.58</v>
      </c>
      <c r="I686">
        <v>14.06</v>
      </c>
      <c r="Z686">
        <v>1</v>
      </c>
      <c r="AA686" t="e">
        <f t="array" ref="AA686">IF(OR(F686&lt;L$3,F686&gt;L$7),F686,#N/A)</f>
        <v>#N/A</v>
      </c>
      <c r="AB686">
        <f t="shared" si="11"/>
        <v>2</v>
      </c>
      <c r="AC686" t="e">
        <f t="array" ref="AC686">IF(OR(G686&lt;M$3,G686&gt;M$7),G686,#N/A)</f>
        <v>#N/A</v>
      </c>
      <c r="AD686">
        <f t="shared" si="11"/>
        <v>3</v>
      </c>
      <c r="AE686" t="e">
        <f t="array" ref="AE686">IF(OR(H686&lt;N$3,H686&gt;N$7),H686,#N/A)</f>
        <v>#N/A</v>
      </c>
      <c r="AF686">
        <f t="shared" si="11"/>
        <v>4</v>
      </c>
      <c r="AG686" t="e">
        <f t="array" ref="AG686">IF(OR(I686&lt;O$3,I686&gt;O$7),I686,#N/A)</f>
        <v>#N/A</v>
      </c>
    </row>
    <row r="687" spans="5:33" x14ac:dyDescent="0.25">
      <c r="E687">
        <v>684</v>
      </c>
      <c r="F687">
        <v>10.636363636363637</v>
      </c>
      <c r="G687">
        <v>11.6</v>
      </c>
      <c r="H687">
        <v>12.58</v>
      </c>
      <c r="I687">
        <v>13.64</v>
      </c>
      <c r="Z687">
        <v>1</v>
      </c>
      <c r="AA687" t="e">
        <f t="array" ref="AA687">IF(OR(F687&lt;L$3,F687&gt;L$7),F687,#N/A)</f>
        <v>#N/A</v>
      </c>
      <c r="AB687">
        <f t="shared" si="11"/>
        <v>2</v>
      </c>
      <c r="AC687" t="e">
        <f t="array" ref="AC687">IF(OR(G687&lt;M$3,G687&gt;M$7),G687,#N/A)</f>
        <v>#N/A</v>
      </c>
      <c r="AD687">
        <f t="shared" si="11"/>
        <v>3</v>
      </c>
      <c r="AE687" t="e">
        <f t="array" ref="AE687">IF(OR(H687&lt;N$3,H687&gt;N$7),H687,#N/A)</f>
        <v>#N/A</v>
      </c>
      <c r="AF687">
        <f t="shared" si="11"/>
        <v>4</v>
      </c>
      <c r="AG687" t="e">
        <f t="array" ref="AG687">IF(OR(I687&lt;O$3,I687&gt;O$7),I687,#N/A)</f>
        <v>#N/A</v>
      </c>
    </row>
    <row r="688" spans="5:33" x14ac:dyDescent="0.25">
      <c r="E688">
        <v>685</v>
      </c>
      <c r="F688">
        <v>13.545454545454545</v>
      </c>
      <c r="G688">
        <v>12.2</v>
      </c>
      <c r="H688">
        <v>12.62</v>
      </c>
      <c r="I688">
        <v>13.68</v>
      </c>
      <c r="Z688">
        <v>1</v>
      </c>
      <c r="AA688" t="e">
        <f t="array" ref="AA688">IF(OR(F688&lt;L$3,F688&gt;L$7),F688,#N/A)</f>
        <v>#N/A</v>
      </c>
      <c r="AB688">
        <f t="shared" si="11"/>
        <v>2</v>
      </c>
      <c r="AC688" t="e">
        <f t="array" ref="AC688">IF(OR(G688&lt;M$3,G688&gt;M$7),G688,#N/A)</f>
        <v>#N/A</v>
      </c>
      <c r="AD688">
        <f t="shared" si="11"/>
        <v>3</v>
      </c>
      <c r="AE688" t="e">
        <f t="array" ref="AE688">IF(OR(H688&lt;N$3,H688&gt;N$7),H688,#N/A)</f>
        <v>#N/A</v>
      </c>
      <c r="AF688">
        <f t="shared" si="11"/>
        <v>4</v>
      </c>
      <c r="AG688" t="e">
        <f t="array" ref="AG688">IF(OR(I688&lt;O$3,I688&gt;O$7),I688,#N/A)</f>
        <v>#N/A</v>
      </c>
    </row>
    <row r="689" spans="5:33" x14ac:dyDescent="0.25">
      <c r="E689">
        <v>686</v>
      </c>
      <c r="F689">
        <v>13.909090909090908</v>
      </c>
      <c r="G689">
        <v>15.15</v>
      </c>
      <c r="H689">
        <v>14.7</v>
      </c>
      <c r="I689">
        <v>13.99</v>
      </c>
      <c r="Z689">
        <v>1</v>
      </c>
      <c r="AA689" t="e">
        <f t="array" ref="AA689">IF(OR(F689&lt;L$3,F689&gt;L$7),F689,#N/A)</f>
        <v>#N/A</v>
      </c>
      <c r="AB689">
        <f t="shared" si="11"/>
        <v>2</v>
      </c>
      <c r="AC689" t="e">
        <f t="array" ref="AC689">IF(OR(G689&lt;M$3,G689&gt;M$7),G689,#N/A)</f>
        <v>#N/A</v>
      </c>
      <c r="AD689">
        <f t="shared" si="11"/>
        <v>3</v>
      </c>
      <c r="AE689" t="e">
        <f t="array" ref="AE689">IF(OR(H689&lt;N$3,H689&gt;N$7),H689,#N/A)</f>
        <v>#N/A</v>
      </c>
      <c r="AF689">
        <f t="shared" si="11"/>
        <v>4</v>
      </c>
      <c r="AG689" t="e">
        <f t="array" ref="AG689">IF(OR(I689&lt;O$3,I689&gt;O$7),I689,#N/A)</f>
        <v>#N/A</v>
      </c>
    </row>
    <row r="690" spans="5:33" x14ac:dyDescent="0.25">
      <c r="E690">
        <v>687</v>
      </c>
      <c r="F690">
        <v>11.181818181818182</v>
      </c>
      <c r="G690">
        <v>13.45</v>
      </c>
      <c r="H690">
        <v>14.88</v>
      </c>
      <c r="I690">
        <v>14.72</v>
      </c>
      <c r="Z690">
        <v>1</v>
      </c>
      <c r="AA690" t="e">
        <f t="array" ref="AA690">IF(OR(F690&lt;L$3,F690&gt;L$7),F690,#N/A)</f>
        <v>#N/A</v>
      </c>
      <c r="AB690">
        <f t="shared" si="11"/>
        <v>2</v>
      </c>
      <c r="AC690" t="e">
        <f t="array" ref="AC690">IF(OR(G690&lt;M$3,G690&gt;M$7),G690,#N/A)</f>
        <v>#N/A</v>
      </c>
      <c r="AD690">
        <f t="shared" si="11"/>
        <v>3</v>
      </c>
      <c r="AE690" t="e">
        <f t="array" ref="AE690">IF(OR(H690&lt;N$3,H690&gt;N$7),H690,#N/A)</f>
        <v>#N/A</v>
      </c>
      <c r="AF690">
        <f t="shared" si="11"/>
        <v>4</v>
      </c>
      <c r="AG690" t="e">
        <f t="array" ref="AG690">IF(OR(I690&lt;O$3,I690&gt;O$7),I690,#N/A)</f>
        <v>#N/A</v>
      </c>
    </row>
    <row r="691" spans="5:33" x14ac:dyDescent="0.25">
      <c r="E691">
        <v>688</v>
      </c>
      <c r="F691">
        <v>11.181818181818182</v>
      </c>
      <c r="G691">
        <v>14.2</v>
      </c>
      <c r="H691">
        <v>15.62</v>
      </c>
      <c r="I691">
        <v>15.63</v>
      </c>
      <c r="Z691">
        <v>1</v>
      </c>
      <c r="AA691" t="e">
        <f t="array" ref="AA691">IF(OR(F691&lt;L$3,F691&gt;L$7),F691,#N/A)</f>
        <v>#N/A</v>
      </c>
      <c r="AB691">
        <f t="shared" si="11"/>
        <v>2</v>
      </c>
      <c r="AC691" t="e">
        <f t="array" ref="AC691">IF(OR(G691&lt;M$3,G691&gt;M$7),G691,#N/A)</f>
        <v>#N/A</v>
      </c>
      <c r="AD691">
        <f t="shared" si="11"/>
        <v>3</v>
      </c>
      <c r="AE691" t="e">
        <f t="array" ref="AE691">IF(OR(H691&lt;N$3,H691&gt;N$7),H691,#N/A)</f>
        <v>#N/A</v>
      </c>
      <c r="AF691">
        <f t="shared" si="11"/>
        <v>4</v>
      </c>
      <c r="AG691" t="e">
        <f t="array" ref="AG691">IF(OR(I691&lt;O$3,I691&gt;O$7),I691,#N/A)</f>
        <v>#N/A</v>
      </c>
    </row>
    <row r="692" spans="5:33" x14ac:dyDescent="0.25">
      <c r="E692">
        <v>689</v>
      </c>
      <c r="F692">
        <v>20.09090909090909</v>
      </c>
      <c r="G692">
        <v>17.5</v>
      </c>
      <c r="H692">
        <v>15.3</v>
      </c>
      <c r="I692">
        <v>14.49</v>
      </c>
      <c r="Z692">
        <v>1</v>
      </c>
      <c r="AA692">
        <f t="array" ref="AA692">IF(OR(F692&lt;L$3,F692&gt;L$7),F692,#N/A)</f>
        <v>20.09090909090909</v>
      </c>
      <c r="AB692">
        <f t="shared" si="11"/>
        <v>2</v>
      </c>
      <c r="AC692" t="e">
        <f t="array" ref="AC692">IF(OR(G692&lt;M$3,G692&gt;M$7),G692,#N/A)</f>
        <v>#N/A</v>
      </c>
      <c r="AD692">
        <f t="shared" si="11"/>
        <v>3</v>
      </c>
      <c r="AE692" t="e">
        <f t="array" ref="AE692">IF(OR(H692&lt;N$3,H692&gt;N$7),H692,#N/A)</f>
        <v>#N/A</v>
      </c>
      <c r="AF692">
        <f t="shared" si="11"/>
        <v>4</v>
      </c>
      <c r="AG692" t="e">
        <f t="array" ref="AG692">IF(OR(I692&lt;O$3,I692&gt;O$7),I692,#N/A)</f>
        <v>#N/A</v>
      </c>
    </row>
    <row r="693" spans="5:33" x14ac:dyDescent="0.25">
      <c r="E693">
        <v>690</v>
      </c>
      <c r="F693">
        <v>14</v>
      </c>
      <c r="G693">
        <v>12.8</v>
      </c>
      <c r="H693">
        <v>14.34</v>
      </c>
      <c r="I693">
        <v>13.94</v>
      </c>
      <c r="Z693">
        <v>1</v>
      </c>
      <c r="AA693" t="e">
        <f t="array" ref="AA693">IF(OR(F693&lt;L$3,F693&gt;L$7),F693,#N/A)</f>
        <v>#N/A</v>
      </c>
      <c r="AB693">
        <f t="shared" si="11"/>
        <v>2</v>
      </c>
      <c r="AC693" t="e">
        <f t="array" ref="AC693">IF(OR(G693&lt;M$3,G693&gt;M$7),G693,#N/A)</f>
        <v>#N/A</v>
      </c>
      <c r="AD693">
        <f t="shared" si="11"/>
        <v>3</v>
      </c>
      <c r="AE693" t="e">
        <f t="array" ref="AE693">IF(OR(H693&lt;N$3,H693&gt;N$7),H693,#N/A)</f>
        <v>#N/A</v>
      </c>
      <c r="AF693">
        <f t="shared" si="11"/>
        <v>4</v>
      </c>
      <c r="AG693" t="e">
        <f t="array" ref="AG693">IF(OR(I693&lt;O$3,I693&gt;O$7),I693,#N/A)</f>
        <v>#N/A</v>
      </c>
    </row>
    <row r="694" spans="5:33" x14ac:dyDescent="0.25">
      <c r="E694">
        <v>691</v>
      </c>
      <c r="F694">
        <v>10.818181818181818</v>
      </c>
      <c r="G694">
        <v>10.85</v>
      </c>
      <c r="H694">
        <v>12.08</v>
      </c>
      <c r="I694">
        <v>12.74</v>
      </c>
      <c r="Z694">
        <v>1</v>
      </c>
      <c r="AA694" t="e">
        <f t="array" ref="AA694">IF(OR(F694&lt;L$3,F694&gt;L$7),F694,#N/A)</f>
        <v>#N/A</v>
      </c>
      <c r="AB694">
        <f t="shared" si="11"/>
        <v>2</v>
      </c>
      <c r="AC694" t="e">
        <f t="array" ref="AC694">IF(OR(G694&lt;M$3,G694&gt;M$7),G694,#N/A)</f>
        <v>#N/A</v>
      </c>
      <c r="AD694">
        <f t="shared" si="11"/>
        <v>3</v>
      </c>
      <c r="AE694" t="e">
        <f t="array" ref="AE694">IF(OR(H694&lt;N$3,H694&gt;N$7),H694,#N/A)</f>
        <v>#N/A</v>
      </c>
      <c r="AF694">
        <f t="shared" si="11"/>
        <v>4</v>
      </c>
      <c r="AG694" t="e">
        <f t="array" ref="AG694">IF(OR(I694&lt;O$3,I694&gt;O$7),I694,#N/A)</f>
        <v>#N/A</v>
      </c>
    </row>
    <row r="695" spans="5:33" x14ac:dyDescent="0.25">
      <c r="E695">
        <v>692</v>
      </c>
      <c r="F695">
        <v>18</v>
      </c>
      <c r="G695">
        <v>19.7</v>
      </c>
      <c r="H695">
        <v>17.579999999999998</v>
      </c>
      <c r="I695">
        <v>14.99</v>
      </c>
      <c r="Z695">
        <v>1</v>
      </c>
      <c r="AA695" t="e">
        <f t="array" ref="AA695">IF(OR(F695&lt;L$3,F695&gt;L$7),F695,#N/A)</f>
        <v>#N/A</v>
      </c>
      <c r="AB695">
        <f t="shared" si="11"/>
        <v>2</v>
      </c>
      <c r="AC695">
        <f t="array" ref="AC695">IF(OR(G695&lt;M$3,G695&gt;M$7),G695,#N/A)</f>
        <v>19.7</v>
      </c>
      <c r="AD695">
        <f t="shared" si="11"/>
        <v>3</v>
      </c>
      <c r="AE695">
        <f t="array" ref="AE695">IF(OR(H695&lt;N$3,H695&gt;N$7),H695,#N/A)</f>
        <v>17.579999999999998</v>
      </c>
      <c r="AF695">
        <f t="shared" si="11"/>
        <v>4</v>
      </c>
      <c r="AG695" t="e">
        <f t="array" ref="AG695">IF(OR(I695&lt;O$3,I695&gt;O$7),I695,#N/A)</f>
        <v>#N/A</v>
      </c>
    </row>
    <row r="696" spans="5:33" x14ac:dyDescent="0.25">
      <c r="E696">
        <v>693</v>
      </c>
      <c r="F696">
        <v>15.272727272727273</v>
      </c>
      <c r="G696">
        <v>12.95</v>
      </c>
      <c r="H696">
        <v>12.96</v>
      </c>
      <c r="I696">
        <v>13.61</v>
      </c>
      <c r="Z696">
        <v>1</v>
      </c>
      <c r="AA696" t="e">
        <f t="array" ref="AA696">IF(OR(F696&lt;L$3,F696&gt;L$7),F696,#N/A)</f>
        <v>#N/A</v>
      </c>
      <c r="AB696">
        <f t="shared" si="11"/>
        <v>2</v>
      </c>
      <c r="AC696" t="e">
        <f t="array" ref="AC696">IF(OR(G696&lt;M$3,G696&gt;M$7),G696,#N/A)</f>
        <v>#N/A</v>
      </c>
      <c r="AD696">
        <f t="shared" si="11"/>
        <v>3</v>
      </c>
      <c r="AE696" t="e">
        <f t="array" ref="AE696">IF(OR(H696&lt;N$3,H696&gt;N$7),H696,#N/A)</f>
        <v>#N/A</v>
      </c>
      <c r="AF696">
        <f t="shared" si="11"/>
        <v>4</v>
      </c>
      <c r="AG696" t="e">
        <f t="array" ref="AG696">IF(OR(I696&lt;O$3,I696&gt;O$7),I696,#N/A)</f>
        <v>#N/A</v>
      </c>
    </row>
    <row r="697" spans="5:33" x14ac:dyDescent="0.25">
      <c r="E697">
        <v>694</v>
      </c>
      <c r="F697">
        <v>16.09090909090909</v>
      </c>
      <c r="G697">
        <v>14.15</v>
      </c>
      <c r="H697">
        <v>16.02</v>
      </c>
      <c r="I697">
        <v>14.76</v>
      </c>
      <c r="Z697">
        <v>1</v>
      </c>
      <c r="AA697" t="e">
        <f t="array" ref="AA697">IF(OR(F697&lt;L$3,F697&gt;L$7),F697,#N/A)</f>
        <v>#N/A</v>
      </c>
      <c r="AB697">
        <f t="shared" si="11"/>
        <v>2</v>
      </c>
      <c r="AC697" t="e">
        <f t="array" ref="AC697">IF(OR(G697&lt;M$3,G697&gt;M$7),G697,#N/A)</f>
        <v>#N/A</v>
      </c>
      <c r="AD697">
        <f t="shared" si="11"/>
        <v>3</v>
      </c>
      <c r="AE697" t="e">
        <f t="array" ref="AE697">IF(OR(H697&lt;N$3,H697&gt;N$7),H697,#N/A)</f>
        <v>#N/A</v>
      </c>
      <c r="AF697">
        <f t="shared" si="11"/>
        <v>4</v>
      </c>
      <c r="AG697" t="e">
        <f t="array" ref="AG697">IF(OR(I697&lt;O$3,I697&gt;O$7),I697,#N/A)</f>
        <v>#N/A</v>
      </c>
    </row>
    <row r="698" spans="5:33" x14ac:dyDescent="0.25">
      <c r="E698">
        <v>695</v>
      </c>
      <c r="F698">
        <v>13.636363636363637</v>
      </c>
      <c r="G698">
        <v>12.45</v>
      </c>
      <c r="H698">
        <v>14.9</v>
      </c>
      <c r="I698">
        <v>14.08</v>
      </c>
      <c r="Z698">
        <v>1</v>
      </c>
      <c r="AA698" t="e">
        <f t="array" ref="AA698">IF(OR(F698&lt;L$3,F698&gt;L$7),F698,#N/A)</f>
        <v>#N/A</v>
      </c>
      <c r="AB698">
        <f t="shared" si="11"/>
        <v>2</v>
      </c>
      <c r="AC698" t="e">
        <f t="array" ref="AC698">IF(OR(G698&lt;M$3,G698&gt;M$7),G698,#N/A)</f>
        <v>#N/A</v>
      </c>
      <c r="AD698">
        <f t="shared" si="11"/>
        <v>3</v>
      </c>
      <c r="AE698" t="e">
        <f t="array" ref="AE698">IF(OR(H698&lt;N$3,H698&gt;N$7),H698,#N/A)</f>
        <v>#N/A</v>
      </c>
      <c r="AF698">
        <f t="shared" si="11"/>
        <v>4</v>
      </c>
      <c r="AG698" t="e">
        <f t="array" ref="AG698">IF(OR(I698&lt;O$3,I698&gt;O$7),I698,#N/A)</f>
        <v>#N/A</v>
      </c>
    </row>
    <row r="699" spans="5:33" x14ac:dyDescent="0.25">
      <c r="E699">
        <v>696</v>
      </c>
      <c r="F699">
        <v>13.545454545454545</v>
      </c>
      <c r="G699">
        <v>15.3</v>
      </c>
      <c r="H699">
        <v>15.24</v>
      </c>
      <c r="I699">
        <v>16.34</v>
      </c>
      <c r="Z699">
        <v>1</v>
      </c>
      <c r="AA699" t="e">
        <f t="array" ref="AA699">IF(OR(F699&lt;L$3,F699&gt;L$7),F699,#N/A)</f>
        <v>#N/A</v>
      </c>
      <c r="AB699">
        <f t="shared" si="11"/>
        <v>2</v>
      </c>
      <c r="AC699" t="e">
        <f t="array" ref="AC699">IF(OR(G699&lt;M$3,G699&gt;M$7),G699,#N/A)</f>
        <v>#N/A</v>
      </c>
      <c r="AD699">
        <f t="shared" si="11"/>
        <v>3</v>
      </c>
      <c r="AE699" t="e">
        <f t="array" ref="AE699">IF(OR(H699&lt;N$3,H699&gt;N$7),H699,#N/A)</f>
        <v>#N/A</v>
      </c>
      <c r="AF699">
        <f t="shared" si="11"/>
        <v>4</v>
      </c>
      <c r="AG699">
        <f t="array" ref="AG699">IF(OR(I699&lt;O$3,I699&gt;O$7),I699,#N/A)</f>
        <v>16.34</v>
      </c>
    </row>
    <row r="700" spans="5:33" x14ac:dyDescent="0.25">
      <c r="E700">
        <v>697</v>
      </c>
      <c r="F700">
        <v>13.636363636363637</v>
      </c>
      <c r="G700">
        <v>13.9</v>
      </c>
      <c r="H700">
        <v>12.52</v>
      </c>
      <c r="I700">
        <v>13.1</v>
      </c>
      <c r="Z700">
        <v>1</v>
      </c>
      <c r="AA700" t="e">
        <f t="array" ref="AA700">IF(OR(F700&lt;L$3,F700&gt;L$7),F700,#N/A)</f>
        <v>#N/A</v>
      </c>
      <c r="AB700">
        <f t="shared" si="11"/>
        <v>2</v>
      </c>
      <c r="AC700" t="e">
        <f t="array" ref="AC700">IF(OR(G700&lt;M$3,G700&gt;M$7),G700,#N/A)</f>
        <v>#N/A</v>
      </c>
      <c r="AD700">
        <f t="shared" si="11"/>
        <v>3</v>
      </c>
      <c r="AE700" t="e">
        <f t="array" ref="AE700">IF(OR(H700&lt;N$3,H700&gt;N$7),H700,#N/A)</f>
        <v>#N/A</v>
      </c>
      <c r="AF700">
        <f t="shared" si="11"/>
        <v>4</v>
      </c>
      <c r="AG700" t="e">
        <f t="array" ref="AG700">IF(OR(I700&lt;O$3,I700&gt;O$7),I700,#N/A)</f>
        <v>#N/A</v>
      </c>
    </row>
    <row r="701" spans="5:33" x14ac:dyDescent="0.25">
      <c r="E701">
        <v>698</v>
      </c>
      <c r="F701">
        <v>11.454545454545455</v>
      </c>
      <c r="G701">
        <v>11.3</v>
      </c>
      <c r="H701">
        <v>12.1</v>
      </c>
      <c r="I701">
        <v>12.09</v>
      </c>
      <c r="Z701">
        <v>1</v>
      </c>
      <c r="AA701" t="e">
        <f t="array" ref="AA701">IF(OR(F701&lt;L$3,F701&gt;L$7),F701,#N/A)</f>
        <v>#N/A</v>
      </c>
      <c r="AB701">
        <f t="shared" si="11"/>
        <v>2</v>
      </c>
      <c r="AC701" t="e">
        <f t="array" ref="AC701">IF(OR(G701&lt;M$3,G701&gt;M$7),G701,#N/A)</f>
        <v>#N/A</v>
      </c>
      <c r="AD701">
        <f t="shared" si="11"/>
        <v>3</v>
      </c>
      <c r="AE701" t="e">
        <f t="array" ref="AE701">IF(OR(H701&lt;N$3,H701&gt;N$7),H701,#N/A)</f>
        <v>#N/A</v>
      </c>
      <c r="AF701">
        <f t="shared" si="11"/>
        <v>4</v>
      </c>
      <c r="AG701">
        <f t="array" ref="AG701">IF(OR(I701&lt;O$3,I701&gt;O$7),I701,#N/A)</f>
        <v>12.09</v>
      </c>
    </row>
    <row r="702" spans="5:33" x14ac:dyDescent="0.25">
      <c r="E702">
        <v>699</v>
      </c>
      <c r="F702">
        <v>12.727272727272727</v>
      </c>
      <c r="G702">
        <v>12.45</v>
      </c>
      <c r="H702">
        <v>15.48</v>
      </c>
      <c r="I702">
        <v>14.46</v>
      </c>
      <c r="Z702">
        <v>1</v>
      </c>
      <c r="AA702" t="e">
        <f t="array" ref="AA702">IF(OR(F702&lt;L$3,F702&gt;L$7),F702,#N/A)</f>
        <v>#N/A</v>
      </c>
      <c r="AB702">
        <f t="shared" si="11"/>
        <v>2</v>
      </c>
      <c r="AC702" t="e">
        <f t="array" ref="AC702">IF(OR(G702&lt;M$3,G702&gt;M$7),G702,#N/A)</f>
        <v>#N/A</v>
      </c>
      <c r="AD702">
        <f t="shared" si="11"/>
        <v>3</v>
      </c>
      <c r="AE702" t="e">
        <f t="array" ref="AE702">IF(OR(H702&lt;N$3,H702&gt;N$7),H702,#N/A)</f>
        <v>#N/A</v>
      </c>
      <c r="AF702">
        <f t="shared" si="11"/>
        <v>4</v>
      </c>
      <c r="AG702" t="e">
        <f t="array" ref="AG702">IF(OR(I702&lt;O$3,I702&gt;O$7),I702,#N/A)</f>
        <v>#N/A</v>
      </c>
    </row>
    <row r="703" spans="5:33" x14ac:dyDescent="0.25">
      <c r="E703">
        <v>700</v>
      </c>
      <c r="F703">
        <v>15.818181818181818</v>
      </c>
      <c r="G703">
        <v>16.3</v>
      </c>
      <c r="H703">
        <v>13.8</v>
      </c>
      <c r="I703">
        <v>14.22</v>
      </c>
      <c r="Z703">
        <v>1</v>
      </c>
      <c r="AA703" t="e">
        <f t="array" ref="AA703">IF(OR(F703&lt;L$3,F703&gt;L$7),F703,#N/A)</f>
        <v>#N/A</v>
      </c>
      <c r="AB703">
        <f t="shared" si="11"/>
        <v>2</v>
      </c>
      <c r="AC703" t="e">
        <f t="array" ref="AC703">IF(OR(G703&lt;M$3,G703&gt;M$7),G703,#N/A)</f>
        <v>#N/A</v>
      </c>
      <c r="AD703">
        <f t="shared" si="11"/>
        <v>3</v>
      </c>
      <c r="AE703" t="e">
        <f t="array" ref="AE703">IF(OR(H703&lt;N$3,H703&gt;N$7),H703,#N/A)</f>
        <v>#N/A</v>
      </c>
      <c r="AF703">
        <f t="shared" si="11"/>
        <v>4</v>
      </c>
      <c r="AG703" t="e">
        <f t="array" ref="AG703">IF(OR(I703&lt;O$3,I703&gt;O$7),I703,#N/A)</f>
        <v>#N/A</v>
      </c>
    </row>
    <row r="704" spans="5:33" x14ac:dyDescent="0.25">
      <c r="E704">
        <v>701</v>
      </c>
      <c r="F704">
        <v>11.727272727272727</v>
      </c>
      <c r="G704">
        <v>11.3</v>
      </c>
      <c r="H704">
        <v>13.8</v>
      </c>
      <c r="I704">
        <v>14.04</v>
      </c>
      <c r="Z704">
        <v>1</v>
      </c>
      <c r="AA704" t="e">
        <f t="array" ref="AA704">IF(OR(F704&lt;L$3,F704&gt;L$7),F704,#N/A)</f>
        <v>#N/A</v>
      </c>
      <c r="AB704">
        <f t="shared" si="11"/>
        <v>2</v>
      </c>
      <c r="AC704" t="e">
        <f t="array" ref="AC704">IF(OR(G704&lt;M$3,G704&gt;M$7),G704,#N/A)</f>
        <v>#N/A</v>
      </c>
      <c r="AD704">
        <f t="shared" si="11"/>
        <v>3</v>
      </c>
      <c r="AE704" t="e">
        <f t="array" ref="AE704">IF(OR(H704&lt;N$3,H704&gt;N$7),H704,#N/A)</f>
        <v>#N/A</v>
      </c>
      <c r="AF704">
        <f t="shared" si="11"/>
        <v>4</v>
      </c>
      <c r="AG704" t="e">
        <f t="array" ref="AG704">IF(OR(I704&lt;O$3,I704&gt;O$7),I704,#N/A)</f>
        <v>#N/A</v>
      </c>
    </row>
    <row r="705" spans="5:33" x14ac:dyDescent="0.25">
      <c r="E705">
        <v>702</v>
      </c>
      <c r="F705">
        <v>17.09090909090909</v>
      </c>
      <c r="G705">
        <v>16.25</v>
      </c>
      <c r="H705">
        <v>15.36</v>
      </c>
      <c r="I705">
        <v>13.21</v>
      </c>
      <c r="Z705">
        <v>1</v>
      </c>
      <c r="AA705" t="e">
        <f t="array" ref="AA705">IF(OR(F705&lt;L$3,F705&gt;L$7),F705,#N/A)</f>
        <v>#N/A</v>
      </c>
      <c r="AB705">
        <f t="shared" si="11"/>
        <v>2</v>
      </c>
      <c r="AC705" t="e">
        <f t="array" ref="AC705">IF(OR(G705&lt;M$3,G705&gt;M$7),G705,#N/A)</f>
        <v>#N/A</v>
      </c>
      <c r="AD705">
        <f t="shared" si="11"/>
        <v>3</v>
      </c>
      <c r="AE705" t="e">
        <f t="array" ref="AE705">IF(OR(H705&lt;N$3,H705&gt;N$7),H705,#N/A)</f>
        <v>#N/A</v>
      </c>
      <c r="AF705">
        <f t="shared" si="11"/>
        <v>4</v>
      </c>
      <c r="AG705" t="e">
        <f t="array" ref="AG705">IF(OR(I705&lt;O$3,I705&gt;O$7),I705,#N/A)</f>
        <v>#N/A</v>
      </c>
    </row>
    <row r="706" spans="5:33" x14ac:dyDescent="0.25">
      <c r="E706">
        <v>703</v>
      </c>
      <c r="F706">
        <v>16.727272727272727</v>
      </c>
      <c r="G706">
        <v>14.35</v>
      </c>
      <c r="H706">
        <v>13.44</v>
      </c>
      <c r="I706">
        <v>12.59</v>
      </c>
      <c r="Z706">
        <v>1</v>
      </c>
      <c r="AA706" t="e">
        <f t="array" ref="AA706">IF(OR(F706&lt;L$3,F706&gt;L$7),F706,#N/A)</f>
        <v>#N/A</v>
      </c>
      <c r="AB706">
        <f t="shared" si="11"/>
        <v>2</v>
      </c>
      <c r="AC706" t="e">
        <f t="array" ref="AC706">IF(OR(G706&lt;M$3,G706&gt;M$7),G706,#N/A)</f>
        <v>#N/A</v>
      </c>
      <c r="AD706">
        <f t="shared" si="11"/>
        <v>3</v>
      </c>
      <c r="AE706" t="e">
        <f t="array" ref="AE706">IF(OR(H706&lt;N$3,H706&gt;N$7),H706,#N/A)</f>
        <v>#N/A</v>
      </c>
      <c r="AF706">
        <f t="shared" si="11"/>
        <v>4</v>
      </c>
      <c r="AG706" t="e">
        <f t="array" ref="AG706">IF(OR(I706&lt;O$3,I706&gt;O$7),I706,#N/A)</f>
        <v>#N/A</v>
      </c>
    </row>
    <row r="707" spans="5:33" x14ac:dyDescent="0.25">
      <c r="E707">
        <v>704</v>
      </c>
      <c r="F707">
        <v>13.909090909090908</v>
      </c>
      <c r="G707">
        <v>13.4</v>
      </c>
      <c r="H707">
        <v>12.7</v>
      </c>
      <c r="I707">
        <v>13.49</v>
      </c>
      <c r="Z707">
        <v>1</v>
      </c>
      <c r="AA707" t="e">
        <f t="array" ref="AA707">IF(OR(F707&lt;L$3,F707&gt;L$7),F707,#N/A)</f>
        <v>#N/A</v>
      </c>
      <c r="AB707">
        <f t="shared" si="11"/>
        <v>2</v>
      </c>
      <c r="AC707" t="e">
        <f t="array" ref="AC707">IF(OR(G707&lt;M$3,G707&gt;M$7),G707,#N/A)</f>
        <v>#N/A</v>
      </c>
      <c r="AD707">
        <f t="shared" si="11"/>
        <v>3</v>
      </c>
      <c r="AE707" t="e">
        <f t="array" ref="AE707">IF(OR(H707&lt;N$3,H707&gt;N$7),H707,#N/A)</f>
        <v>#N/A</v>
      </c>
      <c r="AF707">
        <f t="shared" si="11"/>
        <v>4</v>
      </c>
      <c r="AG707" t="e">
        <f t="array" ref="AG707">IF(OR(I707&lt;O$3,I707&gt;O$7),I707,#N/A)</f>
        <v>#N/A</v>
      </c>
    </row>
    <row r="708" spans="5:33" x14ac:dyDescent="0.25">
      <c r="E708">
        <v>705</v>
      </c>
      <c r="F708">
        <v>15.454545454545455</v>
      </c>
      <c r="G708">
        <v>13.8</v>
      </c>
      <c r="H708">
        <v>14.94</v>
      </c>
      <c r="I708">
        <v>15.01</v>
      </c>
      <c r="Z708">
        <v>1</v>
      </c>
      <c r="AA708" t="e">
        <f t="array" ref="AA708">IF(OR(F708&lt;L$3,F708&gt;L$7),F708,#N/A)</f>
        <v>#N/A</v>
      </c>
      <c r="AB708">
        <f t="shared" si="11"/>
        <v>2</v>
      </c>
      <c r="AC708" t="e">
        <f t="array" ref="AC708">IF(OR(G708&lt;M$3,G708&gt;M$7),G708,#N/A)</f>
        <v>#N/A</v>
      </c>
      <c r="AD708">
        <f t="shared" si="11"/>
        <v>3</v>
      </c>
      <c r="AE708" t="e">
        <f t="array" ref="AE708">IF(OR(H708&lt;N$3,H708&gt;N$7),H708,#N/A)</f>
        <v>#N/A</v>
      </c>
      <c r="AF708">
        <f t="shared" si="11"/>
        <v>4</v>
      </c>
      <c r="AG708" t="e">
        <f t="array" ref="AG708">IF(OR(I708&lt;O$3,I708&gt;O$7),I708,#N/A)</f>
        <v>#N/A</v>
      </c>
    </row>
    <row r="709" spans="5:33" x14ac:dyDescent="0.25">
      <c r="E709">
        <v>706</v>
      </c>
      <c r="F709">
        <v>17.636363636363637</v>
      </c>
      <c r="G709">
        <v>17.05</v>
      </c>
      <c r="H709">
        <v>14.98</v>
      </c>
      <c r="I709">
        <v>14.61</v>
      </c>
      <c r="Z709">
        <v>1</v>
      </c>
      <c r="AA709" t="e">
        <f t="array" ref="AA709">IF(OR(F709&lt;L$3,F709&gt;L$7),F709,#N/A)</f>
        <v>#N/A</v>
      </c>
      <c r="AB709">
        <f t="shared" ref="AB709:AF772" si="12">Z709+1</f>
        <v>2</v>
      </c>
      <c r="AC709" t="e">
        <f t="array" ref="AC709">IF(OR(G709&lt;M$3,G709&gt;M$7),G709,#N/A)</f>
        <v>#N/A</v>
      </c>
      <c r="AD709">
        <f t="shared" si="12"/>
        <v>3</v>
      </c>
      <c r="AE709" t="e">
        <f t="array" ref="AE709">IF(OR(H709&lt;N$3,H709&gt;N$7),H709,#N/A)</f>
        <v>#N/A</v>
      </c>
      <c r="AF709">
        <f t="shared" si="12"/>
        <v>4</v>
      </c>
      <c r="AG709" t="e">
        <f t="array" ref="AG709">IF(OR(I709&lt;O$3,I709&gt;O$7),I709,#N/A)</f>
        <v>#N/A</v>
      </c>
    </row>
    <row r="710" spans="5:33" x14ac:dyDescent="0.25">
      <c r="E710">
        <v>707</v>
      </c>
      <c r="F710">
        <v>16.09090909090909</v>
      </c>
      <c r="G710">
        <v>16.2</v>
      </c>
      <c r="H710">
        <v>13.66</v>
      </c>
      <c r="I710">
        <v>13.81</v>
      </c>
      <c r="Z710">
        <v>1</v>
      </c>
      <c r="AA710" t="e">
        <f t="array" ref="AA710">IF(OR(F710&lt;L$3,F710&gt;L$7),F710,#N/A)</f>
        <v>#N/A</v>
      </c>
      <c r="AB710">
        <f t="shared" si="12"/>
        <v>2</v>
      </c>
      <c r="AC710" t="e">
        <f t="array" ref="AC710">IF(OR(G710&lt;M$3,G710&gt;M$7),G710,#N/A)</f>
        <v>#N/A</v>
      </c>
      <c r="AD710">
        <f t="shared" si="12"/>
        <v>3</v>
      </c>
      <c r="AE710" t="e">
        <f t="array" ref="AE710">IF(OR(H710&lt;N$3,H710&gt;N$7),H710,#N/A)</f>
        <v>#N/A</v>
      </c>
      <c r="AF710">
        <f t="shared" si="12"/>
        <v>4</v>
      </c>
      <c r="AG710" t="e">
        <f t="array" ref="AG710">IF(OR(I710&lt;O$3,I710&gt;O$7),I710,#N/A)</f>
        <v>#N/A</v>
      </c>
    </row>
    <row r="711" spans="5:33" x14ac:dyDescent="0.25">
      <c r="E711">
        <v>708</v>
      </c>
      <c r="F711">
        <v>14.636363636363637</v>
      </c>
      <c r="G711">
        <v>13.35</v>
      </c>
      <c r="H711">
        <v>13.76</v>
      </c>
      <c r="I711">
        <v>13.19</v>
      </c>
      <c r="Z711">
        <v>1</v>
      </c>
      <c r="AA711" t="e">
        <f t="array" ref="AA711">IF(OR(F711&lt;L$3,F711&gt;L$7),F711,#N/A)</f>
        <v>#N/A</v>
      </c>
      <c r="AB711">
        <f t="shared" si="12"/>
        <v>2</v>
      </c>
      <c r="AC711" t="e">
        <f t="array" ref="AC711">IF(OR(G711&lt;M$3,G711&gt;M$7),G711,#N/A)</f>
        <v>#N/A</v>
      </c>
      <c r="AD711">
        <f t="shared" si="12"/>
        <v>3</v>
      </c>
      <c r="AE711" t="e">
        <f t="array" ref="AE711">IF(OR(H711&lt;N$3,H711&gt;N$7),H711,#N/A)</f>
        <v>#N/A</v>
      </c>
      <c r="AF711">
        <f t="shared" si="12"/>
        <v>4</v>
      </c>
      <c r="AG711" t="e">
        <f t="array" ref="AG711">IF(OR(I711&lt;O$3,I711&gt;O$7),I711,#N/A)</f>
        <v>#N/A</v>
      </c>
    </row>
    <row r="712" spans="5:33" x14ac:dyDescent="0.25">
      <c r="E712">
        <v>709</v>
      </c>
      <c r="F712">
        <v>15</v>
      </c>
      <c r="G712">
        <v>14.75</v>
      </c>
      <c r="H712">
        <v>13.8</v>
      </c>
      <c r="I712">
        <v>12.8</v>
      </c>
      <c r="Z712">
        <v>1</v>
      </c>
      <c r="AA712" t="e">
        <f t="array" ref="AA712">IF(OR(F712&lt;L$3,F712&gt;L$7),F712,#N/A)</f>
        <v>#N/A</v>
      </c>
      <c r="AB712">
        <f t="shared" si="12"/>
        <v>2</v>
      </c>
      <c r="AC712" t="e">
        <f t="array" ref="AC712">IF(OR(G712&lt;M$3,G712&gt;M$7),G712,#N/A)</f>
        <v>#N/A</v>
      </c>
      <c r="AD712">
        <f t="shared" si="12"/>
        <v>3</v>
      </c>
      <c r="AE712" t="e">
        <f t="array" ref="AE712">IF(OR(H712&lt;N$3,H712&gt;N$7),H712,#N/A)</f>
        <v>#N/A</v>
      </c>
      <c r="AF712">
        <f t="shared" si="12"/>
        <v>4</v>
      </c>
      <c r="AG712" t="e">
        <f t="array" ref="AG712">IF(OR(I712&lt;O$3,I712&gt;O$7),I712,#N/A)</f>
        <v>#N/A</v>
      </c>
    </row>
    <row r="713" spans="5:33" x14ac:dyDescent="0.25">
      <c r="E713">
        <v>710</v>
      </c>
      <c r="F713">
        <v>13.636363636363637</v>
      </c>
      <c r="G713">
        <v>15.2</v>
      </c>
      <c r="H713">
        <v>15.24</v>
      </c>
      <c r="I713">
        <v>13.86</v>
      </c>
      <c r="Z713">
        <v>1</v>
      </c>
      <c r="AA713" t="e">
        <f t="array" ref="AA713">IF(OR(F713&lt;L$3,F713&gt;L$7),F713,#N/A)</f>
        <v>#N/A</v>
      </c>
      <c r="AB713">
        <f t="shared" si="12"/>
        <v>2</v>
      </c>
      <c r="AC713" t="e">
        <f t="array" ref="AC713">IF(OR(G713&lt;M$3,G713&gt;M$7),G713,#N/A)</f>
        <v>#N/A</v>
      </c>
      <c r="AD713">
        <f t="shared" si="12"/>
        <v>3</v>
      </c>
      <c r="AE713" t="e">
        <f t="array" ref="AE713">IF(OR(H713&lt;N$3,H713&gt;N$7),H713,#N/A)</f>
        <v>#N/A</v>
      </c>
      <c r="AF713">
        <f t="shared" si="12"/>
        <v>4</v>
      </c>
      <c r="AG713" t="e">
        <f t="array" ref="AG713">IF(OR(I713&lt;O$3,I713&gt;O$7),I713,#N/A)</f>
        <v>#N/A</v>
      </c>
    </row>
    <row r="714" spans="5:33" x14ac:dyDescent="0.25">
      <c r="E714">
        <v>711</v>
      </c>
      <c r="F714">
        <v>12</v>
      </c>
      <c r="G714">
        <v>13.15</v>
      </c>
      <c r="H714">
        <v>13.04</v>
      </c>
      <c r="I714">
        <v>14.1</v>
      </c>
      <c r="Z714">
        <v>1</v>
      </c>
      <c r="AA714" t="e">
        <f t="array" ref="AA714">IF(OR(F714&lt;L$3,F714&gt;L$7),F714,#N/A)</f>
        <v>#N/A</v>
      </c>
      <c r="AB714">
        <f t="shared" si="12"/>
        <v>2</v>
      </c>
      <c r="AC714" t="e">
        <f t="array" ref="AC714">IF(OR(G714&lt;M$3,G714&gt;M$7),G714,#N/A)</f>
        <v>#N/A</v>
      </c>
      <c r="AD714">
        <f t="shared" si="12"/>
        <v>3</v>
      </c>
      <c r="AE714" t="e">
        <f t="array" ref="AE714">IF(OR(H714&lt;N$3,H714&gt;N$7),H714,#N/A)</f>
        <v>#N/A</v>
      </c>
      <c r="AF714">
        <f t="shared" si="12"/>
        <v>4</v>
      </c>
      <c r="AG714" t="e">
        <f t="array" ref="AG714">IF(OR(I714&lt;O$3,I714&gt;O$7),I714,#N/A)</f>
        <v>#N/A</v>
      </c>
    </row>
    <row r="715" spans="5:33" x14ac:dyDescent="0.25">
      <c r="E715">
        <v>712</v>
      </c>
      <c r="F715">
        <v>15.363636363636363</v>
      </c>
      <c r="G715">
        <v>14.65</v>
      </c>
      <c r="H715">
        <v>13.58</v>
      </c>
      <c r="I715">
        <v>14.67</v>
      </c>
      <c r="Z715">
        <v>1</v>
      </c>
      <c r="AA715" t="e">
        <f t="array" ref="AA715">IF(OR(F715&lt;L$3,F715&gt;L$7),F715,#N/A)</f>
        <v>#N/A</v>
      </c>
      <c r="AB715">
        <f t="shared" si="12"/>
        <v>2</v>
      </c>
      <c r="AC715" t="e">
        <f t="array" ref="AC715">IF(OR(G715&lt;M$3,G715&gt;M$7),G715,#N/A)</f>
        <v>#N/A</v>
      </c>
      <c r="AD715">
        <f t="shared" si="12"/>
        <v>3</v>
      </c>
      <c r="AE715" t="e">
        <f t="array" ref="AE715">IF(OR(H715&lt;N$3,H715&gt;N$7),H715,#N/A)</f>
        <v>#N/A</v>
      </c>
      <c r="AF715">
        <f t="shared" si="12"/>
        <v>4</v>
      </c>
      <c r="AG715" t="e">
        <f t="array" ref="AG715">IF(OR(I715&lt;O$3,I715&gt;O$7),I715,#N/A)</f>
        <v>#N/A</v>
      </c>
    </row>
    <row r="716" spans="5:33" x14ac:dyDescent="0.25">
      <c r="E716">
        <v>713</v>
      </c>
      <c r="F716">
        <v>10.636363636363637</v>
      </c>
      <c r="G716">
        <v>11.95</v>
      </c>
      <c r="H716">
        <v>13.1</v>
      </c>
      <c r="I716">
        <v>14.02</v>
      </c>
      <c r="Z716">
        <v>1</v>
      </c>
      <c r="AA716" t="e">
        <f t="array" ref="AA716">IF(OR(F716&lt;L$3,F716&gt;L$7),F716,#N/A)</f>
        <v>#N/A</v>
      </c>
      <c r="AB716">
        <f t="shared" si="12"/>
        <v>2</v>
      </c>
      <c r="AC716" t="e">
        <f t="array" ref="AC716">IF(OR(G716&lt;M$3,G716&gt;M$7),G716,#N/A)</f>
        <v>#N/A</v>
      </c>
      <c r="AD716">
        <f t="shared" si="12"/>
        <v>3</v>
      </c>
      <c r="AE716" t="e">
        <f t="array" ref="AE716">IF(OR(H716&lt;N$3,H716&gt;N$7),H716,#N/A)</f>
        <v>#N/A</v>
      </c>
      <c r="AF716">
        <f t="shared" si="12"/>
        <v>4</v>
      </c>
      <c r="AG716" t="e">
        <f t="array" ref="AG716">IF(OR(I716&lt;O$3,I716&gt;O$7),I716,#N/A)</f>
        <v>#N/A</v>
      </c>
    </row>
    <row r="717" spans="5:33" x14ac:dyDescent="0.25">
      <c r="E717">
        <v>714</v>
      </c>
      <c r="F717">
        <v>12</v>
      </c>
      <c r="G717">
        <v>13.25</v>
      </c>
      <c r="H717">
        <v>13.08</v>
      </c>
      <c r="I717">
        <v>12.59</v>
      </c>
      <c r="Z717">
        <v>1</v>
      </c>
      <c r="AA717" t="e">
        <f t="array" ref="AA717">IF(OR(F717&lt;L$3,F717&gt;L$7),F717,#N/A)</f>
        <v>#N/A</v>
      </c>
      <c r="AB717">
        <f t="shared" si="12"/>
        <v>2</v>
      </c>
      <c r="AC717" t="e">
        <f t="array" ref="AC717">IF(OR(G717&lt;M$3,G717&gt;M$7),G717,#N/A)</f>
        <v>#N/A</v>
      </c>
      <c r="AD717">
        <f t="shared" si="12"/>
        <v>3</v>
      </c>
      <c r="AE717" t="e">
        <f t="array" ref="AE717">IF(OR(H717&lt;N$3,H717&gt;N$7),H717,#N/A)</f>
        <v>#N/A</v>
      </c>
      <c r="AF717">
        <f t="shared" si="12"/>
        <v>4</v>
      </c>
      <c r="AG717" t="e">
        <f t="array" ref="AG717">IF(OR(I717&lt;O$3,I717&gt;O$7),I717,#N/A)</f>
        <v>#N/A</v>
      </c>
    </row>
    <row r="718" spans="5:33" x14ac:dyDescent="0.25">
      <c r="E718">
        <v>715</v>
      </c>
      <c r="F718">
        <v>8.9090909090909083</v>
      </c>
      <c r="G718">
        <v>12.6</v>
      </c>
      <c r="H718">
        <v>13.36</v>
      </c>
      <c r="I718">
        <v>12.94</v>
      </c>
      <c r="Z718">
        <v>1</v>
      </c>
      <c r="AA718" t="e">
        <f t="array" ref="AA718">IF(OR(F718&lt;L$3,F718&gt;L$7),F718,#N/A)</f>
        <v>#N/A</v>
      </c>
      <c r="AB718">
        <f t="shared" si="12"/>
        <v>2</v>
      </c>
      <c r="AC718" t="e">
        <f t="array" ref="AC718">IF(OR(G718&lt;M$3,G718&gt;M$7),G718,#N/A)</f>
        <v>#N/A</v>
      </c>
      <c r="AD718">
        <f t="shared" si="12"/>
        <v>3</v>
      </c>
      <c r="AE718" t="e">
        <f t="array" ref="AE718">IF(OR(H718&lt;N$3,H718&gt;N$7),H718,#N/A)</f>
        <v>#N/A</v>
      </c>
      <c r="AF718">
        <f t="shared" si="12"/>
        <v>4</v>
      </c>
      <c r="AG718" t="e">
        <f t="array" ref="AG718">IF(OR(I718&lt;O$3,I718&gt;O$7),I718,#N/A)</f>
        <v>#N/A</v>
      </c>
    </row>
    <row r="719" spans="5:33" x14ac:dyDescent="0.25">
      <c r="E719">
        <v>716</v>
      </c>
      <c r="F719">
        <v>12.909090909090908</v>
      </c>
      <c r="G719">
        <v>14.1</v>
      </c>
      <c r="H719">
        <v>13.9</v>
      </c>
      <c r="I719">
        <v>14.2</v>
      </c>
      <c r="Z719">
        <v>1</v>
      </c>
      <c r="AA719" t="e">
        <f t="array" ref="AA719">IF(OR(F719&lt;L$3,F719&gt;L$7),F719,#N/A)</f>
        <v>#N/A</v>
      </c>
      <c r="AB719">
        <f t="shared" si="12"/>
        <v>2</v>
      </c>
      <c r="AC719" t="e">
        <f t="array" ref="AC719">IF(OR(G719&lt;M$3,G719&gt;M$7),G719,#N/A)</f>
        <v>#N/A</v>
      </c>
      <c r="AD719">
        <f t="shared" si="12"/>
        <v>3</v>
      </c>
      <c r="AE719" t="e">
        <f t="array" ref="AE719">IF(OR(H719&lt;N$3,H719&gt;N$7),H719,#N/A)</f>
        <v>#N/A</v>
      </c>
      <c r="AF719">
        <f t="shared" si="12"/>
        <v>4</v>
      </c>
      <c r="AG719" t="e">
        <f t="array" ref="AG719">IF(OR(I719&lt;O$3,I719&gt;O$7),I719,#N/A)</f>
        <v>#N/A</v>
      </c>
    </row>
    <row r="720" spans="5:33" x14ac:dyDescent="0.25">
      <c r="E720">
        <v>717</v>
      </c>
      <c r="F720">
        <v>12.181818181818182</v>
      </c>
      <c r="G720">
        <v>14</v>
      </c>
      <c r="H720">
        <v>15.1</v>
      </c>
      <c r="I720">
        <v>15.03</v>
      </c>
      <c r="Z720">
        <v>1</v>
      </c>
      <c r="AA720" t="e">
        <f t="array" ref="AA720">IF(OR(F720&lt;L$3,F720&gt;L$7),F720,#N/A)</f>
        <v>#N/A</v>
      </c>
      <c r="AB720">
        <f t="shared" si="12"/>
        <v>2</v>
      </c>
      <c r="AC720" t="e">
        <f t="array" ref="AC720">IF(OR(G720&lt;M$3,G720&gt;M$7),G720,#N/A)</f>
        <v>#N/A</v>
      </c>
      <c r="AD720">
        <f t="shared" si="12"/>
        <v>3</v>
      </c>
      <c r="AE720" t="e">
        <f t="array" ref="AE720">IF(OR(H720&lt;N$3,H720&gt;N$7),H720,#N/A)</f>
        <v>#N/A</v>
      </c>
      <c r="AF720">
        <f t="shared" si="12"/>
        <v>4</v>
      </c>
      <c r="AG720" t="e">
        <f t="array" ref="AG720">IF(OR(I720&lt;O$3,I720&gt;O$7),I720,#N/A)</f>
        <v>#N/A</v>
      </c>
    </row>
    <row r="721" spans="5:33" x14ac:dyDescent="0.25">
      <c r="E721">
        <v>718</v>
      </c>
      <c r="F721">
        <v>16.09090909090909</v>
      </c>
      <c r="G721">
        <v>17.100000000000001</v>
      </c>
      <c r="H721">
        <v>15.84</v>
      </c>
      <c r="I721">
        <v>13.88</v>
      </c>
      <c r="Z721">
        <v>1</v>
      </c>
      <c r="AA721" t="e">
        <f t="array" ref="AA721">IF(OR(F721&lt;L$3,F721&gt;L$7),F721,#N/A)</f>
        <v>#N/A</v>
      </c>
      <c r="AB721">
        <f t="shared" si="12"/>
        <v>2</v>
      </c>
      <c r="AC721" t="e">
        <f t="array" ref="AC721">IF(OR(G721&lt;M$3,G721&gt;M$7),G721,#N/A)</f>
        <v>#N/A</v>
      </c>
      <c r="AD721">
        <f t="shared" si="12"/>
        <v>3</v>
      </c>
      <c r="AE721" t="e">
        <f t="array" ref="AE721">IF(OR(H721&lt;N$3,H721&gt;N$7),H721,#N/A)</f>
        <v>#N/A</v>
      </c>
      <c r="AF721">
        <f t="shared" si="12"/>
        <v>4</v>
      </c>
      <c r="AG721" t="e">
        <f t="array" ref="AG721">IF(OR(I721&lt;O$3,I721&gt;O$7),I721,#N/A)</f>
        <v>#N/A</v>
      </c>
    </row>
    <row r="722" spans="5:33" x14ac:dyDescent="0.25">
      <c r="E722">
        <v>719</v>
      </c>
      <c r="F722">
        <v>11.454545454545455</v>
      </c>
      <c r="G722">
        <v>11.95</v>
      </c>
      <c r="H722">
        <v>13.38</v>
      </c>
      <c r="I722">
        <v>14.42</v>
      </c>
      <c r="Z722">
        <v>1</v>
      </c>
      <c r="AA722" t="e">
        <f t="array" ref="AA722">IF(OR(F722&lt;L$3,F722&gt;L$7),F722,#N/A)</f>
        <v>#N/A</v>
      </c>
      <c r="AB722">
        <f t="shared" si="12"/>
        <v>2</v>
      </c>
      <c r="AC722" t="e">
        <f t="array" ref="AC722">IF(OR(G722&lt;M$3,G722&gt;M$7),G722,#N/A)</f>
        <v>#N/A</v>
      </c>
      <c r="AD722">
        <f t="shared" si="12"/>
        <v>3</v>
      </c>
      <c r="AE722" t="e">
        <f t="array" ref="AE722">IF(OR(H722&lt;N$3,H722&gt;N$7),H722,#N/A)</f>
        <v>#N/A</v>
      </c>
      <c r="AF722">
        <f t="shared" si="12"/>
        <v>4</v>
      </c>
      <c r="AG722" t="e">
        <f t="array" ref="AG722">IF(OR(I722&lt;O$3,I722&gt;O$7),I722,#N/A)</f>
        <v>#N/A</v>
      </c>
    </row>
    <row r="723" spans="5:33" x14ac:dyDescent="0.25">
      <c r="E723">
        <v>720</v>
      </c>
      <c r="F723">
        <v>13.181818181818182</v>
      </c>
      <c r="G723">
        <v>14.8</v>
      </c>
      <c r="H723">
        <v>14.22</v>
      </c>
      <c r="I723">
        <v>13.89</v>
      </c>
      <c r="Z723">
        <v>1</v>
      </c>
      <c r="AA723" t="e">
        <f t="array" ref="AA723">IF(OR(F723&lt;L$3,F723&gt;L$7),F723,#N/A)</f>
        <v>#N/A</v>
      </c>
      <c r="AB723">
        <f t="shared" si="12"/>
        <v>2</v>
      </c>
      <c r="AC723" t="e">
        <f t="array" ref="AC723">IF(OR(G723&lt;M$3,G723&gt;M$7),G723,#N/A)</f>
        <v>#N/A</v>
      </c>
      <c r="AD723">
        <f t="shared" si="12"/>
        <v>3</v>
      </c>
      <c r="AE723" t="e">
        <f t="array" ref="AE723">IF(OR(H723&lt;N$3,H723&gt;N$7),H723,#N/A)</f>
        <v>#N/A</v>
      </c>
      <c r="AF723">
        <f t="shared" si="12"/>
        <v>4</v>
      </c>
      <c r="AG723" t="e">
        <f t="array" ref="AG723">IF(OR(I723&lt;O$3,I723&gt;O$7),I723,#N/A)</f>
        <v>#N/A</v>
      </c>
    </row>
    <row r="724" spans="5:33" x14ac:dyDescent="0.25">
      <c r="E724">
        <v>721</v>
      </c>
      <c r="F724">
        <v>16.181818181818183</v>
      </c>
      <c r="G724">
        <v>14.45</v>
      </c>
      <c r="H724">
        <v>15.46</v>
      </c>
      <c r="I724">
        <v>14.97</v>
      </c>
      <c r="Z724">
        <v>1</v>
      </c>
      <c r="AA724" t="e">
        <f t="array" ref="AA724">IF(OR(F724&lt;L$3,F724&gt;L$7),F724,#N/A)</f>
        <v>#N/A</v>
      </c>
      <c r="AB724">
        <f t="shared" si="12"/>
        <v>2</v>
      </c>
      <c r="AC724" t="e">
        <f t="array" ref="AC724">IF(OR(G724&lt;M$3,G724&gt;M$7),G724,#N/A)</f>
        <v>#N/A</v>
      </c>
      <c r="AD724">
        <f t="shared" si="12"/>
        <v>3</v>
      </c>
      <c r="AE724" t="e">
        <f t="array" ref="AE724">IF(OR(H724&lt;N$3,H724&gt;N$7),H724,#N/A)</f>
        <v>#N/A</v>
      </c>
      <c r="AF724">
        <f t="shared" si="12"/>
        <v>4</v>
      </c>
      <c r="AG724" t="e">
        <f t="array" ref="AG724">IF(OR(I724&lt;O$3,I724&gt;O$7),I724,#N/A)</f>
        <v>#N/A</v>
      </c>
    </row>
    <row r="725" spans="5:33" x14ac:dyDescent="0.25">
      <c r="E725">
        <v>722</v>
      </c>
      <c r="F725">
        <v>12.727272727272727</v>
      </c>
      <c r="G725">
        <v>13.85</v>
      </c>
      <c r="H725">
        <v>15</v>
      </c>
      <c r="I725">
        <v>14.65</v>
      </c>
      <c r="Z725">
        <v>1</v>
      </c>
      <c r="AA725" t="e">
        <f t="array" ref="AA725">IF(OR(F725&lt;L$3,F725&gt;L$7),F725,#N/A)</f>
        <v>#N/A</v>
      </c>
      <c r="AB725">
        <f t="shared" si="12"/>
        <v>2</v>
      </c>
      <c r="AC725" t="e">
        <f t="array" ref="AC725">IF(OR(G725&lt;M$3,G725&gt;M$7),G725,#N/A)</f>
        <v>#N/A</v>
      </c>
      <c r="AD725">
        <f t="shared" si="12"/>
        <v>3</v>
      </c>
      <c r="AE725" t="e">
        <f t="array" ref="AE725">IF(OR(H725&lt;N$3,H725&gt;N$7),H725,#N/A)</f>
        <v>#N/A</v>
      </c>
      <c r="AF725">
        <f t="shared" si="12"/>
        <v>4</v>
      </c>
      <c r="AG725" t="e">
        <f t="array" ref="AG725">IF(OR(I725&lt;O$3,I725&gt;O$7),I725,#N/A)</f>
        <v>#N/A</v>
      </c>
    </row>
    <row r="726" spans="5:33" x14ac:dyDescent="0.25">
      <c r="E726">
        <v>723</v>
      </c>
      <c r="F726">
        <v>13.181818181818182</v>
      </c>
      <c r="G726">
        <v>13.4</v>
      </c>
      <c r="H726">
        <v>12.86</v>
      </c>
      <c r="I726">
        <v>13.78</v>
      </c>
      <c r="Z726">
        <v>1</v>
      </c>
      <c r="AA726" t="e">
        <f t="array" ref="AA726">IF(OR(F726&lt;L$3,F726&gt;L$7),F726,#N/A)</f>
        <v>#N/A</v>
      </c>
      <c r="AB726">
        <f t="shared" si="12"/>
        <v>2</v>
      </c>
      <c r="AC726" t="e">
        <f t="array" ref="AC726">IF(OR(G726&lt;M$3,G726&gt;M$7),G726,#N/A)</f>
        <v>#N/A</v>
      </c>
      <c r="AD726">
        <f t="shared" si="12"/>
        <v>3</v>
      </c>
      <c r="AE726" t="e">
        <f t="array" ref="AE726">IF(OR(H726&lt;N$3,H726&gt;N$7),H726,#N/A)</f>
        <v>#N/A</v>
      </c>
      <c r="AF726">
        <f t="shared" si="12"/>
        <v>4</v>
      </c>
      <c r="AG726" t="e">
        <f t="array" ref="AG726">IF(OR(I726&lt;O$3,I726&gt;O$7),I726,#N/A)</f>
        <v>#N/A</v>
      </c>
    </row>
    <row r="727" spans="5:33" x14ac:dyDescent="0.25">
      <c r="E727">
        <v>724</v>
      </c>
      <c r="F727">
        <v>11.454545454545455</v>
      </c>
      <c r="G727">
        <v>13.1</v>
      </c>
      <c r="H727">
        <v>13.02</v>
      </c>
      <c r="I727">
        <v>13.63</v>
      </c>
      <c r="Z727">
        <v>1</v>
      </c>
      <c r="AA727" t="e">
        <f t="array" ref="AA727">IF(OR(F727&lt;L$3,F727&gt;L$7),F727,#N/A)</f>
        <v>#N/A</v>
      </c>
      <c r="AB727">
        <f t="shared" si="12"/>
        <v>2</v>
      </c>
      <c r="AC727" t="e">
        <f t="array" ref="AC727">IF(OR(G727&lt;M$3,G727&gt;M$7),G727,#N/A)</f>
        <v>#N/A</v>
      </c>
      <c r="AD727">
        <f t="shared" si="12"/>
        <v>3</v>
      </c>
      <c r="AE727" t="e">
        <f t="array" ref="AE727">IF(OR(H727&lt;N$3,H727&gt;N$7),H727,#N/A)</f>
        <v>#N/A</v>
      </c>
      <c r="AF727">
        <f t="shared" si="12"/>
        <v>4</v>
      </c>
      <c r="AG727" t="e">
        <f t="array" ref="AG727">IF(OR(I727&lt;O$3,I727&gt;O$7),I727,#N/A)</f>
        <v>#N/A</v>
      </c>
    </row>
    <row r="728" spans="5:33" x14ac:dyDescent="0.25">
      <c r="E728">
        <v>725</v>
      </c>
      <c r="F728">
        <v>13.909090909090908</v>
      </c>
      <c r="G728">
        <v>12.75</v>
      </c>
      <c r="H728">
        <v>14.46</v>
      </c>
      <c r="I728">
        <v>14.44</v>
      </c>
      <c r="Z728">
        <v>1</v>
      </c>
      <c r="AA728" t="e">
        <f t="array" ref="AA728">IF(OR(F728&lt;L$3,F728&gt;L$7),F728,#N/A)</f>
        <v>#N/A</v>
      </c>
      <c r="AB728">
        <f t="shared" si="12"/>
        <v>2</v>
      </c>
      <c r="AC728" t="e">
        <f t="array" ref="AC728">IF(OR(G728&lt;M$3,G728&gt;M$7),G728,#N/A)</f>
        <v>#N/A</v>
      </c>
      <c r="AD728">
        <f t="shared" si="12"/>
        <v>3</v>
      </c>
      <c r="AE728" t="e">
        <f t="array" ref="AE728">IF(OR(H728&lt;N$3,H728&gt;N$7),H728,#N/A)</f>
        <v>#N/A</v>
      </c>
      <c r="AF728">
        <f t="shared" si="12"/>
        <v>4</v>
      </c>
      <c r="AG728" t="e">
        <f t="array" ref="AG728">IF(OR(I728&lt;O$3,I728&gt;O$7),I728,#N/A)</f>
        <v>#N/A</v>
      </c>
    </row>
    <row r="729" spans="5:33" x14ac:dyDescent="0.25">
      <c r="E729">
        <v>726</v>
      </c>
      <c r="F729">
        <v>13.181818181818182</v>
      </c>
      <c r="G729">
        <v>13.7</v>
      </c>
      <c r="H729">
        <v>13.12</v>
      </c>
      <c r="I729">
        <v>13.04</v>
      </c>
      <c r="Z729">
        <v>1</v>
      </c>
      <c r="AA729" t="e">
        <f t="array" ref="AA729">IF(OR(F729&lt;L$3,F729&gt;L$7),F729,#N/A)</f>
        <v>#N/A</v>
      </c>
      <c r="AB729">
        <f t="shared" si="12"/>
        <v>2</v>
      </c>
      <c r="AC729" t="e">
        <f t="array" ref="AC729">IF(OR(G729&lt;M$3,G729&gt;M$7),G729,#N/A)</f>
        <v>#N/A</v>
      </c>
      <c r="AD729">
        <f t="shared" si="12"/>
        <v>3</v>
      </c>
      <c r="AE729" t="e">
        <f t="array" ref="AE729">IF(OR(H729&lt;N$3,H729&gt;N$7),H729,#N/A)</f>
        <v>#N/A</v>
      </c>
      <c r="AF729">
        <f t="shared" si="12"/>
        <v>4</v>
      </c>
      <c r="AG729" t="e">
        <f t="array" ref="AG729">IF(OR(I729&lt;O$3,I729&gt;O$7),I729,#N/A)</f>
        <v>#N/A</v>
      </c>
    </row>
    <row r="730" spans="5:33" x14ac:dyDescent="0.25">
      <c r="E730">
        <v>727</v>
      </c>
      <c r="F730">
        <v>12.272727272727273</v>
      </c>
      <c r="G730">
        <v>12.5</v>
      </c>
      <c r="H730">
        <v>12.74</v>
      </c>
      <c r="I730">
        <v>13.85</v>
      </c>
      <c r="Z730">
        <v>1</v>
      </c>
      <c r="AA730" t="e">
        <f t="array" ref="AA730">IF(OR(F730&lt;L$3,F730&gt;L$7),F730,#N/A)</f>
        <v>#N/A</v>
      </c>
      <c r="AB730">
        <f t="shared" si="12"/>
        <v>2</v>
      </c>
      <c r="AC730" t="e">
        <f t="array" ref="AC730">IF(OR(G730&lt;M$3,G730&gt;M$7),G730,#N/A)</f>
        <v>#N/A</v>
      </c>
      <c r="AD730">
        <f t="shared" si="12"/>
        <v>3</v>
      </c>
      <c r="AE730" t="e">
        <f t="array" ref="AE730">IF(OR(H730&lt;N$3,H730&gt;N$7),H730,#N/A)</f>
        <v>#N/A</v>
      </c>
      <c r="AF730">
        <f t="shared" si="12"/>
        <v>4</v>
      </c>
      <c r="AG730" t="e">
        <f t="array" ref="AG730">IF(OR(I730&lt;O$3,I730&gt;O$7),I730,#N/A)</f>
        <v>#N/A</v>
      </c>
    </row>
    <row r="731" spans="5:33" x14ac:dyDescent="0.25">
      <c r="E731">
        <v>728</v>
      </c>
      <c r="F731">
        <v>14.909090909090908</v>
      </c>
      <c r="G731">
        <v>13.4</v>
      </c>
      <c r="H731">
        <v>12.48</v>
      </c>
      <c r="I731">
        <v>13.27</v>
      </c>
      <c r="Z731">
        <v>1</v>
      </c>
      <c r="AA731" t="e">
        <f t="array" ref="AA731">IF(OR(F731&lt;L$3,F731&gt;L$7),F731,#N/A)</f>
        <v>#N/A</v>
      </c>
      <c r="AB731">
        <f t="shared" si="12"/>
        <v>2</v>
      </c>
      <c r="AC731" t="e">
        <f t="array" ref="AC731">IF(OR(G731&lt;M$3,G731&gt;M$7),G731,#N/A)</f>
        <v>#N/A</v>
      </c>
      <c r="AD731">
        <f t="shared" si="12"/>
        <v>3</v>
      </c>
      <c r="AE731" t="e">
        <f t="array" ref="AE731">IF(OR(H731&lt;N$3,H731&gt;N$7),H731,#N/A)</f>
        <v>#N/A</v>
      </c>
      <c r="AF731">
        <f t="shared" si="12"/>
        <v>4</v>
      </c>
      <c r="AG731" t="e">
        <f t="array" ref="AG731">IF(OR(I731&lt;O$3,I731&gt;O$7),I731,#N/A)</f>
        <v>#N/A</v>
      </c>
    </row>
    <row r="732" spans="5:33" x14ac:dyDescent="0.25">
      <c r="E732">
        <v>729</v>
      </c>
      <c r="F732">
        <v>12</v>
      </c>
      <c r="G732">
        <v>12.75</v>
      </c>
      <c r="H732">
        <v>14.5</v>
      </c>
      <c r="I732">
        <v>14.8</v>
      </c>
      <c r="Z732">
        <v>1</v>
      </c>
      <c r="AA732" t="e">
        <f t="array" ref="AA732">IF(OR(F732&lt;L$3,F732&gt;L$7),F732,#N/A)</f>
        <v>#N/A</v>
      </c>
      <c r="AB732">
        <f t="shared" si="12"/>
        <v>2</v>
      </c>
      <c r="AC732" t="e">
        <f t="array" ref="AC732">IF(OR(G732&lt;M$3,G732&gt;M$7),G732,#N/A)</f>
        <v>#N/A</v>
      </c>
      <c r="AD732">
        <f t="shared" si="12"/>
        <v>3</v>
      </c>
      <c r="AE732" t="e">
        <f t="array" ref="AE732">IF(OR(H732&lt;N$3,H732&gt;N$7),H732,#N/A)</f>
        <v>#N/A</v>
      </c>
      <c r="AF732">
        <f t="shared" si="12"/>
        <v>4</v>
      </c>
      <c r="AG732" t="e">
        <f t="array" ref="AG732">IF(OR(I732&lt;O$3,I732&gt;O$7),I732,#N/A)</f>
        <v>#N/A</v>
      </c>
    </row>
    <row r="733" spans="5:33" x14ac:dyDescent="0.25">
      <c r="E733">
        <v>730</v>
      </c>
      <c r="F733">
        <v>16.545454545454547</v>
      </c>
      <c r="G733">
        <v>14.95</v>
      </c>
      <c r="H733">
        <v>14.28</v>
      </c>
      <c r="I733">
        <v>14.92</v>
      </c>
      <c r="Z733">
        <v>1</v>
      </c>
      <c r="AA733" t="e">
        <f t="array" ref="AA733">IF(OR(F733&lt;L$3,F733&gt;L$7),F733,#N/A)</f>
        <v>#N/A</v>
      </c>
      <c r="AB733">
        <f t="shared" si="12"/>
        <v>2</v>
      </c>
      <c r="AC733" t="e">
        <f t="array" ref="AC733">IF(OR(G733&lt;M$3,G733&gt;M$7),G733,#N/A)</f>
        <v>#N/A</v>
      </c>
      <c r="AD733">
        <f t="shared" si="12"/>
        <v>3</v>
      </c>
      <c r="AE733" t="e">
        <f t="array" ref="AE733">IF(OR(H733&lt;N$3,H733&gt;N$7),H733,#N/A)</f>
        <v>#N/A</v>
      </c>
      <c r="AF733">
        <f t="shared" si="12"/>
        <v>4</v>
      </c>
      <c r="AG733" t="e">
        <f t="array" ref="AG733">IF(OR(I733&lt;O$3,I733&gt;O$7),I733,#N/A)</f>
        <v>#N/A</v>
      </c>
    </row>
    <row r="734" spans="5:33" x14ac:dyDescent="0.25">
      <c r="E734">
        <v>731</v>
      </c>
      <c r="F734">
        <v>14.636363636363637</v>
      </c>
      <c r="G734">
        <v>15.35</v>
      </c>
      <c r="H734">
        <v>14.04</v>
      </c>
      <c r="I734">
        <v>14.87</v>
      </c>
      <c r="Z734">
        <v>1</v>
      </c>
      <c r="AA734" t="e">
        <f t="array" ref="AA734">IF(OR(F734&lt;L$3,F734&gt;L$7),F734,#N/A)</f>
        <v>#N/A</v>
      </c>
      <c r="AB734">
        <f t="shared" si="12"/>
        <v>2</v>
      </c>
      <c r="AC734" t="e">
        <f t="array" ref="AC734">IF(OR(G734&lt;M$3,G734&gt;M$7),G734,#N/A)</f>
        <v>#N/A</v>
      </c>
      <c r="AD734">
        <f t="shared" si="12"/>
        <v>3</v>
      </c>
      <c r="AE734" t="e">
        <f t="array" ref="AE734">IF(OR(H734&lt;N$3,H734&gt;N$7),H734,#N/A)</f>
        <v>#N/A</v>
      </c>
      <c r="AF734">
        <f t="shared" si="12"/>
        <v>4</v>
      </c>
      <c r="AG734" t="e">
        <f t="array" ref="AG734">IF(OR(I734&lt;O$3,I734&gt;O$7),I734,#N/A)</f>
        <v>#N/A</v>
      </c>
    </row>
    <row r="735" spans="5:33" x14ac:dyDescent="0.25">
      <c r="E735">
        <v>732</v>
      </c>
      <c r="F735">
        <v>14</v>
      </c>
      <c r="G735">
        <v>15.05</v>
      </c>
      <c r="H735">
        <v>14.86</v>
      </c>
      <c r="I735">
        <v>14.55</v>
      </c>
      <c r="Z735">
        <v>1</v>
      </c>
      <c r="AA735" t="e">
        <f t="array" ref="AA735">IF(OR(F735&lt;L$3,F735&gt;L$7),F735,#N/A)</f>
        <v>#N/A</v>
      </c>
      <c r="AB735">
        <f t="shared" si="12"/>
        <v>2</v>
      </c>
      <c r="AC735" t="e">
        <f t="array" ref="AC735">IF(OR(G735&lt;M$3,G735&gt;M$7),G735,#N/A)</f>
        <v>#N/A</v>
      </c>
      <c r="AD735">
        <f t="shared" si="12"/>
        <v>3</v>
      </c>
      <c r="AE735" t="e">
        <f t="array" ref="AE735">IF(OR(H735&lt;N$3,H735&gt;N$7),H735,#N/A)</f>
        <v>#N/A</v>
      </c>
      <c r="AF735">
        <f t="shared" si="12"/>
        <v>4</v>
      </c>
      <c r="AG735" t="e">
        <f t="array" ref="AG735">IF(OR(I735&lt;O$3,I735&gt;O$7),I735,#N/A)</f>
        <v>#N/A</v>
      </c>
    </row>
    <row r="736" spans="5:33" x14ac:dyDescent="0.25">
      <c r="E736">
        <v>733</v>
      </c>
      <c r="F736">
        <v>10.272727272727273</v>
      </c>
      <c r="G736">
        <v>11.35</v>
      </c>
      <c r="H736">
        <v>14.28</v>
      </c>
      <c r="I736">
        <v>14.11</v>
      </c>
      <c r="Z736">
        <v>1</v>
      </c>
      <c r="AA736" t="e">
        <f t="array" ref="AA736">IF(OR(F736&lt;L$3,F736&gt;L$7),F736,#N/A)</f>
        <v>#N/A</v>
      </c>
      <c r="AB736">
        <f t="shared" si="12"/>
        <v>2</v>
      </c>
      <c r="AC736" t="e">
        <f t="array" ref="AC736">IF(OR(G736&lt;M$3,G736&gt;M$7),G736,#N/A)</f>
        <v>#N/A</v>
      </c>
      <c r="AD736">
        <f t="shared" si="12"/>
        <v>3</v>
      </c>
      <c r="AE736" t="e">
        <f t="array" ref="AE736">IF(OR(H736&lt;N$3,H736&gt;N$7),H736,#N/A)</f>
        <v>#N/A</v>
      </c>
      <c r="AF736">
        <f t="shared" si="12"/>
        <v>4</v>
      </c>
      <c r="AG736" t="e">
        <f t="array" ref="AG736">IF(OR(I736&lt;O$3,I736&gt;O$7),I736,#N/A)</f>
        <v>#N/A</v>
      </c>
    </row>
    <row r="737" spans="5:33" x14ac:dyDescent="0.25">
      <c r="E737">
        <v>734</v>
      </c>
      <c r="F737">
        <v>13.363636363636363</v>
      </c>
      <c r="G737">
        <v>13.7</v>
      </c>
      <c r="H737">
        <v>12.98</v>
      </c>
      <c r="I737">
        <v>13.24</v>
      </c>
      <c r="Z737">
        <v>1</v>
      </c>
      <c r="AA737" t="e">
        <f t="array" ref="AA737">IF(OR(F737&lt;L$3,F737&gt;L$7),F737,#N/A)</f>
        <v>#N/A</v>
      </c>
      <c r="AB737">
        <f t="shared" si="12"/>
        <v>2</v>
      </c>
      <c r="AC737" t="e">
        <f t="array" ref="AC737">IF(OR(G737&lt;M$3,G737&gt;M$7),G737,#N/A)</f>
        <v>#N/A</v>
      </c>
      <c r="AD737">
        <f t="shared" si="12"/>
        <v>3</v>
      </c>
      <c r="AE737" t="e">
        <f t="array" ref="AE737">IF(OR(H737&lt;N$3,H737&gt;N$7),H737,#N/A)</f>
        <v>#N/A</v>
      </c>
      <c r="AF737">
        <f t="shared" si="12"/>
        <v>4</v>
      </c>
      <c r="AG737" t="e">
        <f t="array" ref="AG737">IF(OR(I737&lt;O$3,I737&gt;O$7),I737,#N/A)</f>
        <v>#N/A</v>
      </c>
    </row>
    <row r="738" spans="5:33" x14ac:dyDescent="0.25">
      <c r="E738">
        <v>735</v>
      </c>
      <c r="F738">
        <v>16.181818181818183</v>
      </c>
      <c r="G738">
        <v>16.5</v>
      </c>
      <c r="H738">
        <v>13.74</v>
      </c>
      <c r="I738">
        <v>13.79</v>
      </c>
      <c r="Z738">
        <v>1</v>
      </c>
      <c r="AA738" t="e">
        <f t="array" ref="AA738">IF(OR(F738&lt;L$3,F738&gt;L$7),F738,#N/A)</f>
        <v>#N/A</v>
      </c>
      <c r="AB738">
        <f t="shared" si="12"/>
        <v>2</v>
      </c>
      <c r="AC738" t="e">
        <f t="array" ref="AC738">IF(OR(G738&lt;M$3,G738&gt;M$7),G738,#N/A)</f>
        <v>#N/A</v>
      </c>
      <c r="AD738">
        <f t="shared" si="12"/>
        <v>3</v>
      </c>
      <c r="AE738" t="e">
        <f t="array" ref="AE738">IF(OR(H738&lt;N$3,H738&gt;N$7),H738,#N/A)</f>
        <v>#N/A</v>
      </c>
      <c r="AF738">
        <f t="shared" si="12"/>
        <v>4</v>
      </c>
      <c r="AG738" t="e">
        <f t="array" ref="AG738">IF(OR(I738&lt;O$3,I738&gt;O$7),I738,#N/A)</f>
        <v>#N/A</v>
      </c>
    </row>
    <row r="739" spans="5:33" x14ac:dyDescent="0.25">
      <c r="E739">
        <v>736</v>
      </c>
      <c r="F739">
        <v>13.818181818181818</v>
      </c>
      <c r="G739">
        <v>16.25</v>
      </c>
      <c r="H739">
        <v>15.8</v>
      </c>
      <c r="I739">
        <v>13.49</v>
      </c>
      <c r="Z739">
        <v>1</v>
      </c>
      <c r="AA739" t="e">
        <f t="array" ref="AA739">IF(OR(F739&lt;L$3,F739&gt;L$7),F739,#N/A)</f>
        <v>#N/A</v>
      </c>
      <c r="AB739">
        <f t="shared" si="12"/>
        <v>2</v>
      </c>
      <c r="AC739" t="e">
        <f t="array" ref="AC739">IF(OR(G739&lt;M$3,G739&gt;M$7),G739,#N/A)</f>
        <v>#N/A</v>
      </c>
      <c r="AD739">
        <f t="shared" si="12"/>
        <v>3</v>
      </c>
      <c r="AE739" t="e">
        <f t="array" ref="AE739">IF(OR(H739&lt;N$3,H739&gt;N$7),H739,#N/A)</f>
        <v>#N/A</v>
      </c>
      <c r="AF739">
        <f t="shared" si="12"/>
        <v>4</v>
      </c>
      <c r="AG739" t="e">
        <f t="array" ref="AG739">IF(OR(I739&lt;O$3,I739&gt;O$7),I739,#N/A)</f>
        <v>#N/A</v>
      </c>
    </row>
    <row r="740" spans="5:33" x14ac:dyDescent="0.25">
      <c r="E740">
        <v>737</v>
      </c>
      <c r="F740">
        <v>14.727272727272727</v>
      </c>
      <c r="G740">
        <v>14.6</v>
      </c>
      <c r="H740">
        <v>13.96</v>
      </c>
      <c r="I740">
        <v>13.28</v>
      </c>
      <c r="Z740">
        <v>1</v>
      </c>
      <c r="AA740" t="e">
        <f t="array" ref="AA740">IF(OR(F740&lt;L$3,F740&gt;L$7),F740,#N/A)</f>
        <v>#N/A</v>
      </c>
      <c r="AB740">
        <f t="shared" si="12"/>
        <v>2</v>
      </c>
      <c r="AC740" t="e">
        <f t="array" ref="AC740">IF(OR(G740&lt;M$3,G740&gt;M$7),G740,#N/A)</f>
        <v>#N/A</v>
      </c>
      <c r="AD740">
        <f t="shared" si="12"/>
        <v>3</v>
      </c>
      <c r="AE740" t="e">
        <f t="array" ref="AE740">IF(OR(H740&lt;N$3,H740&gt;N$7),H740,#N/A)</f>
        <v>#N/A</v>
      </c>
      <c r="AF740">
        <f t="shared" si="12"/>
        <v>4</v>
      </c>
      <c r="AG740" t="e">
        <f t="array" ref="AG740">IF(OR(I740&lt;O$3,I740&gt;O$7),I740,#N/A)</f>
        <v>#N/A</v>
      </c>
    </row>
    <row r="741" spans="5:33" x14ac:dyDescent="0.25">
      <c r="E741">
        <v>738</v>
      </c>
      <c r="F741">
        <v>11.909090909090908</v>
      </c>
      <c r="G741">
        <v>13.6</v>
      </c>
      <c r="H741">
        <v>14.2</v>
      </c>
      <c r="I741">
        <v>15.97</v>
      </c>
      <c r="Z741">
        <v>1</v>
      </c>
      <c r="AA741" t="e">
        <f t="array" ref="AA741">IF(OR(F741&lt;L$3,F741&gt;L$7),F741,#N/A)</f>
        <v>#N/A</v>
      </c>
      <c r="AB741">
        <f t="shared" si="12"/>
        <v>2</v>
      </c>
      <c r="AC741" t="e">
        <f t="array" ref="AC741">IF(OR(G741&lt;M$3,G741&gt;M$7),G741,#N/A)</f>
        <v>#N/A</v>
      </c>
      <c r="AD741">
        <f t="shared" si="12"/>
        <v>3</v>
      </c>
      <c r="AE741" t="e">
        <f t="array" ref="AE741">IF(OR(H741&lt;N$3,H741&gt;N$7),H741,#N/A)</f>
        <v>#N/A</v>
      </c>
      <c r="AF741">
        <f t="shared" si="12"/>
        <v>4</v>
      </c>
      <c r="AG741">
        <f t="array" ref="AG741">IF(OR(I741&lt;O$3,I741&gt;O$7),I741,#N/A)</f>
        <v>15.97</v>
      </c>
    </row>
    <row r="742" spans="5:33" x14ac:dyDescent="0.25">
      <c r="E742">
        <v>739</v>
      </c>
      <c r="F742">
        <v>16.454545454545453</v>
      </c>
      <c r="G742">
        <v>13.3</v>
      </c>
      <c r="H742">
        <v>12.9</v>
      </c>
      <c r="I742">
        <v>13.96</v>
      </c>
      <c r="Z742">
        <v>1</v>
      </c>
      <c r="AA742" t="e">
        <f t="array" ref="AA742">IF(OR(F742&lt;L$3,F742&gt;L$7),F742,#N/A)</f>
        <v>#N/A</v>
      </c>
      <c r="AB742">
        <f t="shared" si="12"/>
        <v>2</v>
      </c>
      <c r="AC742" t="e">
        <f t="array" ref="AC742">IF(OR(G742&lt;M$3,G742&gt;M$7),G742,#N/A)</f>
        <v>#N/A</v>
      </c>
      <c r="AD742">
        <f t="shared" si="12"/>
        <v>3</v>
      </c>
      <c r="AE742" t="e">
        <f t="array" ref="AE742">IF(OR(H742&lt;N$3,H742&gt;N$7),H742,#N/A)</f>
        <v>#N/A</v>
      </c>
      <c r="AF742">
        <f t="shared" si="12"/>
        <v>4</v>
      </c>
      <c r="AG742" t="e">
        <f t="array" ref="AG742">IF(OR(I742&lt;O$3,I742&gt;O$7),I742,#N/A)</f>
        <v>#N/A</v>
      </c>
    </row>
    <row r="743" spans="5:33" x14ac:dyDescent="0.25">
      <c r="E743">
        <v>740</v>
      </c>
      <c r="F743">
        <v>13.636363636363637</v>
      </c>
      <c r="G743">
        <v>11.9</v>
      </c>
      <c r="H743">
        <v>13.9</v>
      </c>
      <c r="I743">
        <v>13.67</v>
      </c>
      <c r="Z743">
        <v>1</v>
      </c>
      <c r="AA743" t="e">
        <f t="array" ref="AA743">IF(OR(F743&lt;L$3,F743&gt;L$7),F743,#N/A)</f>
        <v>#N/A</v>
      </c>
      <c r="AB743">
        <f t="shared" si="12"/>
        <v>2</v>
      </c>
      <c r="AC743" t="e">
        <f t="array" ref="AC743">IF(OR(G743&lt;M$3,G743&gt;M$7),G743,#N/A)</f>
        <v>#N/A</v>
      </c>
      <c r="AD743">
        <f t="shared" si="12"/>
        <v>3</v>
      </c>
      <c r="AE743" t="e">
        <f t="array" ref="AE743">IF(OR(H743&lt;N$3,H743&gt;N$7),H743,#N/A)</f>
        <v>#N/A</v>
      </c>
      <c r="AF743">
        <f t="shared" si="12"/>
        <v>4</v>
      </c>
      <c r="AG743" t="e">
        <f t="array" ref="AG743">IF(OR(I743&lt;O$3,I743&gt;O$7),I743,#N/A)</f>
        <v>#N/A</v>
      </c>
    </row>
    <row r="744" spans="5:33" x14ac:dyDescent="0.25">
      <c r="E744">
        <v>741</v>
      </c>
      <c r="F744">
        <v>15.090909090909092</v>
      </c>
      <c r="G744">
        <v>14.4</v>
      </c>
      <c r="H744">
        <v>15.12</v>
      </c>
      <c r="I744">
        <v>13.89</v>
      </c>
      <c r="Z744">
        <v>1</v>
      </c>
      <c r="AA744" t="e">
        <f t="array" ref="AA744">IF(OR(F744&lt;L$3,F744&gt;L$7),F744,#N/A)</f>
        <v>#N/A</v>
      </c>
      <c r="AB744">
        <f t="shared" si="12"/>
        <v>2</v>
      </c>
      <c r="AC744" t="e">
        <f t="array" ref="AC744">IF(OR(G744&lt;M$3,G744&gt;M$7),G744,#N/A)</f>
        <v>#N/A</v>
      </c>
      <c r="AD744">
        <f t="shared" si="12"/>
        <v>3</v>
      </c>
      <c r="AE744" t="e">
        <f t="array" ref="AE744">IF(OR(H744&lt;N$3,H744&gt;N$7),H744,#N/A)</f>
        <v>#N/A</v>
      </c>
      <c r="AF744">
        <f t="shared" si="12"/>
        <v>4</v>
      </c>
      <c r="AG744" t="e">
        <f t="array" ref="AG744">IF(OR(I744&lt;O$3,I744&gt;O$7),I744,#N/A)</f>
        <v>#N/A</v>
      </c>
    </row>
    <row r="745" spans="5:33" x14ac:dyDescent="0.25">
      <c r="E745">
        <v>742</v>
      </c>
      <c r="F745">
        <v>15.363636363636363</v>
      </c>
      <c r="G745">
        <v>15.15</v>
      </c>
      <c r="H745">
        <v>13.58</v>
      </c>
      <c r="I745">
        <v>13.6</v>
      </c>
      <c r="Z745">
        <v>1</v>
      </c>
      <c r="AA745" t="e">
        <f t="array" ref="AA745">IF(OR(F745&lt;L$3,F745&gt;L$7),F745,#N/A)</f>
        <v>#N/A</v>
      </c>
      <c r="AB745">
        <f t="shared" si="12"/>
        <v>2</v>
      </c>
      <c r="AC745" t="e">
        <f t="array" ref="AC745">IF(OR(G745&lt;M$3,G745&gt;M$7),G745,#N/A)</f>
        <v>#N/A</v>
      </c>
      <c r="AD745">
        <f t="shared" si="12"/>
        <v>3</v>
      </c>
      <c r="AE745" t="e">
        <f t="array" ref="AE745">IF(OR(H745&lt;N$3,H745&gt;N$7),H745,#N/A)</f>
        <v>#N/A</v>
      </c>
      <c r="AF745">
        <f t="shared" si="12"/>
        <v>4</v>
      </c>
      <c r="AG745" t="e">
        <f t="array" ref="AG745">IF(OR(I745&lt;O$3,I745&gt;O$7),I745,#N/A)</f>
        <v>#N/A</v>
      </c>
    </row>
    <row r="746" spans="5:33" x14ac:dyDescent="0.25">
      <c r="E746">
        <v>743</v>
      </c>
      <c r="F746">
        <v>15.272727272727273</v>
      </c>
      <c r="G746">
        <v>15.85</v>
      </c>
      <c r="H746">
        <v>14.9</v>
      </c>
      <c r="I746">
        <v>14.4</v>
      </c>
      <c r="Z746">
        <v>1</v>
      </c>
      <c r="AA746" t="e">
        <f t="array" ref="AA746">IF(OR(F746&lt;L$3,F746&gt;L$7),F746,#N/A)</f>
        <v>#N/A</v>
      </c>
      <c r="AB746">
        <f t="shared" si="12"/>
        <v>2</v>
      </c>
      <c r="AC746" t="e">
        <f t="array" ref="AC746">IF(OR(G746&lt;M$3,G746&gt;M$7),G746,#N/A)</f>
        <v>#N/A</v>
      </c>
      <c r="AD746">
        <f t="shared" si="12"/>
        <v>3</v>
      </c>
      <c r="AE746" t="e">
        <f t="array" ref="AE746">IF(OR(H746&lt;N$3,H746&gt;N$7),H746,#N/A)</f>
        <v>#N/A</v>
      </c>
      <c r="AF746">
        <f t="shared" si="12"/>
        <v>4</v>
      </c>
      <c r="AG746" t="e">
        <f t="array" ref="AG746">IF(OR(I746&lt;O$3,I746&gt;O$7),I746,#N/A)</f>
        <v>#N/A</v>
      </c>
    </row>
    <row r="747" spans="5:33" x14ac:dyDescent="0.25">
      <c r="E747">
        <v>744</v>
      </c>
      <c r="F747">
        <v>14.363636363636363</v>
      </c>
      <c r="G747">
        <v>15.7</v>
      </c>
      <c r="H747">
        <v>14.32</v>
      </c>
      <c r="I747">
        <v>15.04</v>
      </c>
      <c r="Z747">
        <v>1</v>
      </c>
      <c r="AA747" t="e">
        <f t="array" ref="AA747">IF(OR(F747&lt;L$3,F747&gt;L$7),F747,#N/A)</f>
        <v>#N/A</v>
      </c>
      <c r="AB747">
        <f t="shared" si="12"/>
        <v>2</v>
      </c>
      <c r="AC747" t="e">
        <f t="array" ref="AC747">IF(OR(G747&lt;M$3,G747&gt;M$7),G747,#N/A)</f>
        <v>#N/A</v>
      </c>
      <c r="AD747">
        <f t="shared" si="12"/>
        <v>3</v>
      </c>
      <c r="AE747" t="e">
        <f t="array" ref="AE747">IF(OR(H747&lt;N$3,H747&gt;N$7),H747,#N/A)</f>
        <v>#N/A</v>
      </c>
      <c r="AF747">
        <f t="shared" si="12"/>
        <v>4</v>
      </c>
      <c r="AG747" t="e">
        <f t="array" ref="AG747">IF(OR(I747&lt;O$3,I747&gt;O$7),I747,#N/A)</f>
        <v>#N/A</v>
      </c>
    </row>
    <row r="748" spans="5:33" x14ac:dyDescent="0.25">
      <c r="E748">
        <v>745</v>
      </c>
      <c r="F748">
        <v>16.636363636363637</v>
      </c>
      <c r="G748">
        <v>14.75</v>
      </c>
      <c r="H748">
        <v>15.54</v>
      </c>
      <c r="I748">
        <v>14.9</v>
      </c>
      <c r="Z748">
        <v>1</v>
      </c>
      <c r="AA748" t="e">
        <f t="array" ref="AA748">IF(OR(F748&lt;L$3,F748&gt;L$7),F748,#N/A)</f>
        <v>#N/A</v>
      </c>
      <c r="AB748">
        <f t="shared" si="12"/>
        <v>2</v>
      </c>
      <c r="AC748" t="e">
        <f t="array" ref="AC748">IF(OR(G748&lt;M$3,G748&gt;M$7),G748,#N/A)</f>
        <v>#N/A</v>
      </c>
      <c r="AD748">
        <f t="shared" si="12"/>
        <v>3</v>
      </c>
      <c r="AE748" t="e">
        <f t="array" ref="AE748">IF(OR(H748&lt;N$3,H748&gt;N$7),H748,#N/A)</f>
        <v>#N/A</v>
      </c>
      <c r="AF748">
        <f t="shared" si="12"/>
        <v>4</v>
      </c>
      <c r="AG748" t="e">
        <f t="array" ref="AG748">IF(OR(I748&lt;O$3,I748&gt;O$7),I748,#N/A)</f>
        <v>#N/A</v>
      </c>
    </row>
    <row r="749" spans="5:33" x14ac:dyDescent="0.25">
      <c r="E749">
        <v>746</v>
      </c>
      <c r="F749">
        <v>16.181818181818183</v>
      </c>
      <c r="G749">
        <v>15.9</v>
      </c>
      <c r="H749">
        <v>14.2</v>
      </c>
      <c r="I749">
        <v>15.02</v>
      </c>
      <c r="Z749">
        <v>1</v>
      </c>
      <c r="AA749" t="e">
        <f t="array" ref="AA749">IF(OR(F749&lt;L$3,F749&gt;L$7),F749,#N/A)</f>
        <v>#N/A</v>
      </c>
      <c r="AB749">
        <f t="shared" si="12"/>
        <v>2</v>
      </c>
      <c r="AC749" t="e">
        <f t="array" ref="AC749">IF(OR(G749&lt;M$3,G749&gt;M$7),G749,#N/A)</f>
        <v>#N/A</v>
      </c>
      <c r="AD749">
        <f t="shared" si="12"/>
        <v>3</v>
      </c>
      <c r="AE749" t="e">
        <f t="array" ref="AE749">IF(OR(H749&lt;N$3,H749&gt;N$7),H749,#N/A)</f>
        <v>#N/A</v>
      </c>
      <c r="AF749">
        <f t="shared" si="12"/>
        <v>4</v>
      </c>
      <c r="AG749" t="e">
        <f t="array" ref="AG749">IF(OR(I749&lt;O$3,I749&gt;O$7),I749,#N/A)</f>
        <v>#N/A</v>
      </c>
    </row>
    <row r="750" spans="5:33" x14ac:dyDescent="0.25">
      <c r="E750">
        <v>747</v>
      </c>
      <c r="F750">
        <v>14</v>
      </c>
      <c r="G750">
        <v>14.05</v>
      </c>
      <c r="H750">
        <v>14.32</v>
      </c>
      <c r="I750">
        <v>13.73</v>
      </c>
      <c r="Z750">
        <v>1</v>
      </c>
      <c r="AA750" t="e">
        <f t="array" ref="AA750">IF(OR(F750&lt;L$3,F750&gt;L$7),F750,#N/A)</f>
        <v>#N/A</v>
      </c>
      <c r="AB750">
        <f t="shared" si="12"/>
        <v>2</v>
      </c>
      <c r="AC750" t="e">
        <f t="array" ref="AC750">IF(OR(G750&lt;M$3,G750&gt;M$7),G750,#N/A)</f>
        <v>#N/A</v>
      </c>
      <c r="AD750">
        <f t="shared" si="12"/>
        <v>3</v>
      </c>
      <c r="AE750" t="e">
        <f t="array" ref="AE750">IF(OR(H750&lt;N$3,H750&gt;N$7),H750,#N/A)</f>
        <v>#N/A</v>
      </c>
      <c r="AF750">
        <f t="shared" si="12"/>
        <v>4</v>
      </c>
      <c r="AG750" t="e">
        <f t="array" ref="AG750">IF(OR(I750&lt;O$3,I750&gt;O$7),I750,#N/A)</f>
        <v>#N/A</v>
      </c>
    </row>
    <row r="751" spans="5:33" x14ac:dyDescent="0.25">
      <c r="E751">
        <v>748</v>
      </c>
      <c r="F751">
        <v>13.909090909090908</v>
      </c>
      <c r="G751">
        <v>14.25</v>
      </c>
      <c r="H751">
        <v>13.3</v>
      </c>
      <c r="I751">
        <v>13.18</v>
      </c>
      <c r="Z751">
        <v>1</v>
      </c>
      <c r="AA751" t="e">
        <f t="array" ref="AA751">IF(OR(F751&lt;L$3,F751&gt;L$7),F751,#N/A)</f>
        <v>#N/A</v>
      </c>
      <c r="AB751">
        <f t="shared" si="12"/>
        <v>2</v>
      </c>
      <c r="AC751" t="e">
        <f t="array" ref="AC751">IF(OR(G751&lt;M$3,G751&gt;M$7),G751,#N/A)</f>
        <v>#N/A</v>
      </c>
      <c r="AD751">
        <f t="shared" si="12"/>
        <v>3</v>
      </c>
      <c r="AE751" t="e">
        <f t="array" ref="AE751">IF(OR(H751&lt;N$3,H751&gt;N$7),H751,#N/A)</f>
        <v>#N/A</v>
      </c>
      <c r="AF751">
        <f t="shared" si="12"/>
        <v>4</v>
      </c>
      <c r="AG751" t="e">
        <f t="array" ref="AG751">IF(OR(I751&lt;O$3,I751&gt;O$7),I751,#N/A)</f>
        <v>#N/A</v>
      </c>
    </row>
    <row r="752" spans="5:33" x14ac:dyDescent="0.25">
      <c r="E752">
        <v>749</v>
      </c>
      <c r="F752">
        <v>14.818181818181818</v>
      </c>
      <c r="G752">
        <v>14.65</v>
      </c>
      <c r="H752">
        <v>13.74</v>
      </c>
      <c r="I752">
        <v>13.73</v>
      </c>
      <c r="Z752">
        <v>1</v>
      </c>
      <c r="AA752" t="e">
        <f t="array" ref="AA752">IF(OR(F752&lt;L$3,F752&gt;L$7),F752,#N/A)</f>
        <v>#N/A</v>
      </c>
      <c r="AB752">
        <f t="shared" si="12"/>
        <v>2</v>
      </c>
      <c r="AC752" t="e">
        <f t="array" ref="AC752">IF(OR(G752&lt;M$3,G752&gt;M$7),G752,#N/A)</f>
        <v>#N/A</v>
      </c>
      <c r="AD752">
        <f t="shared" si="12"/>
        <v>3</v>
      </c>
      <c r="AE752" t="e">
        <f t="array" ref="AE752">IF(OR(H752&lt;N$3,H752&gt;N$7),H752,#N/A)</f>
        <v>#N/A</v>
      </c>
      <c r="AF752">
        <f t="shared" si="12"/>
        <v>4</v>
      </c>
      <c r="AG752" t="e">
        <f t="array" ref="AG752">IF(OR(I752&lt;O$3,I752&gt;O$7),I752,#N/A)</f>
        <v>#N/A</v>
      </c>
    </row>
    <row r="753" spans="5:33" x14ac:dyDescent="0.25">
      <c r="E753">
        <v>750</v>
      </c>
      <c r="F753">
        <v>16</v>
      </c>
      <c r="G753">
        <v>13.8</v>
      </c>
      <c r="H753">
        <v>13.78</v>
      </c>
      <c r="I753">
        <v>13.47</v>
      </c>
      <c r="Z753">
        <v>1</v>
      </c>
      <c r="AA753" t="e">
        <f t="array" ref="AA753">IF(OR(F753&lt;L$3,F753&gt;L$7),F753,#N/A)</f>
        <v>#N/A</v>
      </c>
      <c r="AB753">
        <f t="shared" si="12"/>
        <v>2</v>
      </c>
      <c r="AC753" t="e">
        <f t="array" ref="AC753">IF(OR(G753&lt;M$3,G753&gt;M$7),G753,#N/A)</f>
        <v>#N/A</v>
      </c>
      <c r="AD753">
        <f t="shared" si="12"/>
        <v>3</v>
      </c>
      <c r="AE753" t="e">
        <f t="array" ref="AE753">IF(OR(H753&lt;N$3,H753&gt;N$7),H753,#N/A)</f>
        <v>#N/A</v>
      </c>
      <c r="AF753">
        <f t="shared" si="12"/>
        <v>4</v>
      </c>
      <c r="AG753" t="e">
        <f t="array" ref="AG753">IF(OR(I753&lt;O$3,I753&gt;O$7),I753,#N/A)</f>
        <v>#N/A</v>
      </c>
    </row>
    <row r="754" spans="5:33" x14ac:dyDescent="0.25">
      <c r="E754">
        <v>751</v>
      </c>
      <c r="F754">
        <v>16.727272727272727</v>
      </c>
      <c r="G754">
        <v>14.9</v>
      </c>
      <c r="H754">
        <v>14.46</v>
      </c>
      <c r="I754">
        <v>13.76</v>
      </c>
      <c r="Z754">
        <v>1</v>
      </c>
      <c r="AA754" t="e">
        <f t="array" ref="AA754">IF(OR(F754&lt;L$3,F754&gt;L$7),F754,#N/A)</f>
        <v>#N/A</v>
      </c>
      <c r="AB754">
        <f t="shared" si="12"/>
        <v>2</v>
      </c>
      <c r="AC754" t="e">
        <f t="array" ref="AC754">IF(OR(G754&lt;M$3,G754&gt;M$7),G754,#N/A)</f>
        <v>#N/A</v>
      </c>
      <c r="AD754">
        <f t="shared" si="12"/>
        <v>3</v>
      </c>
      <c r="AE754" t="e">
        <f t="array" ref="AE754">IF(OR(H754&lt;N$3,H754&gt;N$7),H754,#N/A)</f>
        <v>#N/A</v>
      </c>
      <c r="AF754">
        <f t="shared" si="12"/>
        <v>4</v>
      </c>
      <c r="AG754" t="e">
        <f t="array" ref="AG754">IF(OR(I754&lt;O$3,I754&gt;O$7),I754,#N/A)</f>
        <v>#N/A</v>
      </c>
    </row>
    <row r="755" spans="5:33" x14ac:dyDescent="0.25">
      <c r="E755">
        <v>752</v>
      </c>
      <c r="F755">
        <v>17.272727272727273</v>
      </c>
      <c r="G755">
        <v>14.75</v>
      </c>
      <c r="H755">
        <v>14.18</v>
      </c>
      <c r="I755">
        <v>14.89</v>
      </c>
      <c r="Z755">
        <v>1</v>
      </c>
      <c r="AA755" t="e">
        <f t="array" ref="AA755">IF(OR(F755&lt;L$3,F755&gt;L$7),F755,#N/A)</f>
        <v>#N/A</v>
      </c>
      <c r="AB755">
        <f t="shared" si="12"/>
        <v>2</v>
      </c>
      <c r="AC755" t="e">
        <f t="array" ref="AC755">IF(OR(G755&lt;M$3,G755&gt;M$7),G755,#N/A)</f>
        <v>#N/A</v>
      </c>
      <c r="AD755">
        <f t="shared" si="12"/>
        <v>3</v>
      </c>
      <c r="AE755" t="e">
        <f t="array" ref="AE755">IF(OR(H755&lt;N$3,H755&gt;N$7),H755,#N/A)</f>
        <v>#N/A</v>
      </c>
      <c r="AF755">
        <f t="shared" si="12"/>
        <v>4</v>
      </c>
      <c r="AG755" t="e">
        <f t="array" ref="AG755">IF(OR(I755&lt;O$3,I755&gt;O$7),I755,#N/A)</f>
        <v>#N/A</v>
      </c>
    </row>
    <row r="756" spans="5:33" x14ac:dyDescent="0.25">
      <c r="E756">
        <v>753</v>
      </c>
      <c r="F756">
        <v>14.545454545454545</v>
      </c>
      <c r="G756">
        <v>13.45</v>
      </c>
      <c r="H756">
        <v>14.82</v>
      </c>
      <c r="I756">
        <v>15.13</v>
      </c>
      <c r="Z756">
        <v>1</v>
      </c>
      <c r="AA756" t="e">
        <f t="array" ref="AA756">IF(OR(F756&lt;L$3,F756&gt;L$7),F756,#N/A)</f>
        <v>#N/A</v>
      </c>
      <c r="AB756">
        <f t="shared" si="12"/>
        <v>2</v>
      </c>
      <c r="AC756" t="e">
        <f t="array" ref="AC756">IF(OR(G756&lt;M$3,G756&gt;M$7),G756,#N/A)</f>
        <v>#N/A</v>
      </c>
      <c r="AD756">
        <f t="shared" si="12"/>
        <v>3</v>
      </c>
      <c r="AE756" t="e">
        <f t="array" ref="AE756">IF(OR(H756&lt;N$3,H756&gt;N$7),H756,#N/A)</f>
        <v>#N/A</v>
      </c>
      <c r="AF756">
        <f t="shared" si="12"/>
        <v>4</v>
      </c>
      <c r="AG756" t="e">
        <f t="array" ref="AG756">IF(OR(I756&lt;O$3,I756&gt;O$7),I756,#N/A)</f>
        <v>#N/A</v>
      </c>
    </row>
    <row r="757" spans="5:33" x14ac:dyDescent="0.25">
      <c r="E757">
        <v>754</v>
      </c>
      <c r="F757">
        <v>10.727272727272727</v>
      </c>
      <c r="G757">
        <v>11.65</v>
      </c>
      <c r="H757">
        <v>13.56</v>
      </c>
      <c r="I757">
        <v>13.74</v>
      </c>
      <c r="Z757">
        <v>1</v>
      </c>
      <c r="AA757" t="e">
        <f t="array" ref="AA757">IF(OR(F757&lt;L$3,F757&gt;L$7),F757,#N/A)</f>
        <v>#N/A</v>
      </c>
      <c r="AB757">
        <f t="shared" si="12"/>
        <v>2</v>
      </c>
      <c r="AC757" t="e">
        <f t="array" ref="AC757">IF(OR(G757&lt;M$3,G757&gt;M$7),G757,#N/A)</f>
        <v>#N/A</v>
      </c>
      <c r="AD757">
        <f t="shared" si="12"/>
        <v>3</v>
      </c>
      <c r="AE757" t="e">
        <f t="array" ref="AE757">IF(OR(H757&lt;N$3,H757&gt;N$7),H757,#N/A)</f>
        <v>#N/A</v>
      </c>
      <c r="AF757">
        <f t="shared" si="12"/>
        <v>4</v>
      </c>
      <c r="AG757" t="e">
        <f t="array" ref="AG757">IF(OR(I757&lt;O$3,I757&gt;O$7),I757,#N/A)</f>
        <v>#N/A</v>
      </c>
    </row>
    <row r="758" spans="5:33" x14ac:dyDescent="0.25">
      <c r="E758">
        <v>755</v>
      </c>
      <c r="F758">
        <v>13.363636363636363</v>
      </c>
      <c r="G758">
        <v>13.6</v>
      </c>
      <c r="H758">
        <v>13.42</v>
      </c>
      <c r="I758">
        <v>13.28</v>
      </c>
      <c r="Z758">
        <v>1</v>
      </c>
      <c r="AA758" t="e">
        <f t="array" ref="AA758">IF(OR(F758&lt;L$3,F758&gt;L$7),F758,#N/A)</f>
        <v>#N/A</v>
      </c>
      <c r="AB758">
        <f t="shared" si="12"/>
        <v>2</v>
      </c>
      <c r="AC758" t="e">
        <f t="array" ref="AC758">IF(OR(G758&lt;M$3,G758&gt;M$7),G758,#N/A)</f>
        <v>#N/A</v>
      </c>
      <c r="AD758">
        <f t="shared" si="12"/>
        <v>3</v>
      </c>
      <c r="AE758" t="e">
        <f t="array" ref="AE758">IF(OR(H758&lt;N$3,H758&gt;N$7),H758,#N/A)</f>
        <v>#N/A</v>
      </c>
      <c r="AF758">
        <f t="shared" si="12"/>
        <v>4</v>
      </c>
      <c r="AG758" t="e">
        <f t="array" ref="AG758">IF(OR(I758&lt;O$3,I758&gt;O$7),I758,#N/A)</f>
        <v>#N/A</v>
      </c>
    </row>
    <row r="759" spans="5:33" x14ac:dyDescent="0.25">
      <c r="E759">
        <v>756</v>
      </c>
      <c r="F759">
        <v>16.454545454545453</v>
      </c>
      <c r="G759">
        <v>15.7</v>
      </c>
      <c r="H759">
        <v>15.02</v>
      </c>
      <c r="I759">
        <v>14.67</v>
      </c>
      <c r="Z759">
        <v>1</v>
      </c>
      <c r="AA759" t="e">
        <f t="array" ref="AA759">IF(OR(F759&lt;L$3,F759&gt;L$7),F759,#N/A)</f>
        <v>#N/A</v>
      </c>
      <c r="AB759">
        <f t="shared" si="12"/>
        <v>2</v>
      </c>
      <c r="AC759" t="e">
        <f t="array" ref="AC759">IF(OR(G759&lt;M$3,G759&gt;M$7),G759,#N/A)</f>
        <v>#N/A</v>
      </c>
      <c r="AD759">
        <f t="shared" si="12"/>
        <v>3</v>
      </c>
      <c r="AE759" t="e">
        <f t="array" ref="AE759">IF(OR(H759&lt;N$3,H759&gt;N$7),H759,#N/A)</f>
        <v>#N/A</v>
      </c>
      <c r="AF759">
        <f t="shared" si="12"/>
        <v>4</v>
      </c>
      <c r="AG759" t="e">
        <f t="array" ref="AG759">IF(OR(I759&lt;O$3,I759&gt;O$7),I759,#N/A)</f>
        <v>#N/A</v>
      </c>
    </row>
    <row r="760" spans="5:33" x14ac:dyDescent="0.25">
      <c r="E760">
        <v>757</v>
      </c>
      <c r="F760">
        <v>12.272727272727273</v>
      </c>
      <c r="G760">
        <v>15.25</v>
      </c>
      <c r="H760">
        <v>14.88</v>
      </c>
      <c r="I760">
        <v>14.79</v>
      </c>
      <c r="Z760">
        <v>1</v>
      </c>
      <c r="AA760" t="e">
        <f t="array" ref="AA760">IF(OR(F760&lt;L$3,F760&gt;L$7),F760,#N/A)</f>
        <v>#N/A</v>
      </c>
      <c r="AB760">
        <f t="shared" si="12"/>
        <v>2</v>
      </c>
      <c r="AC760" t="e">
        <f t="array" ref="AC760">IF(OR(G760&lt;M$3,G760&gt;M$7),G760,#N/A)</f>
        <v>#N/A</v>
      </c>
      <c r="AD760">
        <f t="shared" si="12"/>
        <v>3</v>
      </c>
      <c r="AE760" t="e">
        <f t="array" ref="AE760">IF(OR(H760&lt;N$3,H760&gt;N$7),H760,#N/A)</f>
        <v>#N/A</v>
      </c>
      <c r="AF760">
        <f t="shared" si="12"/>
        <v>4</v>
      </c>
      <c r="AG760" t="e">
        <f t="array" ref="AG760">IF(OR(I760&lt;O$3,I760&gt;O$7),I760,#N/A)</f>
        <v>#N/A</v>
      </c>
    </row>
    <row r="761" spans="5:33" x14ac:dyDescent="0.25">
      <c r="E761">
        <v>758</v>
      </c>
      <c r="F761">
        <v>11.454545454545455</v>
      </c>
      <c r="G761">
        <v>13.2</v>
      </c>
      <c r="H761">
        <v>13.52</v>
      </c>
      <c r="I761">
        <v>13.23</v>
      </c>
      <c r="Z761">
        <v>1</v>
      </c>
      <c r="AA761" t="e">
        <f t="array" ref="AA761">IF(OR(F761&lt;L$3,F761&gt;L$7),F761,#N/A)</f>
        <v>#N/A</v>
      </c>
      <c r="AB761">
        <f t="shared" si="12"/>
        <v>2</v>
      </c>
      <c r="AC761" t="e">
        <f t="array" ref="AC761">IF(OR(G761&lt;M$3,G761&gt;M$7),G761,#N/A)</f>
        <v>#N/A</v>
      </c>
      <c r="AD761">
        <f t="shared" si="12"/>
        <v>3</v>
      </c>
      <c r="AE761" t="e">
        <f t="array" ref="AE761">IF(OR(H761&lt;N$3,H761&gt;N$7),H761,#N/A)</f>
        <v>#N/A</v>
      </c>
      <c r="AF761">
        <f t="shared" si="12"/>
        <v>4</v>
      </c>
      <c r="AG761" t="e">
        <f t="array" ref="AG761">IF(OR(I761&lt;O$3,I761&gt;O$7),I761,#N/A)</f>
        <v>#N/A</v>
      </c>
    </row>
    <row r="762" spans="5:33" x14ac:dyDescent="0.25">
      <c r="E762">
        <v>759</v>
      </c>
      <c r="F762">
        <v>10.909090909090908</v>
      </c>
      <c r="G762">
        <v>10.050000000000001</v>
      </c>
      <c r="H762">
        <v>12.66</v>
      </c>
      <c r="I762">
        <v>11.94</v>
      </c>
      <c r="Z762">
        <v>1</v>
      </c>
      <c r="AA762" t="e">
        <f t="array" ref="AA762">IF(OR(F762&lt;L$3,F762&gt;L$7),F762,#N/A)</f>
        <v>#N/A</v>
      </c>
      <c r="AB762">
        <f t="shared" si="12"/>
        <v>2</v>
      </c>
      <c r="AC762" t="e">
        <f t="array" ref="AC762">IF(OR(G762&lt;M$3,G762&gt;M$7),G762,#N/A)</f>
        <v>#N/A</v>
      </c>
      <c r="AD762">
        <f t="shared" si="12"/>
        <v>3</v>
      </c>
      <c r="AE762" t="e">
        <f t="array" ref="AE762">IF(OR(H762&lt;N$3,H762&gt;N$7),H762,#N/A)</f>
        <v>#N/A</v>
      </c>
      <c r="AF762">
        <f t="shared" si="12"/>
        <v>4</v>
      </c>
      <c r="AG762">
        <f t="array" ref="AG762">IF(OR(I762&lt;O$3,I762&gt;O$7),I762,#N/A)</f>
        <v>11.94</v>
      </c>
    </row>
    <row r="763" spans="5:33" x14ac:dyDescent="0.25">
      <c r="E763">
        <v>760</v>
      </c>
      <c r="F763">
        <v>10.818181818181818</v>
      </c>
      <c r="G763">
        <v>12.65</v>
      </c>
      <c r="H763">
        <v>12.9</v>
      </c>
      <c r="I763">
        <v>12.92</v>
      </c>
      <c r="Z763">
        <v>1</v>
      </c>
      <c r="AA763" t="e">
        <f t="array" ref="AA763">IF(OR(F763&lt;L$3,F763&gt;L$7),F763,#N/A)</f>
        <v>#N/A</v>
      </c>
      <c r="AB763">
        <f t="shared" si="12"/>
        <v>2</v>
      </c>
      <c r="AC763" t="e">
        <f t="array" ref="AC763">IF(OR(G763&lt;M$3,G763&gt;M$7),G763,#N/A)</f>
        <v>#N/A</v>
      </c>
      <c r="AD763">
        <f t="shared" si="12"/>
        <v>3</v>
      </c>
      <c r="AE763" t="e">
        <f t="array" ref="AE763">IF(OR(H763&lt;N$3,H763&gt;N$7),H763,#N/A)</f>
        <v>#N/A</v>
      </c>
      <c r="AF763">
        <f t="shared" si="12"/>
        <v>4</v>
      </c>
      <c r="AG763" t="e">
        <f t="array" ref="AG763">IF(OR(I763&lt;O$3,I763&gt;O$7),I763,#N/A)</f>
        <v>#N/A</v>
      </c>
    </row>
    <row r="764" spans="5:33" x14ac:dyDescent="0.25">
      <c r="E764">
        <v>761</v>
      </c>
      <c r="F764">
        <v>15</v>
      </c>
      <c r="G764">
        <v>13</v>
      </c>
      <c r="H764">
        <v>14.04</v>
      </c>
      <c r="I764">
        <v>14.84</v>
      </c>
      <c r="Z764">
        <v>1</v>
      </c>
      <c r="AA764" t="e">
        <f t="array" ref="AA764">IF(OR(F764&lt;L$3,F764&gt;L$7),F764,#N/A)</f>
        <v>#N/A</v>
      </c>
      <c r="AB764">
        <f t="shared" si="12"/>
        <v>2</v>
      </c>
      <c r="AC764" t="e">
        <f t="array" ref="AC764">IF(OR(G764&lt;M$3,G764&gt;M$7),G764,#N/A)</f>
        <v>#N/A</v>
      </c>
      <c r="AD764">
        <f t="shared" si="12"/>
        <v>3</v>
      </c>
      <c r="AE764" t="e">
        <f t="array" ref="AE764">IF(OR(H764&lt;N$3,H764&gt;N$7),H764,#N/A)</f>
        <v>#N/A</v>
      </c>
      <c r="AF764">
        <f t="shared" si="12"/>
        <v>4</v>
      </c>
      <c r="AG764" t="e">
        <f t="array" ref="AG764">IF(OR(I764&lt;O$3,I764&gt;O$7),I764,#N/A)</f>
        <v>#N/A</v>
      </c>
    </row>
    <row r="765" spans="5:33" x14ac:dyDescent="0.25">
      <c r="E765">
        <v>762</v>
      </c>
      <c r="F765">
        <v>12.727272727272727</v>
      </c>
      <c r="G765">
        <v>15.15</v>
      </c>
      <c r="H765">
        <v>14.08</v>
      </c>
      <c r="I765">
        <v>13.89</v>
      </c>
      <c r="Z765">
        <v>1</v>
      </c>
      <c r="AA765" t="e">
        <f t="array" ref="AA765">IF(OR(F765&lt;L$3,F765&gt;L$7),F765,#N/A)</f>
        <v>#N/A</v>
      </c>
      <c r="AB765">
        <f t="shared" si="12"/>
        <v>2</v>
      </c>
      <c r="AC765" t="e">
        <f t="array" ref="AC765">IF(OR(G765&lt;M$3,G765&gt;M$7),G765,#N/A)</f>
        <v>#N/A</v>
      </c>
      <c r="AD765">
        <f t="shared" si="12"/>
        <v>3</v>
      </c>
      <c r="AE765" t="e">
        <f t="array" ref="AE765">IF(OR(H765&lt;N$3,H765&gt;N$7),H765,#N/A)</f>
        <v>#N/A</v>
      </c>
      <c r="AF765">
        <f t="shared" si="12"/>
        <v>4</v>
      </c>
      <c r="AG765" t="e">
        <f t="array" ref="AG765">IF(OR(I765&lt;O$3,I765&gt;O$7),I765,#N/A)</f>
        <v>#N/A</v>
      </c>
    </row>
    <row r="766" spans="5:33" x14ac:dyDescent="0.25">
      <c r="E766">
        <v>763</v>
      </c>
      <c r="F766">
        <v>17.09090909090909</v>
      </c>
      <c r="G766">
        <v>16.3</v>
      </c>
      <c r="H766">
        <v>15.52</v>
      </c>
      <c r="I766">
        <v>14.31</v>
      </c>
      <c r="Z766">
        <v>1</v>
      </c>
      <c r="AA766" t="e">
        <f t="array" ref="AA766">IF(OR(F766&lt;L$3,F766&gt;L$7),F766,#N/A)</f>
        <v>#N/A</v>
      </c>
      <c r="AB766">
        <f t="shared" si="12"/>
        <v>2</v>
      </c>
      <c r="AC766" t="e">
        <f t="array" ref="AC766">IF(OR(G766&lt;M$3,G766&gt;M$7),G766,#N/A)</f>
        <v>#N/A</v>
      </c>
      <c r="AD766">
        <f t="shared" si="12"/>
        <v>3</v>
      </c>
      <c r="AE766" t="e">
        <f t="array" ref="AE766">IF(OR(H766&lt;N$3,H766&gt;N$7),H766,#N/A)</f>
        <v>#N/A</v>
      </c>
      <c r="AF766">
        <f t="shared" si="12"/>
        <v>4</v>
      </c>
      <c r="AG766" t="e">
        <f t="array" ref="AG766">IF(OR(I766&lt;O$3,I766&gt;O$7),I766,#N/A)</f>
        <v>#N/A</v>
      </c>
    </row>
    <row r="767" spans="5:33" x14ac:dyDescent="0.25">
      <c r="E767">
        <v>764</v>
      </c>
      <c r="F767">
        <v>12.181818181818182</v>
      </c>
      <c r="G767">
        <v>12.75</v>
      </c>
      <c r="H767">
        <v>14.46</v>
      </c>
      <c r="I767">
        <v>14.73</v>
      </c>
      <c r="Z767">
        <v>1</v>
      </c>
      <c r="AA767" t="e">
        <f t="array" ref="AA767">IF(OR(F767&lt;L$3,F767&gt;L$7),F767,#N/A)</f>
        <v>#N/A</v>
      </c>
      <c r="AB767">
        <f t="shared" si="12"/>
        <v>2</v>
      </c>
      <c r="AC767" t="e">
        <f t="array" ref="AC767">IF(OR(G767&lt;M$3,G767&gt;M$7),G767,#N/A)</f>
        <v>#N/A</v>
      </c>
      <c r="AD767">
        <f t="shared" si="12"/>
        <v>3</v>
      </c>
      <c r="AE767" t="e">
        <f t="array" ref="AE767">IF(OR(H767&lt;N$3,H767&gt;N$7),H767,#N/A)</f>
        <v>#N/A</v>
      </c>
      <c r="AF767">
        <f t="shared" si="12"/>
        <v>4</v>
      </c>
      <c r="AG767" t="e">
        <f t="array" ref="AG767">IF(OR(I767&lt;O$3,I767&gt;O$7),I767,#N/A)</f>
        <v>#N/A</v>
      </c>
    </row>
    <row r="768" spans="5:33" x14ac:dyDescent="0.25">
      <c r="E768">
        <v>765</v>
      </c>
      <c r="F768">
        <v>14.909090909090908</v>
      </c>
      <c r="G768">
        <v>13.35</v>
      </c>
      <c r="H768">
        <v>13.78</v>
      </c>
      <c r="I768">
        <v>14.55</v>
      </c>
      <c r="Z768">
        <v>1</v>
      </c>
      <c r="AA768" t="e">
        <f t="array" ref="AA768">IF(OR(F768&lt;L$3,F768&gt;L$7),F768,#N/A)</f>
        <v>#N/A</v>
      </c>
      <c r="AB768">
        <f t="shared" si="12"/>
        <v>2</v>
      </c>
      <c r="AC768" t="e">
        <f t="array" ref="AC768">IF(OR(G768&lt;M$3,G768&gt;M$7),G768,#N/A)</f>
        <v>#N/A</v>
      </c>
      <c r="AD768">
        <f t="shared" si="12"/>
        <v>3</v>
      </c>
      <c r="AE768" t="e">
        <f t="array" ref="AE768">IF(OR(H768&lt;N$3,H768&gt;N$7),H768,#N/A)</f>
        <v>#N/A</v>
      </c>
      <c r="AF768">
        <f t="shared" si="12"/>
        <v>4</v>
      </c>
      <c r="AG768" t="e">
        <f t="array" ref="AG768">IF(OR(I768&lt;O$3,I768&gt;O$7),I768,#N/A)</f>
        <v>#N/A</v>
      </c>
    </row>
    <row r="769" spans="5:33" x14ac:dyDescent="0.25">
      <c r="E769">
        <v>766</v>
      </c>
      <c r="F769">
        <v>16.636363636363637</v>
      </c>
      <c r="G769">
        <v>14.25</v>
      </c>
      <c r="H769">
        <v>15.16</v>
      </c>
      <c r="I769">
        <v>14.5</v>
      </c>
      <c r="Z769">
        <v>1</v>
      </c>
      <c r="AA769" t="e">
        <f t="array" ref="AA769">IF(OR(F769&lt;L$3,F769&gt;L$7),F769,#N/A)</f>
        <v>#N/A</v>
      </c>
      <c r="AB769">
        <f t="shared" si="12"/>
        <v>2</v>
      </c>
      <c r="AC769" t="e">
        <f t="array" ref="AC769">IF(OR(G769&lt;M$3,G769&gt;M$7),G769,#N/A)</f>
        <v>#N/A</v>
      </c>
      <c r="AD769">
        <f t="shared" si="12"/>
        <v>3</v>
      </c>
      <c r="AE769" t="e">
        <f t="array" ref="AE769">IF(OR(H769&lt;N$3,H769&gt;N$7),H769,#N/A)</f>
        <v>#N/A</v>
      </c>
      <c r="AF769">
        <f t="shared" si="12"/>
        <v>4</v>
      </c>
      <c r="AG769" t="e">
        <f t="array" ref="AG769">IF(OR(I769&lt;O$3,I769&gt;O$7),I769,#N/A)</f>
        <v>#N/A</v>
      </c>
    </row>
    <row r="770" spans="5:33" x14ac:dyDescent="0.25">
      <c r="E770">
        <v>767</v>
      </c>
      <c r="F770">
        <v>13.909090909090908</v>
      </c>
      <c r="G770">
        <v>14.9</v>
      </c>
      <c r="H770">
        <v>13.8</v>
      </c>
      <c r="I770">
        <v>13.67</v>
      </c>
      <c r="Z770">
        <v>1</v>
      </c>
      <c r="AA770" t="e">
        <f t="array" ref="AA770">IF(OR(F770&lt;L$3,F770&gt;L$7),F770,#N/A)</f>
        <v>#N/A</v>
      </c>
      <c r="AB770">
        <f t="shared" si="12"/>
        <v>2</v>
      </c>
      <c r="AC770" t="e">
        <f t="array" ref="AC770">IF(OR(G770&lt;M$3,G770&gt;M$7),G770,#N/A)</f>
        <v>#N/A</v>
      </c>
      <c r="AD770">
        <f t="shared" si="12"/>
        <v>3</v>
      </c>
      <c r="AE770" t="e">
        <f t="array" ref="AE770">IF(OR(H770&lt;N$3,H770&gt;N$7),H770,#N/A)</f>
        <v>#N/A</v>
      </c>
      <c r="AF770">
        <f t="shared" si="12"/>
        <v>4</v>
      </c>
      <c r="AG770" t="e">
        <f t="array" ref="AG770">IF(OR(I770&lt;O$3,I770&gt;O$7),I770,#N/A)</f>
        <v>#N/A</v>
      </c>
    </row>
    <row r="771" spans="5:33" x14ac:dyDescent="0.25">
      <c r="E771">
        <v>768</v>
      </c>
      <c r="F771">
        <v>12.818181818181818</v>
      </c>
      <c r="G771">
        <v>12.15</v>
      </c>
      <c r="H771">
        <v>15.12</v>
      </c>
      <c r="I771">
        <v>14.37</v>
      </c>
      <c r="Z771">
        <v>1</v>
      </c>
      <c r="AA771" t="e">
        <f t="array" ref="AA771">IF(OR(F771&lt;L$3,F771&gt;L$7),F771,#N/A)</f>
        <v>#N/A</v>
      </c>
      <c r="AB771">
        <f t="shared" si="12"/>
        <v>2</v>
      </c>
      <c r="AC771" t="e">
        <f t="array" ref="AC771">IF(OR(G771&lt;M$3,G771&gt;M$7),G771,#N/A)</f>
        <v>#N/A</v>
      </c>
      <c r="AD771">
        <f t="shared" si="12"/>
        <v>3</v>
      </c>
      <c r="AE771" t="e">
        <f t="array" ref="AE771">IF(OR(H771&lt;N$3,H771&gt;N$7),H771,#N/A)</f>
        <v>#N/A</v>
      </c>
      <c r="AF771">
        <f t="shared" si="12"/>
        <v>4</v>
      </c>
      <c r="AG771" t="e">
        <f t="array" ref="AG771">IF(OR(I771&lt;O$3,I771&gt;O$7),I771,#N/A)</f>
        <v>#N/A</v>
      </c>
    </row>
    <row r="772" spans="5:33" x14ac:dyDescent="0.25">
      <c r="E772">
        <v>769</v>
      </c>
      <c r="F772">
        <v>15.909090909090908</v>
      </c>
      <c r="G772">
        <v>16.5</v>
      </c>
      <c r="H772">
        <v>14.26</v>
      </c>
      <c r="I772">
        <v>14.36</v>
      </c>
      <c r="Z772">
        <v>1</v>
      </c>
      <c r="AA772" t="e">
        <f t="array" ref="AA772">IF(OR(F772&lt;L$3,F772&gt;L$7),F772,#N/A)</f>
        <v>#N/A</v>
      </c>
      <c r="AB772">
        <f t="shared" si="12"/>
        <v>2</v>
      </c>
      <c r="AC772" t="e">
        <f t="array" ref="AC772">IF(OR(G772&lt;M$3,G772&gt;M$7),G772,#N/A)</f>
        <v>#N/A</v>
      </c>
      <c r="AD772">
        <f t="shared" si="12"/>
        <v>3</v>
      </c>
      <c r="AE772" t="e">
        <f t="array" ref="AE772">IF(OR(H772&lt;N$3,H772&gt;N$7),H772,#N/A)</f>
        <v>#N/A</v>
      </c>
      <c r="AF772">
        <f t="shared" si="12"/>
        <v>4</v>
      </c>
      <c r="AG772" t="e">
        <f t="array" ref="AG772">IF(OR(I772&lt;O$3,I772&gt;O$7),I772,#N/A)</f>
        <v>#N/A</v>
      </c>
    </row>
    <row r="773" spans="5:33" x14ac:dyDescent="0.25">
      <c r="E773">
        <v>770</v>
      </c>
      <c r="F773">
        <v>11.727272727272727</v>
      </c>
      <c r="G773">
        <v>13.3</v>
      </c>
      <c r="H773">
        <v>13.22</v>
      </c>
      <c r="I773">
        <v>14.08</v>
      </c>
      <c r="Z773">
        <v>1</v>
      </c>
      <c r="AA773" t="e">
        <f t="array" ref="AA773">IF(OR(F773&lt;L$3,F773&gt;L$7),F773,#N/A)</f>
        <v>#N/A</v>
      </c>
      <c r="AB773">
        <f t="shared" ref="AB773:AF836" si="13">Z773+1</f>
        <v>2</v>
      </c>
      <c r="AC773" t="e">
        <f t="array" ref="AC773">IF(OR(G773&lt;M$3,G773&gt;M$7),G773,#N/A)</f>
        <v>#N/A</v>
      </c>
      <c r="AD773">
        <f t="shared" si="13"/>
        <v>3</v>
      </c>
      <c r="AE773" t="e">
        <f t="array" ref="AE773">IF(OR(H773&lt;N$3,H773&gt;N$7),H773,#N/A)</f>
        <v>#N/A</v>
      </c>
      <c r="AF773">
        <f t="shared" si="13"/>
        <v>4</v>
      </c>
      <c r="AG773" t="e">
        <f t="array" ref="AG773">IF(OR(I773&lt;O$3,I773&gt;O$7),I773,#N/A)</f>
        <v>#N/A</v>
      </c>
    </row>
    <row r="774" spans="5:33" x14ac:dyDescent="0.25">
      <c r="E774">
        <v>771</v>
      </c>
      <c r="F774">
        <v>15.636363636363637</v>
      </c>
      <c r="G774">
        <v>16.649999999999999</v>
      </c>
      <c r="H774">
        <v>15.54</v>
      </c>
      <c r="I774">
        <v>14.56</v>
      </c>
      <c r="Z774">
        <v>1</v>
      </c>
      <c r="AA774" t="e">
        <f t="array" ref="AA774">IF(OR(F774&lt;L$3,F774&gt;L$7),F774,#N/A)</f>
        <v>#N/A</v>
      </c>
      <c r="AB774">
        <f t="shared" si="13"/>
        <v>2</v>
      </c>
      <c r="AC774" t="e">
        <f t="array" ref="AC774">IF(OR(G774&lt;M$3,G774&gt;M$7),G774,#N/A)</f>
        <v>#N/A</v>
      </c>
      <c r="AD774">
        <f t="shared" si="13"/>
        <v>3</v>
      </c>
      <c r="AE774" t="e">
        <f t="array" ref="AE774">IF(OR(H774&lt;N$3,H774&gt;N$7),H774,#N/A)</f>
        <v>#N/A</v>
      </c>
      <c r="AF774">
        <f t="shared" si="13"/>
        <v>4</v>
      </c>
      <c r="AG774" t="e">
        <f t="array" ref="AG774">IF(OR(I774&lt;O$3,I774&gt;O$7),I774,#N/A)</f>
        <v>#N/A</v>
      </c>
    </row>
    <row r="775" spans="5:33" x14ac:dyDescent="0.25">
      <c r="E775">
        <v>772</v>
      </c>
      <c r="F775">
        <v>20.181818181818183</v>
      </c>
      <c r="G775">
        <v>17.850000000000001</v>
      </c>
      <c r="H775">
        <v>13.72</v>
      </c>
      <c r="I775">
        <v>13.8</v>
      </c>
      <c r="Z775">
        <v>1</v>
      </c>
      <c r="AA775">
        <f t="array" ref="AA775">IF(OR(F775&lt;L$3,F775&gt;L$7),F775,#N/A)</f>
        <v>20.181818181818183</v>
      </c>
      <c r="AB775">
        <f t="shared" si="13"/>
        <v>2</v>
      </c>
      <c r="AC775" t="e">
        <f t="array" ref="AC775">IF(OR(G775&lt;M$3,G775&gt;M$7),G775,#N/A)</f>
        <v>#N/A</v>
      </c>
      <c r="AD775">
        <f t="shared" si="13"/>
        <v>3</v>
      </c>
      <c r="AE775" t="e">
        <f t="array" ref="AE775">IF(OR(H775&lt;N$3,H775&gt;N$7),H775,#N/A)</f>
        <v>#N/A</v>
      </c>
      <c r="AF775">
        <f t="shared" si="13"/>
        <v>4</v>
      </c>
      <c r="AG775" t="e">
        <f t="array" ref="AG775">IF(OR(I775&lt;O$3,I775&gt;O$7),I775,#N/A)</f>
        <v>#N/A</v>
      </c>
    </row>
    <row r="776" spans="5:33" x14ac:dyDescent="0.25">
      <c r="E776">
        <v>773</v>
      </c>
      <c r="F776">
        <v>12.818181818181818</v>
      </c>
      <c r="G776">
        <v>15.15</v>
      </c>
      <c r="H776">
        <v>14.8</v>
      </c>
      <c r="I776">
        <v>13.99</v>
      </c>
      <c r="Z776">
        <v>1</v>
      </c>
      <c r="AA776" t="e">
        <f t="array" ref="AA776">IF(OR(F776&lt;L$3,F776&gt;L$7),F776,#N/A)</f>
        <v>#N/A</v>
      </c>
      <c r="AB776">
        <f t="shared" si="13"/>
        <v>2</v>
      </c>
      <c r="AC776" t="e">
        <f t="array" ref="AC776">IF(OR(G776&lt;M$3,G776&gt;M$7),G776,#N/A)</f>
        <v>#N/A</v>
      </c>
      <c r="AD776">
        <f t="shared" si="13"/>
        <v>3</v>
      </c>
      <c r="AE776" t="e">
        <f t="array" ref="AE776">IF(OR(H776&lt;N$3,H776&gt;N$7),H776,#N/A)</f>
        <v>#N/A</v>
      </c>
      <c r="AF776">
        <f t="shared" si="13"/>
        <v>4</v>
      </c>
      <c r="AG776" t="e">
        <f t="array" ref="AG776">IF(OR(I776&lt;O$3,I776&gt;O$7),I776,#N/A)</f>
        <v>#N/A</v>
      </c>
    </row>
    <row r="777" spans="5:33" x14ac:dyDescent="0.25">
      <c r="E777">
        <v>774</v>
      </c>
      <c r="F777">
        <v>11.818181818181818</v>
      </c>
      <c r="G777">
        <v>12.65</v>
      </c>
      <c r="H777">
        <v>14.5</v>
      </c>
      <c r="I777">
        <v>13.98</v>
      </c>
      <c r="Z777">
        <v>1</v>
      </c>
      <c r="AA777" t="e">
        <f t="array" ref="AA777">IF(OR(F777&lt;L$3,F777&gt;L$7),F777,#N/A)</f>
        <v>#N/A</v>
      </c>
      <c r="AB777">
        <f t="shared" si="13"/>
        <v>2</v>
      </c>
      <c r="AC777" t="e">
        <f t="array" ref="AC777">IF(OR(G777&lt;M$3,G777&gt;M$7),G777,#N/A)</f>
        <v>#N/A</v>
      </c>
      <c r="AD777">
        <f t="shared" si="13"/>
        <v>3</v>
      </c>
      <c r="AE777" t="e">
        <f t="array" ref="AE777">IF(OR(H777&lt;N$3,H777&gt;N$7),H777,#N/A)</f>
        <v>#N/A</v>
      </c>
      <c r="AF777">
        <f t="shared" si="13"/>
        <v>4</v>
      </c>
      <c r="AG777" t="e">
        <f t="array" ref="AG777">IF(OR(I777&lt;O$3,I777&gt;O$7),I777,#N/A)</f>
        <v>#N/A</v>
      </c>
    </row>
    <row r="778" spans="5:33" x14ac:dyDescent="0.25">
      <c r="E778">
        <v>775</v>
      </c>
      <c r="F778">
        <v>14.818181818181818</v>
      </c>
      <c r="G778">
        <v>13.1</v>
      </c>
      <c r="H778">
        <v>12.88</v>
      </c>
      <c r="I778">
        <v>13.62</v>
      </c>
      <c r="Z778">
        <v>1</v>
      </c>
      <c r="AA778" t="e">
        <f t="array" ref="AA778">IF(OR(F778&lt;L$3,F778&gt;L$7),F778,#N/A)</f>
        <v>#N/A</v>
      </c>
      <c r="AB778">
        <f t="shared" si="13"/>
        <v>2</v>
      </c>
      <c r="AC778" t="e">
        <f t="array" ref="AC778">IF(OR(G778&lt;M$3,G778&gt;M$7),G778,#N/A)</f>
        <v>#N/A</v>
      </c>
      <c r="AD778">
        <f t="shared" si="13"/>
        <v>3</v>
      </c>
      <c r="AE778" t="e">
        <f t="array" ref="AE778">IF(OR(H778&lt;N$3,H778&gt;N$7),H778,#N/A)</f>
        <v>#N/A</v>
      </c>
      <c r="AF778">
        <f t="shared" si="13"/>
        <v>4</v>
      </c>
      <c r="AG778" t="e">
        <f t="array" ref="AG778">IF(OR(I778&lt;O$3,I778&gt;O$7),I778,#N/A)</f>
        <v>#N/A</v>
      </c>
    </row>
    <row r="779" spans="5:33" x14ac:dyDescent="0.25">
      <c r="E779">
        <v>776</v>
      </c>
      <c r="F779">
        <v>14.090909090909092</v>
      </c>
      <c r="G779">
        <v>15.4</v>
      </c>
      <c r="H779">
        <v>13.64</v>
      </c>
      <c r="I779">
        <v>13.81</v>
      </c>
      <c r="Z779">
        <v>1</v>
      </c>
      <c r="AA779" t="e">
        <f t="array" ref="AA779">IF(OR(F779&lt;L$3,F779&gt;L$7),F779,#N/A)</f>
        <v>#N/A</v>
      </c>
      <c r="AB779">
        <f t="shared" si="13"/>
        <v>2</v>
      </c>
      <c r="AC779" t="e">
        <f t="array" ref="AC779">IF(OR(G779&lt;M$3,G779&gt;M$7),G779,#N/A)</f>
        <v>#N/A</v>
      </c>
      <c r="AD779">
        <f t="shared" si="13"/>
        <v>3</v>
      </c>
      <c r="AE779" t="e">
        <f t="array" ref="AE779">IF(OR(H779&lt;N$3,H779&gt;N$7),H779,#N/A)</f>
        <v>#N/A</v>
      </c>
      <c r="AF779">
        <f t="shared" si="13"/>
        <v>4</v>
      </c>
      <c r="AG779" t="e">
        <f t="array" ref="AG779">IF(OR(I779&lt;O$3,I779&gt;O$7),I779,#N/A)</f>
        <v>#N/A</v>
      </c>
    </row>
    <row r="780" spans="5:33" x14ac:dyDescent="0.25">
      <c r="E780">
        <v>777</v>
      </c>
      <c r="F780">
        <v>11.636363636363637</v>
      </c>
      <c r="G780">
        <v>12.05</v>
      </c>
      <c r="H780">
        <v>13.88</v>
      </c>
      <c r="I780">
        <v>13.58</v>
      </c>
      <c r="Z780">
        <v>1</v>
      </c>
      <c r="AA780" t="e">
        <f t="array" ref="AA780">IF(OR(F780&lt;L$3,F780&gt;L$7),F780,#N/A)</f>
        <v>#N/A</v>
      </c>
      <c r="AB780">
        <f t="shared" si="13"/>
        <v>2</v>
      </c>
      <c r="AC780" t="e">
        <f t="array" ref="AC780">IF(OR(G780&lt;M$3,G780&gt;M$7),G780,#N/A)</f>
        <v>#N/A</v>
      </c>
      <c r="AD780">
        <f t="shared" si="13"/>
        <v>3</v>
      </c>
      <c r="AE780" t="e">
        <f t="array" ref="AE780">IF(OR(H780&lt;N$3,H780&gt;N$7),H780,#N/A)</f>
        <v>#N/A</v>
      </c>
      <c r="AF780">
        <f t="shared" si="13"/>
        <v>4</v>
      </c>
      <c r="AG780" t="e">
        <f t="array" ref="AG780">IF(OR(I780&lt;O$3,I780&gt;O$7),I780,#N/A)</f>
        <v>#N/A</v>
      </c>
    </row>
    <row r="781" spans="5:33" x14ac:dyDescent="0.25">
      <c r="E781">
        <v>778</v>
      </c>
      <c r="F781">
        <v>17.09090909090909</v>
      </c>
      <c r="G781">
        <v>16.100000000000001</v>
      </c>
      <c r="H781">
        <v>13.86</v>
      </c>
      <c r="I781">
        <v>13.46</v>
      </c>
      <c r="Z781">
        <v>1</v>
      </c>
      <c r="AA781" t="e">
        <f t="array" ref="AA781">IF(OR(F781&lt;L$3,F781&gt;L$7),F781,#N/A)</f>
        <v>#N/A</v>
      </c>
      <c r="AB781">
        <f t="shared" si="13"/>
        <v>2</v>
      </c>
      <c r="AC781" t="e">
        <f t="array" ref="AC781">IF(OR(G781&lt;M$3,G781&gt;M$7),G781,#N/A)</f>
        <v>#N/A</v>
      </c>
      <c r="AD781">
        <f t="shared" si="13"/>
        <v>3</v>
      </c>
      <c r="AE781" t="e">
        <f t="array" ref="AE781">IF(OR(H781&lt;N$3,H781&gt;N$7),H781,#N/A)</f>
        <v>#N/A</v>
      </c>
      <c r="AF781">
        <f t="shared" si="13"/>
        <v>4</v>
      </c>
      <c r="AG781" t="e">
        <f t="array" ref="AG781">IF(OR(I781&lt;O$3,I781&gt;O$7),I781,#N/A)</f>
        <v>#N/A</v>
      </c>
    </row>
    <row r="782" spans="5:33" x14ac:dyDescent="0.25">
      <c r="E782">
        <v>779</v>
      </c>
      <c r="F782">
        <v>14.818181818181818</v>
      </c>
      <c r="G782">
        <v>14</v>
      </c>
      <c r="H782">
        <v>14.28</v>
      </c>
      <c r="I782">
        <v>13.35</v>
      </c>
      <c r="Z782">
        <v>1</v>
      </c>
      <c r="AA782" t="e">
        <f t="array" ref="AA782">IF(OR(F782&lt;L$3,F782&gt;L$7),F782,#N/A)</f>
        <v>#N/A</v>
      </c>
      <c r="AB782">
        <f t="shared" si="13"/>
        <v>2</v>
      </c>
      <c r="AC782" t="e">
        <f t="array" ref="AC782">IF(OR(G782&lt;M$3,G782&gt;M$7),G782,#N/A)</f>
        <v>#N/A</v>
      </c>
      <c r="AD782">
        <f t="shared" si="13"/>
        <v>3</v>
      </c>
      <c r="AE782" t="e">
        <f t="array" ref="AE782">IF(OR(H782&lt;N$3,H782&gt;N$7),H782,#N/A)</f>
        <v>#N/A</v>
      </c>
      <c r="AF782">
        <f t="shared" si="13"/>
        <v>4</v>
      </c>
      <c r="AG782" t="e">
        <f t="array" ref="AG782">IF(OR(I782&lt;O$3,I782&gt;O$7),I782,#N/A)</f>
        <v>#N/A</v>
      </c>
    </row>
    <row r="783" spans="5:33" x14ac:dyDescent="0.25">
      <c r="E783">
        <v>780</v>
      </c>
      <c r="F783">
        <v>17</v>
      </c>
      <c r="G783">
        <v>15.55</v>
      </c>
      <c r="H783">
        <v>15.56</v>
      </c>
      <c r="I783">
        <v>13.53</v>
      </c>
      <c r="Z783">
        <v>1</v>
      </c>
      <c r="AA783" t="e">
        <f t="array" ref="AA783">IF(OR(F783&lt;L$3,F783&gt;L$7),F783,#N/A)</f>
        <v>#N/A</v>
      </c>
      <c r="AB783">
        <f t="shared" si="13"/>
        <v>2</v>
      </c>
      <c r="AC783" t="e">
        <f t="array" ref="AC783">IF(OR(G783&lt;M$3,G783&gt;M$7),G783,#N/A)</f>
        <v>#N/A</v>
      </c>
      <c r="AD783">
        <f t="shared" si="13"/>
        <v>3</v>
      </c>
      <c r="AE783" t="e">
        <f t="array" ref="AE783">IF(OR(H783&lt;N$3,H783&gt;N$7),H783,#N/A)</f>
        <v>#N/A</v>
      </c>
      <c r="AF783">
        <f t="shared" si="13"/>
        <v>4</v>
      </c>
      <c r="AG783" t="e">
        <f t="array" ref="AG783">IF(OR(I783&lt;O$3,I783&gt;O$7),I783,#N/A)</f>
        <v>#N/A</v>
      </c>
    </row>
    <row r="784" spans="5:33" x14ac:dyDescent="0.25">
      <c r="E784">
        <v>781</v>
      </c>
      <c r="F784">
        <v>13.909090909090908</v>
      </c>
      <c r="G784">
        <v>14.15</v>
      </c>
      <c r="H784">
        <v>15.08</v>
      </c>
      <c r="I784">
        <v>15.51</v>
      </c>
      <c r="Z784">
        <v>1</v>
      </c>
      <c r="AA784" t="e">
        <f t="array" ref="AA784">IF(OR(F784&lt;L$3,F784&gt;L$7),F784,#N/A)</f>
        <v>#N/A</v>
      </c>
      <c r="AB784">
        <f t="shared" si="13"/>
        <v>2</v>
      </c>
      <c r="AC784" t="e">
        <f t="array" ref="AC784">IF(OR(G784&lt;M$3,G784&gt;M$7),G784,#N/A)</f>
        <v>#N/A</v>
      </c>
      <c r="AD784">
        <f t="shared" si="13"/>
        <v>3</v>
      </c>
      <c r="AE784" t="e">
        <f t="array" ref="AE784">IF(OR(H784&lt;N$3,H784&gt;N$7),H784,#N/A)</f>
        <v>#N/A</v>
      </c>
      <c r="AF784">
        <f t="shared" si="13"/>
        <v>4</v>
      </c>
      <c r="AG784" t="e">
        <f t="array" ref="AG784">IF(OR(I784&lt;O$3,I784&gt;O$7),I784,#N/A)</f>
        <v>#N/A</v>
      </c>
    </row>
    <row r="785" spans="5:33" x14ac:dyDescent="0.25">
      <c r="E785">
        <v>782</v>
      </c>
      <c r="F785">
        <v>11.181818181818182</v>
      </c>
      <c r="G785">
        <v>12</v>
      </c>
      <c r="H785">
        <v>11.42</v>
      </c>
      <c r="I785">
        <v>13.04</v>
      </c>
      <c r="Z785">
        <v>1</v>
      </c>
      <c r="AA785" t="e">
        <f t="array" ref="AA785">IF(OR(F785&lt;L$3,F785&gt;L$7),F785,#N/A)</f>
        <v>#N/A</v>
      </c>
      <c r="AB785">
        <f t="shared" si="13"/>
        <v>2</v>
      </c>
      <c r="AC785" t="e">
        <f t="array" ref="AC785">IF(OR(G785&lt;M$3,G785&gt;M$7),G785,#N/A)</f>
        <v>#N/A</v>
      </c>
      <c r="AD785">
        <f t="shared" si="13"/>
        <v>3</v>
      </c>
      <c r="AE785" t="e">
        <f t="array" ref="AE785">IF(OR(H785&lt;N$3,H785&gt;N$7),H785,#N/A)</f>
        <v>#N/A</v>
      </c>
      <c r="AF785">
        <f t="shared" si="13"/>
        <v>4</v>
      </c>
      <c r="AG785" t="e">
        <f t="array" ref="AG785">IF(OR(I785&lt;O$3,I785&gt;O$7),I785,#N/A)</f>
        <v>#N/A</v>
      </c>
    </row>
    <row r="786" spans="5:33" x14ac:dyDescent="0.25">
      <c r="E786">
        <v>783</v>
      </c>
      <c r="F786">
        <v>13.818181818181818</v>
      </c>
      <c r="G786">
        <v>13.05</v>
      </c>
      <c r="H786">
        <v>13.08</v>
      </c>
      <c r="I786">
        <v>14.33</v>
      </c>
      <c r="Z786">
        <v>1</v>
      </c>
      <c r="AA786" t="e">
        <f t="array" ref="AA786">IF(OR(F786&lt;L$3,F786&gt;L$7),F786,#N/A)</f>
        <v>#N/A</v>
      </c>
      <c r="AB786">
        <f t="shared" si="13"/>
        <v>2</v>
      </c>
      <c r="AC786" t="e">
        <f t="array" ref="AC786">IF(OR(G786&lt;M$3,G786&gt;M$7),G786,#N/A)</f>
        <v>#N/A</v>
      </c>
      <c r="AD786">
        <f t="shared" si="13"/>
        <v>3</v>
      </c>
      <c r="AE786" t="e">
        <f t="array" ref="AE786">IF(OR(H786&lt;N$3,H786&gt;N$7),H786,#N/A)</f>
        <v>#N/A</v>
      </c>
      <c r="AF786">
        <f t="shared" si="13"/>
        <v>4</v>
      </c>
      <c r="AG786" t="e">
        <f t="array" ref="AG786">IF(OR(I786&lt;O$3,I786&gt;O$7),I786,#N/A)</f>
        <v>#N/A</v>
      </c>
    </row>
    <row r="787" spans="5:33" x14ac:dyDescent="0.25">
      <c r="E787">
        <v>784</v>
      </c>
      <c r="F787">
        <v>16.545454545454547</v>
      </c>
      <c r="G787">
        <v>13.65</v>
      </c>
      <c r="H787">
        <v>13.92</v>
      </c>
      <c r="I787">
        <v>14.82</v>
      </c>
      <c r="Z787">
        <v>1</v>
      </c>
      <c r="AA787" t="e">
        <f t="array" ref="AA787">IF(OR(F787&lt;L$3,F787&gt;L$7),F787,#N/A)</f>
        <v>#N/A</v>
      </c>
      <c r="AB787">
        <f t="shared" si="13"/>
        <v>2</v>
      </c>
      <c r="AC787" t="e">
        <f t="array" ref="AC787">IF(OR(G787&lt;M$3,G787&gt;M$7),G787,#N/A)</f>
        <v>#N/A</v>
      </c>
      <c r="AD787">
        <f t="shared" si="13"/>
        <v>3</v>
      </c>
      <c r="AE787" t="e">
        <f t="array" ref="AE787">IF(OR(H787&lt;N$3,H787&gt;N$7),H787,#N/A)</f>
        <v>#N/A</v>
      </c>
      <c r="AF787">
        <f t="shared" si="13"/>
        <v>4</v>
      </c>
      <c r="AG787" t="e">
        <f t="array" ref="AG787">IF(OR(I787&lt;O$3,I787&gt;O$7),I787,#N/A)</f>
        <v>#N/A</v>
      </c>
    </row>
    <row r="788" spans="5:33" x14ac:dyDescent="0.25">
      <c r="E788">
        <v>785</v>
      </c>
      <c r="F788">
        <v>12.454545454545455</v>
      </c>
      <c r="G788">
        <v>13.35</v>
      </c>
      <c r="H788">
        <v>13.82</v>
      </c>
      <c r="I788">
        <v>13.43</v>
      </c>
      <c r="Z788">
        <v>1</v>
      </c>
      <c r="AA788" t="e">
        <f t="array" ref="AA788">IF(OR(F788&lt;L$3,F788&gt;L$7),F788,#N/A)</f>
        <v>#N/A</v>
      </c>
      <c r="AB788">
        <f t="shared" si="13"/>
        <v>2</v>
      </c>
      <c r="AC788" t="e">
        <f t="array" ref="AC788">IF(OR(G788&lt;M$3,G788&gt;M$7),G788,#N/A)</f>
        <v>#N/A</v>
      </c>
      <c r="AD788">
        <f t="shared" si="13"/>
        <v>3</v>
      </c>
      <c r="AE788" t="e">
        <f t="array" ref="AE788">IF(OR(H788&lt;N$3,H788&gt;N$7),H788,#N/A)</f>
        <v>#N/A</v>
      </c>
      <c r="AF788">
        <f t="shared" si="13"/>
        <v>4</v>
      </c>
      <c r="AG788" t="e">
        <f t="array" ref="AG788">IF(OR(I788&lt;O$3,I788&gt;O$7),I788,#N/A)</f>
        <v>#N/A</v>
      </c>
    </row>
    <row r="789" spans="5:33" x14ac:dyDescent="0.25">
      <c r="E789">
        <v>786</v>
      </c>
      <c r="F789">
        <v>13.727272727272727</v>
      </c>
      <c r="G789">
        <v>15</v>
      </c>
      <c r="H789">
        <v>13.5</v>
      </c>
      <c r="I789">
        <v>14.36</v>
      </c>
      <c r="Z789">
        <v>1</v>
      </c>
      <c r="AA789" t="e">
        <f t="array" ref="AA789">IF(OR(F789&lt;L$3,F789&gt;L$7),F789,#N/A)</f>
        <v>#N/A</v>
      </c>
      <c r="AB789">
        <f t="shared" si="13"/>
        <v>2</v>
      </c>
      <c r="AC789" t="e">
        <f t="array" ref="AC789">IF(OR(G789&lt;M$3,G789&gt;M$7),G789,#N/A)</f>
        <v>#N/A</v>
      </c>
      <c r="AD789">
        <f t="shared" si="13"/>
        <v>3</v>
      </c>
      <c r="AE789" t="e">
        <f t="array" ref="AE789">IF(OR(H789&lt;N$3,H789&gt;N$7),H789,#N/A)</f>
        <v>#N/A</v>
      </c>
      <c r="AF789">
        <f t="shared" si="13"/>
        <v>4</v>
      </c>
      <c r="AG789" t="e">
        <f t="array" ref="AG789">IF(OR(I789&lt;O$3,I789&gt;O$7),I789,#N/A)</f>
        <v>#N/A</v>
      </c>
    </row>
    <row r="790" spans="5:33" x14ac:dyDescent="0.25">
      <c r="E790">
        <v>787</v>
      </c>
      <c r="F790">
        <v>15.272727272727273</v>
      </c>
      <c r="G790">
        <v>14.3</v>
      </c>
      <c r="H790">
        <v>14.52</v>
      </c>
      <c r="I790">
        <v>13.88</v>
      </c>
      <c r="Z790">
        <v>1</v>
      </c>
      <c r="AA790" t="e">
        <f t="array" ref="AA790">IF(OR(F790&lt;L$3,F790&gt;L$7),F790,#N/A)</f>
        <v>#N/A</v>
      </c>
      <c r="AB790">
        <f t="shared" si="13"/>
        <v>2</v>
      </c>
      <c r="AC790" t="e">
        <f t="array" ref="AC790">IF(OR(G790&lt;M$3,G790&gt;M$7),G790,#N/A)</f>
        <v>#N/A</v>
      </c>
      <c r="AD790">
        <f t="shared" si="13"/>
        <v>3</v>
      </c>
      <c r="AE790" t="e">
        <f t="array" ref="AE790">IF(OR(H790&lt;N$3,H790&gt;N$7),H790,#N/A)</f>
        <v>#N/A</v>
      </c>
      <c r="AF790">
        <f t="shared" si="13"/>
        <v>4</v>
      </c>
      <c r="AG790" t="e">
        <f t="array" ref="AG790">IF(OR(I790&lt;O$3,I790&gt;O$7),I790,#N/A)</f>
        <v>#N/A</v>
      </c>
    </row>
    <row r="791" spans="5:33" x14ac:dyDescent="0.25">
      <c r="E791">
        <v>788</v>
      </c>
      <c r="F791">
        <v>15.545454545454545</v>
      </c>
      <c r="G791">
        <v>15</v>
      </c>
      <c r="H791">
        <v>14.4</v>
      </c>
      <c r="I791">
        <v>14.21</v>
      </c>
      <c r="Z791">
        <v>1</v>
      </c>
      <c r="AA791" t="e">
        <f t="array" ref="AA791">IF(OR(F791&lt;L$3,F791&gt;L$7),F791,#N/A)</f>
        <v>#N/A</v>
      </c>
      <c r="AB791">
        <f t="shared" si="13"/>
        <v>2</v>
      </c>
      <c r="AC791" t="e">
        <f t="array" ref="AC791">IF(OR(G791&lt;M$3,G791&gt;M$7),G791,#N/A)</f>
        <v>#N/A</v>
      </c>
      <c r="AD791">
        <f t="shared" si="13"/>
        <v>3</v>
      </c>
      <c r="AE791" t="e">
        <f t="array" ref="AE791">IF(OR(H791&lt;N$3,H791&gt;N$7),H791,#N/A)</f>
        <v>#N/A</v>
      </c>
      <c r="AF791">
        <f t="shared" si="13"/>
        <v>4</v>
      </c>
      <c r="AG791" t="e">
        <f t="array" ref="AG791">IF(OR(I791&lt;O$3,I791&gt;O$7),I791,#N/A)</f>
        <v>#N/A</v>
      </c>
    </row>
    <row r="792" spans="5:33" x14ac:dyDescent="0.25">
      <c r="E792">
        <v>789</v>
      </c>
      <c r="F792">
        <v>21.818181818181817</v>
      </c>
      <c r="G792">
        <v>21.25</v>
      </c>
      <c r="H792">
        <v>16.72</v>
      </c>
      <c r="I792">
        <v>15.01</v>
      </c>
      <c r="Z792">
        <v>1</v>
      </c>
      <c r="AA792">
        <f t="array" ref="AA792">IF(OR(F792&lt;L$3,F792&gt;L$7),F792,#N/A)</f>
        <v>21.818181818181817</v>
      </c>
      <c r="AB792">
        <f t="shared" si="13"/>
        <v>2</v>
      </c>
      <c r="AC792">
        <f t="array" ref="AC792">IF(OR(G792&lt;M$3,G792&gt;M$7),G792,#N/A)</f>
        <v>21.25</v>
      </c>
      <c r="AD792">
        <f t="shared" si="13"/>
        <v>3</v>
      </c>
      <c r="AE792" t="e">
        <f t="array" ref="AE792">IF(OR(H792&lt;N$3,H792&gt;N$7),H792,#N/A)</f>
        <v>#N/A</v>
      </c>
      <c r="AF792">
        <f t="shared" si="13"/>
        <v>4</v>
      </c>
      <c r="AG792" t="e">
        <f t="array" ref="AG792">IF(OR(I792&lt;O$3,I792&gt;O$7),I792,#N/A)</f>
        <v>#N/A</v>
      </c>
    </row>
    <row r="793" spans="5:33" x14ac:dyDescent="0.25">
      <c r="E793">
        <v>790</v>
      </c>
      <c r="F793">
        <v>14</v>
      </c>
      <c r="G793">
        <v>16.75</v>
      </c>
      <c r="H793">
        <v>15.7</v>
      </c>
      <c r="I793">
        <v>14.95</v>
      </c>
      <c r="Z793">
        <v>1</v>
      </c>
      <c r="AA793" t="e">
        <f t="array" ref="AA793">IF(OR(F793&lt;L$3,F793&gt;L$7),F793,#N/A)</f>
        <v>#N/A</v>
      </c>
      <c r="AB793">
        <f t="shared" si="13"/>
        <v>2</v>
      </c>
      <c r="AC793" t="e">
        <f t="array" ref="AC793">IF(OR(G793&lt;M$3,G793&gt;M$7),G793,#N/A)</f>
        <v>#N/A</v>
      </c>
      <c r="AD793">
        <f t="shared" si="13"/>
        <v>3</v>
      </c>
      <c r="AE793" t="e">
        <f t="array" ref="AE793">IF(OR(H793&lt;N$3,H793&gt;N$7),H793,#N/A)</f>
        <v>#N/A</v>
      </c>
      <c r="AF793">
        <f t="shared" si="13"/>
        <v>4</v>
      </c>
      <c r="AG793" t="e">
        <f t="array" ref="AG793">IF(OR(I793&lt;O$3,I793&gt;O$7),I793,#N/A)</f>
        <v>#N/A</v>
      </c>
    </row>
    <row r="794" spans="5:33" x14ac:dyDescent="0.25">
      <c r="E794">
        <v>791</v>
      </c>
      <c r="F794">
        <v>14.090909090909092</v>
      </c>
      <c r="G794">
        <v>12.95</v>
      </c>
      <c r="H794">
        <v>13.78</v>
      </c>
      <c r="I794">
        <v>14.1</v>
      </c>
      <c r="Z794">
        <v>1</v>
      </c>
      <c r="AA794" t="e">
        <f t="array" ref="AA794">IF(OR(F794&lt;L$3,F794&gt;L$7),F794,#N/A)</f>
        <v>#N/A</v>
      </c>
      <c r="AB794">
        <f t="shared" si="13"/>
        <v>2</v>
      </c>
      <c r="AC794" t="e">
        <f t="array" ref="AC794">IF(OR(G794&lt;M$3,G794&gt;M$7),G794,#N/A)</f>
        <v>#N/A</v>
      </c>
      <c r="AD794">
        <f t="shared" si="13"/>
        <v>3</v>
      </c>
      <c r="AE794" t="e">
        <f t="array" ref="AE794">IF(OR(H794&lt;N$3,H794&gt;N$7),H794,#N/A)</f>
        <v>#N/A</v>
      </c>
      <c r="AF794">
        <f t="shared" si="13"/>
        <v>4</v>
      </c>
      <c r="AG794" t="e">
        <f t="array" ref="AG794">IF(OR(I794&lt;O$3,I794&gt;O$7),I794,#N/A)</f>
        <v>#N/A</v>
      </c>
    </row>
    <row r="795" spans="5:33" x14ac:dyDescent="0.25">
      <c r="E795">
        <v>792</v>
      </c>
      <c r="F795">
        <v>13.454545454545455</v>
      </c>
      <c r="G795">
        <v>15.15</v>
      </c>
      <c r="H795">
        <v>13.68</v>
      </c>
      <c r="I795">
        <v>13.11</v>
      </c>
      <c r="Z795">
        <v>1</v>
      </c>
      <c r="AA795" t="e">
        <f t="array" ref="AA795">IF(OR(F795&lt;L$3,F795&gt;L$7),F795,#N/A)</f>
        <v>#N/A</v>
      </c>
      <c r="AB795">
        <f t="shared" si="13"/>
        <v>2</v>
      </c>
      <c r="AC795" t="e">
        <f t="array" ref="AC795">IF(OR(G795&lt;M$3,G795&gt;M$7),G795,#N/A)</f>
        <v>#N/A</v>
      </c>
      <c r="AD795">
        <f t="shared" si="13"/>
        <v>3</v>
      </c>
      <c r="AE795" t="e">
        <f t="array" ref="AE795">IF(OR(H795&lt;N$3,H795&gt;N$7),H795,#N/A)</f>
        <v>#N/A</v>
      </c>
      <c r="AF795">
        <f t="shared" si="13"/>
        <v>4</v>
      </c>
      <c r="AG795" t="e">
        <f t="array" ref="AG795">IF(OR(I795&lt;O$3,I795&gt;O$7),I795,#N/A)</f>
        <v>#N/A</v>
      </c>
    </row>
    <row r="796" spans="5:33" x14ac:dyDescent="0.25">
      <c r="E796">
        <v>793</v>
      </c>
      <c r="F796">
        <v>11.181818181818182</v>
      </c>
      <c r="G796">
        <v>12.4</v>
      </c>
      <c r="H796">
        <v>13.22</v>
      </c>
      <c r="I796">
        <v>13.7</v>
      </c>
      <c r="Z796">
        <v>1</v>
      </c>
      <c r="AA796" t="e">
        <f t="array" ref="AA796">IF(OR(F796&lt;L$3,F796&gt;L$7),F796,#N/A)</f>
        <v>#N/A</v>
      </c>
      <c r="AB796">
        <f t="shared" si="13"/>
        <v>2</v>
      </c>
      <c r="AC796" t="e">
        <f t="array" ref="AC796">IF(OR(G796&lt;M$3,G796&gt;M$7),G796,#N/A)</f>
        <v>#N/A</v>
      </c>
      <c r="AD796">
        <f t="shared" si="13"/>
        <v>3</v>
      </c>
      <c r="AE796" t="e">
        <f t="array" ref="AE796">IF(OR(H796&lt;N$3,H796&gt;N$7),H796,#N/A)</f>
        <v>#N/A</v>
      </c>
      <c r="AF796">
        <f t="shared" si="13"/>
        <v>4</v>
      </c>
      <c r="AG796" t="e">
        <f t="array" ref="AG796">IF(OR(I796&lt;O$3,I796&gt;O$7),I796,#N/A)</f>
        <v>#N/A</v>
      </c>
    </row>
    <row r="797" spans="5:33" x14ac:dyDescent="0.25">
      <c r="E797">
        <v>794</v>
      </c>
      <c r="F797">
        <v>15.909090909090908</v>
      </c>
      <c r="G797">
        <v>14.25</v>
      </c>
      <c r="H797">
        <v>14.26</v>
      </c>
      <c r="I797">
        <v>14.63</v>
      </c>
      <c r="Z797">
        <v>1</v>
      </c>
      <c r="AA797" t="e">
        <f t="array" ref="AA797">IF(OR(F797&lt;L$3,F797&gt;L$7),F797,#N/A)</f>
        <v>#N/A</v>
      </c>
      <c r="AB797">
        <f t="shared" si="13"/>
        <v>2</v>
      </c>
      <c r="AC797" t="e">
        <f t="array" ref="AC797">IF(OR(G797&lt;M$3,G797&gt;M$7),G797,#N/A)</f>
        <v>#N/A</v>
      </c>
      <c r="AD797">
        <f t="shared" si="13"/>
        <v>3</v>
      </c>
      <c r="AE797" t="e">
        <f t="array" ref="AE797">IF(OR(H797&lt;N$3,H797&gt;N$7),H797,#N/A)</f>
        <v>#N/A</v>
      </c>
      <c r="AF797">
        <f t="shared" si="13"/>
        <v>4</v>
      </c>
      <c r="AG797" t="e">
        <f t="array" ref="AG797">IF(OR(I797&lt;O$3,I797&gt;O$7),I797,#N/A)</f>
        <v>#N/A</v>
      </c>
    </row>
    <row r="798" spans="5:33" x14ac:dyDescent="0.25">
      <c r="E798">
        <v>795</v>
      </c>
      <c r="F798">
        <v>18.181818181818183</v>
      </c>
      <c r="G798">
        <v>17.05</v>
      </c>
      <c r="H798">
        <v>15.16</v>
      </c>
      <c r="I798">
        <v>14.09</v>
      </c>
      <c r="Z798">
        <v>1</v>
      </c>
      <c r="AA798" t="e">
        <f t="array" ref="AA798">IF(OR(F798&lt;L$3,F798&gt;L$7),F798,#N/A)</f>
        <v>#N/A</v>
      </c>
      <c r="AB798">
        <f t="shared" si="13"/>
        <v>2</v>
      </c>
      <c r="AC798" t="e">
        <f t="array" ref="AC798">IF(OR(G798&lt;M$3,G798&gt;M$7),G798,#N/A)</f>
        <v>#N/A</v>
      </c>
      <c r="AD798">
        <f t="shared" si="13"/>
        <v>3</v>
      </c>
      <c r="AE798" t="e">
        <f t="array" ref="AE798">IF(OR(H798&lt;N$3,H798&gt;N$7),H798,#N/A)</f>
        <v>#N/A</v>
      </c>
      <c r="AF798">
        <f t="shared" si="13"/>
        <v>4</v>
      </c>
      <c r="AG798" t="e">
        <f t="array" ref="AG798">IF(OR(I798&lt;O$3,I798&gt;O$7),I798,#N/A)</f>
        <v>#N/A</v>
      </c>
    </row>
    <row r="799" spans="5:33" x14ac:dyDescent="0.25">
      <c r="E799">
        <v>796</v>
      </c>
      <c r="F799">
        <v>14.363636363636363</v>
      </c>
      <c r="G799">
        <v>12.2</v>
      </c>
      <c r="H799">
        <v>13.18</v>
      </c>
      <c r="I799">
        <v>13.15</v>
      </c>
      <c r="Z799">
        <v>1</v>
      </c>
      <c r="AA799" t="e">
        <f t="array" ref="AA799">IF(OR(F799&lt;L$3,F799&gt;L$7),F799,#N/A)</f>
        <v>#N/A</v>
      </c>
      <c r="AB799">
        <f t="shared" si="13"/>
        <v>2</v>
      </c>
      <c r="AC799" t="e">
        <f t="array" ref="AC799">IF(OR(G799&lt;M$3,G799&gt;M$7),G799,#N/A)</f>
        <v>#N/A</v>
      </c>
      <c r="AD799">
        <f t="shared" si="13"/>
        <v>3</v>
      </c>
      <c r="AE799" t="e">
        <f t="array" ref="AE799">IF(OR(H799&lt;N$3,H799&gt;N$7),H799,#N/A)</f>
        <v>#N/A</v>
      </c>
      <c r="AF799">
        <f t="shared" si="13"/>
        <v>4</v>
      </c>
      <c r="AG799" t="e">
        <f t="array" ref="AG799">IF(OR(I799&lt;O$3,I799&gt;O$7),I799,#N/A)</f>
        <v>#N/A</v>
      </c>
    </row>
    <row r="800" spans="5:33" x14ac:dyDescent="0.25">
      <c r="E800">
        <v>797</v>
      </c>
      <c r="F800">
        <v>14.181818181818182</v>
      </c>
      <c r="G800">
        <v>15.95</v>
      </c>
      <c r="H800">
        <v>15.12</v>
      </c>
      <c r="I800">
        <v>14.94</v>
      </c>
      <c r="Z800">
        <v>1</v>
      </c>
      <c r="AA800" t="e">
        <f t="array" ref="AA800">IF(OR(F800&lt;L$3,F800&gt;L$7),F800,#N/A)</f>
        <v>#N/A</v>
      </c>
      <c r="AB800">
        <f t="shared" si="13"/>
        <v>2</v>
      </c>
      <c r="AC800" t="e">
        <f t="array" ref="AC800">IF(OR(G800&lt;M$3,G800&gt;M$7),G800,#N/A)</f>
        <v>#N/A</v>
      </c>
      <c r="AD800">
        <f t="shared" si="13"/>
        <v>3</v>
      </c>
      <c r="AE800" t="e">
        <f t="array" ref="AE800">IF(OR(H800&lt;N$3,H800&gt;N$7),H800,#N/A)</f>
        <v>#N/A</v>
      </c>
      <c r="AF800">
        <f t="shared" si="13"/>
        <v>4</v>
      </c>
      <c r="AG800" t="e">
        <f t="array" ref="AG800">IF(OR(I800&lt;O$3,I800&gt;O$7),I800,#N/A)</f>
        <v>#N/A</v>
      </c>
    </row>
    <row r="801" spans="5:33" x14ac:dyDescent="0.25">
      <c r="E801">
        <v>798</v>
      </c>
      <c r="F801">
        <v>18.636363636363637</v>
      </c>
      <c r="G801">
        <v>16.149999999999999</v>
      </c>
      <c r="H801">
        <v>15.1</v>
      </c>
      <c r="I801">
        <v>13.74</v>
      </c>
      <c r="Z801">
        <v>1</v>
      </c>
      <c r="AA801" t="e">
        <f t="array" ref="AA801">IF(OR(F801&lt;L$3,F801&gt;L$7),F801,#N/A)</f>
        <v>#N/A</v>
      </c>
      <c r="AB801">
        <f t="shared" si="13"/>
        <v>2</v>
      </c>
      <c r="AC801" t="e">
        <f t="array" ref="AC801">IF(OR(G801&lt;M$3,G801&gt;M$7),G801,#N/A)</f>
        <v>#N/A</v>
      </c>
      <c r="AD801">
        <f t="shared" si="13"/>
        <v>3</v>
      </c>
      <c r="AE801" t="e">
        <f t="array" ref="AE801">IF(OR(H801&lt;N$3,H801&gt;N$7),H801,#N/A)</f>
        <v>#N/A</v>
      </c>
      <c r="AF801">
        <f t="shared" si="13"/>
        <v>4</v>
      </c>
      <c r="AG801" t="e">
        <f t="array" ref="AG801">IF(OR(I801&lt;O$3,I801&gt;O$7),I801,#N/A)</f>
        <v>#N/A</v>
      </c>
    </row>
    <row r="802" spans="5:33" x14ac:dyDescent="0.25">
      <c r="E802">
        <v>799</v>
      </c>
      <c r="F802">
        <v>11</v>
      </c>
      <c r="G802">
        <v>14.65</v>
      </c>
      <c r="H802">
        <v>14.08</v>
      </c>
      <c r="I802">
        <v>14.2</v>
      </c>
      <c r="Z802">
        <v>1</v>
      </c>
      <c r="AA802" t="e">
        <f t="array" ref="AA802">IF(OR(F802&lt;L$3,F802&gt;L$7),F802,#N/A)</f>
        <v>#N/A</v>
      </c>
      <c r="AB802">
        <f t="shared" si="13"/>
        <v>2</v>
      </c>
      <c r="AC802" t="e">
        <f t="array" ref="AC802">IF(OR(G802&lt;M$3,G802&gt;M$7),G802,#N/A)</f>
        <v>#N/A</v>
      </c>
      <c r="AD802">
        <f t="shared" si="13"/>
        <v>3</v>
      </c>
      <c r="AE802" t="e">
        <f t="array" ref="AE802">IF(OR(H802&lt;N$3,H802&gt;N$7),H802,#N/A)</f>
        <v>#N/A</v>
      </c>
      <c r="AF802">
        <f t="shared" si="13"/>
        <v>4</v>
      </c>
      <c r="AG802" t="e">
        <f t="array" ref="AG802">IF(OR(I802&lt;O$3,I802&gt;O$7),I802,#N/A)</f>
        <v>#N/A</v>
      </c>
    </row>
    <row r="803" spans="5:33" x14ac:dyDescent="0.25">
      <c r="E803">
        <v>800</v>
      </c>
      <c r="F803">
        <v>11.454545454545455</v>
      </c>
      <c r="G803">
        <v>12.85</v>
      </c>
      <c r="H803">
        <v>13.9</v>
      </c>
      <c r="I803">
        <v>13.74</v>
      </c>
      <c r="Z803">
        <v>1</v>
      </c>
      <c r="AA803" t="e">
        <f t="array" ref="AA803">IF(OR(F803&lt;L$3,F803&gt;L$7),F803,#N/A)</f>
        <v>#N/A</v>
      </c>
      <c r="AB803">
        <f t="shared" si="13"/>
        <v>2</v>
      </c>
      <c r="AC803" t="e">
        <f t="array" ref="AC803">IF(OR(G803&lt;M$3,G803&gt;M$7),G803,#N/A)</f>
        <v>#N/A</v>
      </c>
      <c r="AD803">
        <f t="shared" si="13"/>
        <v>3</v>
      </c>
      <c r="AE803" t="e">
        <f t="array" ref="AE803">IF(OR(H803&lt;N$3,H803&gt;N$7),H803,#N/A)</f>
        <v>#N/A</v>
      </c>
      <c r="AF803">
        <f t="shared" si="13"/>
        <v>4</v>
      </c>
      <c r="AG803" t="e">
        <f t="array" ref="AG803">IF(OR(I803&lt;O$3,I803&gt;O$7),I803,#N/A)</f>
        <v>#N/A</v>
      </c>
    </row>
    <row r="804" spans="5:33" x14ac:dyDescent="0.25">
      <c r="E804">
        <v>801</v>
      </c>
      <c r="F804">
        <v>14.272727272727273</v>
      </c>
      <c r="G804">
        <v>16.399999999999999</v>
      </c>
      <c r="H804">
        <v>16.18</v>
      </c>
      <c r="I804">
        <v>14.97</v>
      </c>
      <c r="Z804">
        <v>1</v>
      </c>
      <c r="AA804" t="e">
        <f t="array" ref="AA804">IF(OR(F804&lt;L$3,F804&gt;L$7),F804,#N/A)</f>
        <v>#N/A</v>
      </c>
      <c r="AB804">
        <f t="shared" si="13"/>
        <v>2</v>
      </c>
      <c r="AC804" t="e">
        <f t="array" ref="AC804">IF(OR(G804&lt;M$3,G804&gt;M$7),G804,#N/A)</f>
        <v>#N/A</v>
      </c>
      <c r="AD804">
        <f t="shared" si="13"/>
        <v>3</v>
      </c>
      <c r="AE804" t="e">
        <f t="array" ref="AE804">IF(OR(H804&lt;N$3,H804&gt;N$7),H804,#N/A)</f>
        <v>#N/A</v>
      </c>
      <c r="AF804">
        <f t="shared" si="13"/>
        <v>4</v>
      </c>
      <c r="AG804" t="e">
        <f t="array" ref="AG804">IF(OR(I804&lt;O$3,I804&gt;O$7),I804,#N/A)</f>
        <v>#N/A</v>
      </c>
    </row>
    <row r="805" spans="5:33" x14ac:dyDescent="0.25">
      <c r="E805">
        <v>802</v>
      </c>
      <c r="F805">
        <v>11.363636363636363</v>
      </c>
      <c r="G805">
        <v>11.95</v>
      </c>
      <c r="H805">
        <v>14.5</v>
      </c>
      <c r="I805">
        <v>15.04</v>
      </c>
      <c r="Z805">
        <v>1</v>
      </c>
      <c r="AA805" t="e">
        <f t="array" ref="AA805">IF(OR(F805&lt;L$3,F805&gt;L$7),F805,#N/A)</f>
        <v>#N/A</v>
      </c>
      <c r="AB805">
        <f t="shared" si="13"/>
        <v>2</v>
      </c>
      <c r="AC805" t="e">
        <f t="array" ref="AC805">IF(OR(G805&lt;M$3,G805&gt;M$7),G805,#N/A)</f>
        <v>#N/A</v>
      </c>
      <c r="AD805">
        <f t="shared" si="13"/>
        <v>3</v>
      </c>
      <c r="AE805" t="e">
        <f t="array" ref="AE805">IF(OR(H805&lt;N$3,H805&gt;N$7),H805,#N/A)</f>
        <v>#N/A</v>
      </c>
      <c r="AF805">
        <f t="shared" si="13"/>
        <v>4</v>
      </c>
      <c r="AG805" t="e">
        <f t="array" ref="AG805">IF(OR(I805&lt;O$3,I805&gt;O$7),I805,#N/A)</f>
        <v>#N/A</v>
      </c>
    </row>
    <row r="806" spans="5:33" x14ac:dyDescent="0.25">
      <c r="E806">
        <v>803</v>
      </c>
      <c r="F806">
        <v>9.8181818181818183</v>
      </c>
      <c r="G806">
        <v>10.45</v>
      </c>
      <c r="H806">
        <v>12.54</v>
      </c>
      <c r="I806">
        <v>13.78</v>
      </c>
      <c r="Z806">
        <v>1</v>
      </c>
      <c r="AA806" t="e">
        <f t="array" ref="AA806">IF(OR(F806&lt;L$3,F806&gt;L$7),F806,#N/A)</f>
        <v>#N/A</v>
      </c>
      <c r="AB806">
        <f t="shared" si="13"/>
        <v>2</v>
      </c>
      <c r="AC806" t="e">
        <f t="array" ref="AC806">IF(OR(G806&lt;M$3,G806&gt;M$7),G806,#N/A)</f>
        <v>#N/A</v>
      </c>
      <c r="AD806">
        <f t="shared" si="13"/>
        <v>3</v>
      </c>
      <c r="AE806" t="e">
        <f t="array" ref="AE806">IF(OR(H806&lt;N$3,H806&gt;N$7),H806,#N/A)</f>
        <v>#N/A</v>
      </c>
      <c r="AF806">
        <f t="shared" si="13"/>
        <v>4</v>
      </c>
      <c r="AG806" t="e">
        <f t="array" ref="AG806">IF(OR(I806&lt;O$3,I806&gt;O$7),I806,#N/A)</f>
        <v>#N/A</v>
      </c>
    </row>
    <row r="807" spans="5:33" x14ac:dyDescent="0.25">
      <c r="E807">
        <v>804</v>
      </c>
      <c r="F807">
        <v>13.909090909090908</v>
      </c>
      <c r="G807">
        <v>12.1</v>
      </c>
      <c r="H807">
        <v>13.86</v>
      </c>
      <c r="I807">
        <v>14.63</v>
      </c>
      <c r="Z807">
        <v>1</v>
      </c>
      <c r="AA807" t="e">
        <f t="array" ref="AA807">IF(OR(F807&lt;L$3,F807&gt;L$7),F807,#N/A)</f>
        <v>#N/A</v>
      </c>
      <c r="AB807">
        <f t="shared" si="13"/>
        <v>2</v>
      </c>
      <c r="AC807" t="e">
        <f t="array" ref="AC807">IF(OR(G807&lt;M$3,G807&gt;M$7),G807,#N/A)</f>
        <v>#N/A</v>
      </c>
      <c r="AD807">
        <f t="shared" si="13"/>
        <v>3</v>
      </c>
      <c r="AE807" t="e">
        <f t="array" ref="AE807">IF(OR(H807&lt;N$3,H807&gt;N$7),H807,#N/A)</f>
        <v>#N/A</v>
      </c>
      <c r="AF807">
        <f t="shared" si="13"/>
        <v>4</v>
      </c>
      <c r="AG807" t="e">
        <f t="array" ref="AG807">IF(OR(I807&lt;O$3,I807&gt;O$7),I807,#N/A)</f>
        <v>#N/A</v>
      </c>
    </row>
    <row r="808" spans="5:33" x14ac:dyDescent="0.25">
      <c r="E808">
        <v>805</v>
      </c>
      <c r="F808">
        <v>13.454545454545455</v>
      </c>
      <c r="G808">
        <v>13.6</v>
      </c>
      <c r="H808">
        <v>13.44</v>
      </c>
      <c r="I808">
        <v>13.44</v>
      </c>
      <c r="Z808">
        <v>1</v>
      </c>
      <c r="AA808" t="e">
        <f t="array" ref="AA808">IF(OR(F808&lt;L$3,F808&gt;L$7),F808,#N/A)</f>
        <v>#N/A</v>
      </c>
      <c r="AB808">
        <f t="shared" si="13"/>
        <v>2</v>
      </c>
      <c r="AC808" t="e">
        <f t="array" ref="AC808">IF(OR(G808&lt;M$3,G808&gt;M$7),G808,#N/A)</f>
        <v>#N/A</v>
      </c>
      <c r="AD808">
        <f t="shared" si="13"/>
        <v>3</v>
      </c>
      <c r="AE808" t="e">
        <f t="array" ref="AE808">IF(OR(H808&lt;N$3,H808&gt;N$7),H808,#N/A)</f>
        <v>#N/A</v>
      </c>
      <c r="AF808">
        <f t="shared" si="13"/>
        <v>4</v>
      </c>
      <c r="AG808" t="e">
        <f t="array" ref="AG808">IF(OR(I808&lt;O$3,I808&gt;O$7),I808,#N/A)</f>
        <v>#N/A</v>
      </c>
    </row>
    <row r="809" spans="5:33" x14ac:dyDescent="0.25">
      <c r="E809">
        <v>806</v>
      </c>
      <c r="F809">
        <v>14.090909090909092</v>
      </c>
      <c r="G809">
        <v>16.850000000000001</v>
      </c>
      <c r="H809">
        <v>14.84</v>
      </c>
      <c r="I809">
        <v>14.29</v>
      </c>
      <c r="Z809">
        <v>1</v>
      </c>
      <c r="AA809" t="e">
        <f t="array" ref="AA809">IF(OR(F809&lt;L$3,F809&gt;L$7),F809,#N/A)</f>
        <v>#N/A</v>
      </c>
      <c r="AB809">
        <f t="shared" si="13"/>
        <v>2</v>
      </c>
      <c r="AC809" t="e">
        <f t="array" ref="AC809">IF(OR(G809&lt;M$3,G809&gt;M$7),G809,#N/A)</f>
        <v>#N/A</v>
      </c>
      <c r="AD809">
        <f t="shared" si="13"/>
        <v>3</v>
      </c>
      <c r="AE809" t="e">
        <f t="array" ref="AE809">IF(OR(H809&lt;N$3,H809&gt;N$7),H809,#N/A)</f>
        <v>#N/A</v>
      </c>
      <c r="AF809">
        <f t="shared" si="13"/>
        <v>4</v>
      </c>
      <c r="AG809" t="e">
        <f t="array" ref="AG809">IF(OR(I809&lt;O$3,I809&gt;O$7),I809,#N/A)</f>
        <v>#N/A</v>
      </c>
    </row>
    <row r="810" spans="5:33" x14ac:dyDescent="0.25">
      <c r="E810">
        <v>807</v>
      </c>
      <c r="F810">
        <v>15.727272727272727</v>
      </c>
      <c r="G810">
        <v>14.5</v>
      </c>
      <c r="H810">
        <v>13.88</v>
      </c>
      <c r="I810">
        <v>13.31</v>
      </c>
      <c r="Z810">
        <v>1</v>
      </c>
      <c r="AA810" t="e">
        <f t="array" ref="AA810">IF(OR(F810&lt;L$3,F810&gt;L$7),F810,#N/A)</f>
        <v>#N/A</v>
      </c>
      <c r="AB810">
        <f t="shared" si="13"/>
        <v>2</v>
      </c>
      <c r="AC810" t="e">
        <f t="array" ref="AC810">IF(OR(G810&lt;M$3,G810&gt;M$7),G810,#N/A)</f>
        <v>#N/A</v>
      </c>
      <c r="AD810">
        <f t="shared" si="13"/>
        <v>3</v>
      </c>
      <c r="AE810" t="e">
        <f t="array" ref="AE810">IF(OR(H810&lt;N$3,H810&gt;N$7),H810,#N/A)</f>
        <v>#N/A</v>
      </c>
      <c r="AF810">
        <f t="shared" si="13"/>
        <v>4</v>
      </c>
      <c r="AG810" t="e">
        <f t="array" ref="AG810">IF(OR(I810&lt;O$3,I810&gt;O$7),I810,#N/A)</f>
        <v>#N/A</v>
      </c>
    </row>
    <row r="811" spans="5:33" x14ac:dyDescent="0.25">
      <c r="E811">
        <v>808</v>
      </c>
      <c r="F811">
        <v>13.454545454545455</v>
      </c>
      <c r="G811">
        <v>12.5</v>
      </c>
      <c r="H811">
        <v>12.62</v>
      </c>
      <c r="I811">
        <v>13.51</v>
      </c>
      <c r="Z811">
        <v>1</v>
      </c>
      <c r="AA811" t="e">
        <f t="array" ref="AA811">IF(OR(F811&lt;L$3,F811&gt;L$7),F811,#N/A)</f>
        <v>#N/A</v>
      </c>
      <c r="AB811">
        <f t="shared" si="13"/>
        <v>2</v>
      </c>
      <c r="AC811" t="e">
        <f t="array" ref="AC811">IF(OR(G811&lt;M$3,G811&gt;M$7),G811,#N/A)</f>
        <v>#N/A</v>
      </c>
      <c r="AD811">
        <f t="shared" si="13"/>
        <v>3</v>
      </c>
      <c r="AE811" t="e">
        <f t="array" ref="AE811">IF(OR(H811&lt;N$3,H811&gt;N$7),H811,#N/A)</f>
        <v>#N/A</v>
      </c>
      <c r="AF811">
        <f t="shared" si="13"/>
        <v>4</v>
      </c>
      <c r="AG811" t="e">
        <f t="array" ref="AG811">IF(OR(I811&lt;O$3,I811&gt;O$7),I811,#N/A)</f>
        <v>#N/A</v>
      </c>
    </row>
    <row r="812" spans="5:33" x14ac:dyDescent="0.25">
      <c r="E812">
        <v>809</v>
      </c>
      <c r="F812">
        <v>12.272727272727273</v>
      </c>
      <c r="G812">
        <v>13.95</v>
      </c>
      <c r="H812">
        <v>13.94</v>
      </c>
      <c r="I812">
        <v>14.06</v>
      </c>
      <c r="Z812">
        <v>1</v>
      </c>
      <c r="AA812" t="e">
        <f t="array" ref="AA812">IF(OR(F812&lt;L$3,F812&gt;L$7),F812,#N/A)</f>
        <v>#N/A</v>
      </c>
      <c r="AB812">
        <f t="shared" si="13"/>
        <v>2</v>
      </c>
      <c r="AC812" t="e">
        <f t="array" ref="AC812">IF(OR(G812&lt;M$3,G812&gt;M$7),G812,#N/A)</f>
        <v>#N/A</v>
      </c>
      <c r="AD812">
        <f t="shared" si="13"/>
        <v>3</v>
      </c>
      <c r="AE812" t="e">
        <f t="array" ref="AE812">IF(OR(H812&lt;N$3,H812&gt;N$7),H812,#N/A)</f>
        <v>#N/A</v>
      </c>
      <c r="AF812">
        <f t="shared" si="13"/>
        <v>4</v>
      </c>
      <c r="AG812" t="e">
        <f t="array" ref="AG812">IF(OR(I812&lt;O$3,I812&gt;O$7),I812,#N/A)</f>
        <v>#N/A</v>
      </c>
    </row>
    <row r="813" spans="5:33" x14ac:dyDescent="0.25">
      <c r="E813">
        <v>810</v>
      </c>
      <c r="F813">
        <v>18.90909090909091</v>
      </c>
      <c r="G813">
        <v>16.55</v>
      </c>
      <c r="H813">
        <v>14.32</v>
      </c>
      <c r="I813">
        <v>13.91</v>
      </c>
      <c r="Z813">
        <v>1</v>
      </c>
      <c r="AA813" t="e">
        <f t="array" ref="AA813">IF(OR(F813&lt;L$3,F813&gt;L$7),F813,#N/A)</f>
        <v>#N/A</v>
      </c>
      <c r="AB813">
        <f t="shared" si="13"/>
        <v>2</v>
      </c>
      <c r="AC813" t="e">
        <f t="array" ref="AC813">IF(OR(G813&lt;M$3,G813&gt;M$7),G813,#N/A)</f>
        <v>#N/A</v>
      </c>
      <c r="AD813">
        <f t="shared" si="13"/>
        <v>3</v>
      </c>
      <c r="AE813" t="e">
        <f t="array" ref="AE813">IF(OR(H813&lt;N$3,H813&gt;N$7),H813,#N/A)</f>
        <v>#N/A</v>
      </c>
      <c r="AF813">
        <f t="shared" si="13"/>
        <v>4</v>
      </c>
      <c r="AG813" t="e">
        <f t="array" ref="AG813">IF(OR(I813&lt;O$3,I813&gt;O$7),I813,#N/A)</f>
        <v>#N/A</v>
      </c>
    </row>
    <row r="814" spans="5:33" x14ac:dyDescent="0.25">
      <c r="E814">
        <v>811</v>
      </c>
      <c r="F814">
        <v>14</v>
      </c>
      <c r="G814">
        <v>13.2</v>
      </c>
      <c r="H814">
        <v>13.1</v>
      </c>
      <c r="I814">
        <v>13.72</v>
      </c>
      <c r="Z814">
        <v>1</v>
      </c>
      <c r="AA814" t="e">
        <f t="array" ref="AA814">IF(OR(F814&lt;L$3,F814&gt;L$7),F814,#N/A)</f>
        <v>#N/A</v>
      </c>
      <c r="AB814">
        <f t="shared" si="13"/>
        <v>2</v>
      </c>
      <c r="AC814" t="e">
        <f t="array" ref="AC814">IF(OR(G814&lt;M$3,G814&gt;M$7),G814,#N/A)</f>
        <v>#N/A</v>
      </c>
      <c r="AD814">
        <f t="shared" si="13"/>
        <v>3</v>
      </c>
      <c r="AE814" t="e">
        <f t="array" ref="AE814">IF(OR(H814&lt;N$3,H814&gt;N$7),H814,#N/A)</f>
        <v>#N/A</v>
      </c>
      <c r="AF814">
        <f t="shared" si="13"/>
        <v>4</v>
      </c>
      <c r="AG814" t="e">
        <f t="array" ref="AG814">IF(OR(I814&lt;O$3,I814&gt;O$7),I814,#N/A)</f>
        <v>#N/A</v>
      </c>
    </row>
    <row r="815" spans="5:33" x14ac:dyDescent="0.25">
      <c r="E815">
        <v>812</v>
      </c>
      <c r="F815">
        <v>18.272727272727273</v>
      </c>
      <c r="G815">
        <v>14.55</v>
      </c>
      <c r="H815">
        <v>14.2</v>
      </c>
      <c r="I815">
        <v>13.19</v>
      </c>
      <c r="Z815">
        <v>1</v>
      </c>
      <c r="AA815" t="e">
        <f t="array" ref="AA815">IF(OR(F815&lt;L$3,F815&gt;L$7),F815,#N/A)</f>
        <v>#N/A</v>
      </c>
      <c r="AB815">
        <f t="shared" si="13"/>
        <v>2</v>
      </c>
      <c r="AC815" t="e">
        <f t="array" ref="AC815">IF(OR(G815&lt;M$3,G815&gt;M$7),G815,#N/A)</f>
        <v>#N/A</v>
      </c>
      <c r="AD815">
        <f t="shared" si="13"/>
        <v>3</v>
      </c>
      <c r="AE815" t="e">
        <f t="array" ref="AE815">IF(OR(H815&lt;N$3,H815&gt;N$7),H815,#N/A)</f>
        <v>#N/A</v>
      </c>
      <c r="AF815">
        <f t="shared" si="13"/>
        <v>4</v>
      </c>
      <c r="AG815" t="e">
        <f t="array" ref="AG815">IF(OR(I815&lt;O$3,I815&gt;O$7),I815,#N/A)</f>
        <v>#N/A</v>
      </c>
    </row>
    <row r="816" spans="5:33" x14ac:dyDescent="0.25">
      <c r="E816">
        <v>813</v>
      </c>
      <c r="F816">
        <v>12.454545454545455</v>
      </c>
      <c r="G816">
        <v>13.05</v>
      </c>
      <c r="H816">
        <v>13.86</v>
      </c>
      <c r="I816">
        <v>13.77</v>
      </c>
      <c r="Z816">
        <v>1</v>
      </c>
      <c r="AA816" t="e">
        <f t="array" ref="AA816">IF(OR(F816&lt;L$3,F816&gt;L$7),F816,#N/A)</f>
        <v>#N/A</v>
      </c>
      <c r="AB816">
        <f t="shared" si="13"/>
        <v>2</v>
      </c>
      <c r="AC816" t="e">
        <f t="array" ref="AC816">IF(OR(G816&lt;M$3,G816&gt;M$7),G816,#N/A)</f>
        <v>#N/A</v>
      </c>
      <c r="AD816">
        <f t="shared" si="13"/>
        <v>3</v>
      </c>
      <c r="AE816" t="e">
        <f t="array" ref="AE816">IF(OR(H816&lt;N$3,H816&gt;N$7),H816,#N/A)</f>
        <v>#N/A</v>
      </c>
      <c r="AF816">
        <f t="shared" si="13"/>
        <v>4</v>
      </c>
      <c r="AG816" t="e">
        <f t="array" ref="AG816">IF(OR(I816&lt;O$3,I816&gt;O$7),I816,#N/A)</f>
        <v>#N/A</v>
      </c>
    </row>
    <row r="817" spans="5:33" x14ac:dyDescent="0.25">
      <c r="E817">
        <v>814</v>
      </c>
      <c r="F817">
        <v>13.545454545454545</v>
      </c>
      <c r="G817">
        <v>14.1</v>
      </c>
      <c r="H817">
        <v>13.26</v>
      </c>
      <c r="I817">
        <v>14.26</v>
      </c>
      <c r="Z817">
        <v>1</v>
      </c>
      <c r="AA817" t="e">
        <f t="array" ref="AA817">IF(OR(F817&lt;L$3,F817&gt;L$7),F817,#N/A)</f>
        <v>#N/A</v>
      </c>
      <c r="AB817">
        <f t="shared" si="13"/>
        <v>2</v>
      </c>
      <c r="AC817" t="e">
        <f t="array" ref="AC817">IF(OR(G817&lt;M$3,G817&gt;M$7),G817,#N/A)</f>
        <v>#N/A</v>
      </c>
      <c r="AD817">
        <f t="shared" si="13"/>
        <v>3</v>
      </c>
      <c r="AE817" t="e">
        <f t="array" ref="AE817">IF(OR(H817&lt;N$3,H817&gt;N$7),H817,#N/A)</f>
        <v>#N/A</v>
      </c>
      <c r="AF817">
        <f t="shared" si="13"/>
        <v>4</v>
      </c>
      <c r="AG817" t="e">
        <f t="array" ref="AG817">IF(OR(I817&lt;O$3,I817&gt;O$7),I817,#N/A)</f>
        <v>#N/A</v>
      </c>
    </row>
    <row r="818" spans="5:33" x14ac:dyDescent="0.25">
      <c r="E818">
        <v>815</v>
      </c>
      <c r="F818">
        <v>17</v>
      </c>
      <c r="G818">
        <v>15.55</v>
      </c>
      <c r="H818">
        <v>14.42</v>
      </c>
      <c r="I818">
        <v>14.54</v>
      </c>
      <c r="Z818">
        <v>1</v>
      </c>
      <c r="AA818" t="e">
        <f t="array" ref="AA818">IF(OR(F818&lt;L$3,F818&gt;L$7),F818,#N/A)</f>
        <v>#N/A</v>
      </c>
      <c r="AB818">
        <f t="shared" si="13"/>
        <v>2</v>
      </c>
      <c r="AC818" t="e">
        <f t="array" ref="AC818">IF(OR(G818&lt;M$3,G818&gt;M$7),G818,#N/A)</f>
        <v>#N/A</v>
      </c>
      <c r="AD818">
        <f t="shared" si="13"/>
        <v>3</v>
      </c>
      <c r="AE818" t="e">
        <f t="array" ref="AE818">IF(OR(H818&lt;N$3,H818&gt;N$7),H818,#N/A)</f>
        <v>#N/A</v>
      </c>
      <c r="AF818">
        <f t="shared" si="13"/>
        <v>4</v>
      </c>
      <c r="AG818" t="e">
        <f t="array" ref="AG818">IF(OR(I818&lt;O$3,I818&gt;O$7),I818,#N/A)</f>
        <v>#N/A</v>
      </c>
    </row>
    <row r="819" spans="5:33" x14ac:dyDescent="0.25">
      <c r="E819">
        <v>816</v>
      </c>
      <c r="F819">
        <v>13.181818181818182</v>
      </c>
      <c r="G819">
        <v>12.8</v>
      </c>
      <c r="H819">
        <v>13.16</v>
      </c>
      <c r="I819">
        <v>13.58</v>
      </c>
      <c r="Z819">
        <v>1</v>
      </c>
      <c r="AA819" t="e">
        <f t="array" ref="AA819">IF(OR(F819&lt;L$3,F819&gt;L$7),F819,#N/A)</f>
        <v>#N/A</v>
      </c>
      <c r="AB819">
        <f t="shared" si="13"/>
        <v>2</v>
      </c>
      <c r="AC819" t="e">
        <f t="array" ref="AC819">IF(OR(G819&lt;M$3,G819&gt;M$7),G819,#N/A)</f>
        <v>#N/A</v>
      </c>
      <c r="AD819">
        <f t="shared" si="13"/>
        <v>3</v>
      </c>
      <c r="AE819" t="e">
        <f t="array" ref="AE819">IF(OR(H819&lt;N$3,H819&gt;N$7),H819,#N/A)</f>
        <v>#N/A</v>
      </c>
      <c r="AF819">
        <f t="shared" si="13"/>
        <v>4</v>
      </c>
      <c r="AG819" t="e">
        <f t="array" ref="AG819">IF(OR(I819&lt;O$3,I819&gt;O$7),I819,#N/A)</f>
        <v>#N/A</v>
      </c>
    </row>
    <row r="820" spans="5:33" x14ac:dyDescent="0.25">
      <c r="E820">
        <v>817</v>
      </c>
      <c r="F820">
        <v>13.545454545454545</v>
      </c>
      <c r="G820">
        <v>13.1</v>
      </c>
      <c r="H820">
        <v>14.08</v>
      </c>
      <c r="I820">
        <v>13.68</v>
      </c>
      <c r="Z820">
        <v>1</v>
      </c>
      <c r="AA820" t="e">
        <f t="array" ref="AA820">IF(OR(F820&lt;L$3,F820&gt;L$7),F820,#N/A)</f>
        <v>#N/A</v>
      </c>
      <c r="AB820">
        <f t="shared" si="13"/>
        <v>2</v>
      </c>
      <c r="AC820" t="e">
        <f t="array" ref="AC820">IF(OR(G820&lt;M$3,G820&gt;M$7),G820,#N/A)</f>
        <v>#N/A</v>
      </c>
      <c r="AD820">
        <f t="shared" si="13"/>
        <v>3</v>
      </c>
      <c r="AE820" t="e">
        <f t="array" ref="AE820">IF(OR(H820&lt;N$3,H820&gt;N$7),H820,#N/A)</f>
        <v>#N/A</v>
      </c>
      <c r="AF820">
        <f t="shared" si="13"/>
        <v>4</v>
      </c>
      <c r="AG820" t="e">
        <f t="array" ref="AG820">IF(OR(I820&lt;O$3,I820&gt;O$7),I820,#N/A)</f>
        <v>#N/A</v>
      </c>
    </row>
    <row r="821" spans="5:33" x14ac:dyDescent="0.25">
      <c r="E821">
        <v>818</v>
      </c>
      <c r="F821">
        <v>14</v>
      </c>
      <c r="G821">
        <v>14.25</v>
      </c>
      <c r="H821">
        <v>14.18</v>
      </c>
      <c r="I821">
        <v>14.17</v>
      </c>
      <c r="Z821">
        <v>1</v>
      </c>
      <c r="AA821" t="e">
        <f t="array" ref="AA821">IF(OR(F821&lt;L$3,F821&gt;L$7),F821,#N/A)</f>
        <v>#N/A</v>
      </c>
      <c r="AB821">
        <f t="shared" si="13"/>
        <v>2</v>
      </c>
      <c r="AC821" t="e">
        <f t="array" ref="AC821">IF(OR(G821&lt;M$3,G821&gt;M$7),G821,#N/A)</f>
        <v>#N/A</v>
      </c>
      <c r="AD821">
        <f t="shared" si="13"/>
        <v>3</v>
      </c>
      <c r="AE821" t="e">
        <f t="array" ref="AE821">IF(OR(H821&lt;N$3,H821&gt;N$7),H821,#N/A)</f>
        <v>#N/A</v>
      </c>
      <c r="AF821">
        <f t="shared" si="13"/>
        <v>4</v>
      </c>
      <c r="AG821" t="e">
        <f t="array" ref="AG821">IF(OR(I821&lt;O$3,I821&gt;O$7),I821,#N/A)</f>
        <v>#N/A</v>
      </c>
    </row>
    <row r="822" spans="5:33" x14ac:dyDescent="0.25">
      <c r="E822">
        <v>819</v>
      </c>
      <c r="F822">
        <v>12.181818181818182</v>
      </c>
      <c r="G822">
        <v>15.85</v>
      </c>
      <c r="H822">
        <v>14.92</v>
      </c>
      <c r="I822">
        <v>14.93</v>
      </c>
      <c r="Z822">
        <v>1</v>
      </c>
      <c r="AA822" t="e">
        <f t="array" ref="AA822">IF(OR(F822&lt;L$3,F822&gt;L$7),F822,#N/A)</f>
        <v>#N/A</v>
      </c>
      <c r="AB822">
        <f t="shared" si="13"/>
        <v>2</v>
      </c>
      <c r="AC822" t="e">
        <f t="array" ref="AC822">IF(OR(G822&lt;M$3,G822&gt;M$7),G822,#N/A)</f>
        <v>#N/A</v>
      </c>
      <c r="AD822">
        <f t="shared" si="13"/>
        <v>3</v>
      </c>
      <c r="AE822" t="e">
        <f t="array" ref="AE822">IF(OR(H822&lt;N$3,H822&gt;N$7),H822,#N/A)</f>
        <v>#N/A</v>
      </c>
      <c r="AF822">
        <f t="shared" si="13"/>
        <v>4</v>
      </c>
      <c r="AG822" t="e">
        <f t="array" ref="AG822">IF(OR(I822&lt;O$3,I822&gt;O$7),I822,#N/A)</f>
        <v>#N/A</v>
      </c>
    </row>
    <row r="823" spans="5:33" x14ac:dyDescent="0.25">
      <c r="E823">
        <v>820</v>
      </c>
      <c r="F823">
        <v>14.636363636363637</v>
      </c>
      <c r="G823">
        <v>14.7</v>
      </c>
      <c r="H823">
        <v>14.68</v>
      </c>
      <c r="I823">
        <v>14.2</v>
      </c>
      <c r="Z823">
        <v>1</v>
      </c>
      <c r="AA823" t="e">
        <f t="array" ref="AA823">IF(OR(F823&lt;L$3,F823&gt;L$7),F823,#N/A)</f>
        <v>#N/A</v>
      </c>
      <c r="AB823">
        <f t="shared" si="13"/>
        <v>2</v>
      </c>
      <c r="AC823" t="e">
        <f t="array" ref="AC823">IF(OR(G823&lt;M$3,G823&gt;M$7),G823,#N/A)</f>
        <v>#N/A</v>
      </c>
      <c r="AD823">
        <f t="shared" si="13"/>
        <v>3</v>
      </c>
      <c r="AE823" t="e">
        <f t="array" ref="AE823">IF(OR(H823&lt;N$3,H823&gt;N$7),H823,#N/A)</f>
        <v>#N/A</v>
      </c>
      <c r="AF823">
        <f t="shared" si="13"/>
        <v>4</v>
      </c>
      <c r="AG823" t="e">
        <f t="array" ref="AG823">IF(OR(I823&lt;O$3,I823&gt;O$7),I823,#N/A)</f>
        <v>#N/A</v>
      </c>
    </row>
    <row r="824" spans="5:33" x14ac:dyDescent="0.25">
      <c r="E824">
        <v>821</v>
      </c>
      <c r="F824">
        <v>12</v>
      </c>
      <c r="G824">
        <v>12.8</v>
      </c>
      <c r="H824">
        <v>14.74</v>
      </c>
      <c r="I824">
        <v>13.88</v>
      </c>
      <c r="Z824">
        <v>1</v>
      </c>
      <c r="AA824" t="e">
        <f t="array" ref="AA824">IF(OR(F824&lt;L$3,F824&gt;L$7),F824,#N/A)</f>
        <v>#N/A</v>
      </c>
      <c r="AB824">
        <f t="shared" si="13"/>
        <v>2</v>
      </c>
      <c r="AC824" t="e">
        <f t="array" ref="AC824">IF(OR(G824&lt;M$3,G824&gt;M$7),G824,#N/A)</f>
        <v>#N/A</v>
      </c>
      <c r="AD824">
        <f t="shared" si="13"/>
        <v>3</v>
      </c>
      <c r="AE824" t="e">
        <f t="array" ref="AE824">IF(OR(H824&lt;N$3,H824&gt;N$7),H824,#N/A)</f>
        <v>#N/A</v>
      </c>
      <c r="AF824">
        <f t="shared" si="13"/>
        <v>4</v>
      </c>
      <c r="AG824" t="e">
        <f t="array" ref="AG824">IF(OR(I824&lt;O$3,I824&gt;O$7),I824,#N/A)</f>
        <v>#N/A</v>
      </c>
    </row>
    <row r="825" spans="5:33" x14ac:dyDescent="0.25">
      <c r="E825">
        <v>822</v>
      </c>
      <c r="F825">
        <v>11.727272727272727</v>
      </c>
      <c r="G825">
        <v>13.1</v>
      </c>
      <c r="H825">
        <v>14.74</v>
      </c>
      <c r="I825">
        <v>14.72</v>
      </c>
      <c r="Z825">
        <v>1</v>
      </c>
      <c r="AA825" t="e">
        <f t="array" ref="AA825">IF(OR(F825&lt;L$3,F825&gt;L$7),F825,#N/A)</f>
        <v>#N/A</v>
      </c>
      <c r="AB825">
        <f t="shared" si="13"/>
        <v>2</v>
      </c>
      <c r="AC825" t="e">
        <f t="array" ref="AC825">IF(OR(G825&lt;M$3,G825&gt;M$7),G825,#N/A)</f>
        <v>#N/A</v>
      </c>
      <c r="AD825">
        <f t="shared" si="13"/>
        <v>3</v>
      </c>
      <c r="AE825" t="e">
        <f t="array" ref="AE825">IF(OR(H825&lt;N$3,H825&gt;N$7),H825,#N/A)</f>
        <v>#N/A</v>
      </c>
      <c r="AF825">
        <f t="shared" si="13"/>
        <v>4</v>
      </c>
      <c r="AG825" t="e">
        <f t="array" ref="AG825">IF(OR(I825&lt;O$3,I825&gt;O$7),I825,#N/A)</f>
        <v>#N/A</v>
      </c>
    </row>
    <row r="826" spans="5:33" x14ac:dyDescent="0.25">
      <c r="E826">
        <v>823</v>
      </c>
      <c r="F826">
        <v>12.181818181818182</v>
      </c>
      <c r="G826">
        <v>13.2</v>
      </c>
      <c r="H826">
        <v>13.54</v>
      </c>
      <c r="I826">
        <v>13.63</v>
      </c>
      <c r="Z826">
        <v>1</v>
      </c>
      <c r="AA826" t="e">
        <f t="array" ref="AA826">IF(OR(F826&lt;L$3,F826&gt;L$7),F826,#N/A)</f>
        <v>#N/A</v>
      </c>
      <c r="AB826">
        <f t="shared" si="13"/>
        <v>2</v>
      </c>
      <c r="AC826" t="e">
        <f t="array" ref="AC826">IF(OR(G826&lt;M$3,G826&gt;M$7),G826,#N/A)</f>
        <v>#N/A</v>
      </c>
      <c r="AD826">
        <f t="shared" si="13"/>
        <v>3</v>
      </c>
      <c r="AE826" t="e">
        <f t="array" ref="AE826">IF(OR(H826&lt;N$3,H826&gt;N$7),H826,#N/A)</f>
        <v>#N/A</v>
      </c>
      <c r="AF826">
        <f t="shared" si="13"/>
        <v>4</v>
      </c>
      <c r="AG826" t="e">
        <f t="array" ref="AG826">IF(OR(I826&lt;O$3,I826&gt;O$7),I826,#N/A)</f>
        <v>#N/A</v>
      </c>
    </row>
    <row r="827" spans="5:33" x14ac:dyDescent="0.25">
      <c r="E827">
        <v>824</v>
      </c>
      <c r="F827">
        <v>15</v>
      </c>
      <c r="G827">
        <v>14.75</v>
      </c>
      <c r="H827">
        <v>13.2</v>
      </c>
      <c r="I827">
        <v>13.84</v>
      </c>
      <c r="Z827">
        <v>1</v>
      </c>
      <c r="AA827" t="e">
        <f t="array" ref="AA827">IF(OR(F827&lt;L$3,F827&gt;L$7),F827,#N/A)</f>
        <v>#N/A</v>
      </c>
      <c r="AB827">
        <f t="shared" si="13"/>
        <v>2</v>
      </c>
      <c r="AC827" t="e">
        <f t="array" ref="AC827">IF(OR(G827&lt;M$3,G827&gt;M$7),G827,#N/A)</f>
        <v>#N/A</v>
      </c>
      <c r="AD827">
        <f t="shared" si="13"/>
        <v>3</v>
      </c>
      <c r="AE827" t="e">
        <f t="array" ref="AE827">IF(OR(H827&lt;N$3,H827&gt;N$7),H827,#N/A)</f>
        <v>#N/A</v>
      </c>
      <c r="AF827">
        <f t="shared" si="13"/>
        <v>4</v>
      </c>
      <c r="AG827" t="e">
        <f t="array" ref="AG827">IF(OR(I827&lt;O$3,I827&gt;O$7),I827,#N/A)</f>
        <v>#N/A</v>
      </c>
    </row>
    <row r="828" spans="5:33" x14ac:dyDescent="0.25">
      <c r="E828">
        <v>825</v>
      </c>
      <c r="F828">
        <v>14</v>
      </c>
      <c r="G828">
        <v>13.6</v>
      </c>
      <c r="H828">
        <v>13.72</v>
      </c>
      <c r="I828">
        <v>14.24</v>
      </c>
      <c r="Z828">
        <v>1</v>
      </c>
      <c r="AA828" t="e">
        <f t="array" ref="AA828">IF(OR(F828&lt;L$3,F828&gt;L$7),F828,#N/A)</f>
        <v>#N/A</v>
      </c>
      <c r="AB828">
        <f t="shared" si="13"/>
        <v>2</v>
      </c>
      <c r="AC828" t="e">
        <f t="array" ref="AC828">IF(OR(G828&lt;M$3,G828&gt;M$7),G828,#N/A)</f>
        <v>#N/A</v>
      </c>
      <c r="AD828">
        <f t="shared" si="13"/>
        <v>3</v>
      </c>
      <c r="AE828" t="e">
        <f t="array" ref="AE828">IF(OR(H828&lt;N$3,H828&gt;N$7),H828,#N/A)</f>
        <v>#N/A</v>
      </c>
      <c r="AF828">
        <f t="shared" si="13"/>
        <v>4</v>
      </c>
      <c r="AG828" t="e">
        <f t="array" ref="AG828">IF(OR(I828&lt;O$3,I828&gt;O$7),I828,#N/A)</f>
        <v>#N/A</v>
      </c>
    </row>
    <row r="829" spans="5:33" x14ac:dyDescent="0.25">
      <c r="E829">
        <v>826</v>
      </c>
      <c r="F829">
        <v>14.181818181818182</v>
      </c>
      <c r="G829">
        <v>15.05</v>
      </c>
      <c r="H829">
        <v>14.54</v>
      </c>
      <c r="I829">
        <v>14.34</v>
      </c>
      <c r="Z829">
        <v>1</v>
      </c>
      <c r="AA829" t="e">
        <f t="array" ref="AA829">IF(OR(F829&lt;L$3,F829&gt;L$7),F829,#N/A)</f>
        <v>#N/A</v>
      </c>
      <c r="AB829">
        <f t="shared" si="13"/>
        <v>2</v>
      </c>
      <c r="AC829" t="e">
        <f t="array" ref="AC829">IF(OR(G829&lt;M$3,G829&gt;M$7),G829,#N/A)</f>
        <v>#N/A</v>
      </c>
      <c r="AD829">
        <f t="shared" si="13"/>
        <v>3</v>
      </c>
      <c r="AE829" t="e">
        <f t="array" ref="AE829">IF(OR(H829&lt;N$3,H829&gt;N$7),H829,#N/A)</f>
        <v>#N/A</v>
      </c>
      <c r="AF829">
        <f t="shared" si="13"/>
        <v>4</v>
      </c>
      <c r="AG829" t="e">
        <f t="array" ref="AG829">IF(OR(I829&lt;O$3,I829&gt;O$7),I829,#N/A)</f>
        <v>#N/A</v>
      </c>
    </row>
    <row r="830" spans="5:33" x14ac:dyDescent="0.25">
      <c r="E830">
        <v>827</v>
      </c>
      <c r="F830">
        <v>13.636363636363637</v>
      </c>
      <c r="G830">
        <v>11.9</v>
      </c>
      <c r="H830">
        <v>13.68</v>
      </c>
      <c r="I830">
        <v>13.73</v>
      </c>
      <c r="Z830">
        <v>1</v>
      </c>
      <c r="AA830" t="e">
        <f t="array" ref="AA830">IF(OR(F830&lt;L$3,F830&gt;L$7),F830,#N/A)</f>
        <v>#N/A</v>
      </c>
      <c r="AB830">
        <f t="shared" si="13"/>
        <v>2</v>
      </c>
      <c r="AC830" t="e">
        <f t="array" ref="AC830">IF(OR(G830&lt;M$3,G830&gt;M$7),G830,#N/A)</f>
        <v>#N/A</v>
      </c>
      <c r="AD830">
        <f t="shared" si="13"/>
        <v>3</v>
      </c>
      <c r="AE830" t="e">
        <f t="array" ref="AE830">IF(OR(H830&lt;N$3,H830&gt;N$7),H830,#N/A)</f>
        <v>#N/A</v>
      </c>
      <c r="AF830">
        <f t="shared" si="13"/>
        <v>4</v>
      </c>
      <c r="AG830" t="e">
        <f t="array" ref="AG830">IF(OR(I830&lt;O$3,I830&gt;O$7),I830,#N/A)</f>
        <v>#N/A</v>
      </c>
    </row>
    <row r="831" spans="5:33" x14ac:dyDescent="0.25">
      <c r="E831">
        <v>828</v>
      </c>
      <c r="F831">
        <v>17.454545454545453</v>
      </c>
      <c r="G831">
        <v>15</v>
      </c>
      <c r="H831">
        <v>15.44</v>
      </c>
      <c r="I831">
        <v>14.86</v>
      </c>
      <c r="Z831">
        <v>1</v>
      </c>
      <c r="AA831" t="e">
        <f t="array" ref="AA831">IF(OR(F831&lt;L$3,F831&gt;L$7),F831,#N/A)</f>
        <v>#N/A</v>
      </c>
      <c r="AB831">
        <f t="shared" si="13"/>
        <v>2</v>
      </c>
      <c r="AC831" t="e">
        <f t="array" ref="AC831">IF(OR(G831&lt;M$3,G831&gt;M$7),G831,#N/A)</f>
        <v>#N/A</v>
      </c>
      <c r="AD831">
        <f t="shared" si="13"/>
        <v>3</v>
      </c>
      <c r="AE831" t="e">
        <f t="array" ref="AE831">IF(OR(H831&lt;N$3,H831&gt;N$7),H831,#N/A)</f>
        <v>#N/A</v>
      </c>
      <c r="AF831">
        <f t="shared" si="13"/>
        <v>4</v>
      </c>
      <c r="AG831" t="e">
        <f t="array" ref="AG831">IF(OR(I831&lt;O$3,I831&gt;O$7),I831,#N/A)</f>
        <v>#N/A</v>
      </c>
    </row>
    <row r="832" spans="5:33" x14ac:dyDescent="0.25">
      <c r="E832">
        <v>829</v>
      </c>
      <c r="F832">
        <v>13.454545454545455</v>
      </c>
      <c r="G832">
        <v>13.25</v>
      </c>
      <c r="H832">
        <v>13.44</v>
      </c>
      <c r="I832">
        <v>13.59</v>
      </c>
      <c r="Z832">
        <v>1</v>
      </c>
      <c r="AA832" t="e">
        <f t="array" ref="AA832">IF(OR(F832&lt;L$3,F832&gt;L$7),F832,#N/A)</f>
        <v>#N/A</v>
      </c>
      <c r="AB832">
        <f t="shared" si="13"/>
        <v>2</v>
      </c>
      <c r="AC832" t="e">
        <f t="array" ref="AC832">IF(OR(G832&lt;M$3,G832&gt;M$7),G832,#N/A)</f>
        <v>#N/A</v>
      </c>
      <c r="AD832">
        <f t="shared" si="13"/>
        <v>3</v>
      </c>
      <c r="AE832" t="e">
        <f t="array" ref="AE832">IF(OR(H832&lt;N$3,H832&gt;N$7),H832,#N/A)</f>
        <v>#N/A</v>
      </c>
      <c r="AF832">
        <f t="shared" si="13"/>
        <v>4</v>
      </c>
      <c r="AG832" t="e">
        <f t="array" ref="AG832">IF(OR(I832&lt;O$3,I832&gt;O$7),I832,#N/A)</f>
        <v>#N/A</v>
      </c>
    </row>
    <row r="833" spans="5:33" x14ac:dyDescent="0.25">
      <c r="E833">
        <v>830</v>
      </c>
      <c r="F833">
        <v>12.818181818181818</v>
      </c>
      <c r="G833">
        <v>11.7</v>
      </c>
      <c r="H833">
        <v>13.02</v>
      </c>
      <c r="I833">
        <v>13.38</v>
      </c>
      <c r="Z833">
        <v>1</v>
      </c>
      <c r="AA833" t="e">
        <f t="array" ref="AA833">IF(OR(F833&lt;L$3,F833&gt;L$7),F833,#N/A)</f>
        <v>#N/A</v>
      </c>
      <c r="AB833">
        <f t="shared" si="13"/>
        <v>2</v>
      </c>
      <c r="AC833" t="e">
        <f t="array" ref="AC833">IF(OR(G833&lt;M$3,G833&gt;M$7),G833,#N/A)</f>
        <v>#N/A</v>
      </c>
      <c r="AD833">
        <f t="shared" si="13"/>
        <v>3</v>
      </c>
      <c r="AE833" t="e">
        <f t="array" ref="AE833">IF(OR(H833&lt;N$3,H833&gt;N$7),H833,#N/A)</f>
        <v>#N/A</v>
      </c>
      <c r="AF833">
        <f t="shared" si="13"/>
        <v>4</v>
      </c>
      <c r="AG833" t="e">
        <f t="array" ref="AG833">IF(OR(I833&lt;O$3,I833&gt;O$7),I833,#N/A)</f>
        <v>#N/A</v>
      </c>
    </row>
    <row r="834" spans="5:33" x14ac:dyDescent="0.25">
      <c r="E834">
        <v>831</v>
      </c>
      <c r="F834">
        <v>16.545454545454547</v>
      </c>
      <c r="G834">
        <v>15.85</v>
      </c>
      <c r="H834">
        <v>14.6</v>
      </c>
      <c r="I834">
        <v>14.73</v>
      </c>
      <c r="Z834">
        <v>1</v>
      </c>
      <c r="AA834" t="e">
        <f t="array" ref="AA834">IF(OR(F834&lt;L$3,F834&gt;L$7),F834,#N/A)</f>
        <v>#N/A</v>
      </c>
      <c r="AB834">
        <f t="shared" si="13"/>
        <v>2</v>
      </c>
      <c r="AC834" t="e">
        <f t="array" ref="AC834">IF(OR(G834&lt;M$3,G834&gt;M$7),G834,#N/A)</f>
        <v>#N/A</v>
      </c>
      <c r="AD834">
        <f t="shared" si="13"/>
        <v>3</v>
      </c>
      <c r="AE834" t="e">
        <f t="array" ref="AE834">IF(OR(H834&lt;N$3,H834&gt;N$7),H834,#N/A)</f>
        <v>#N/A</v>
      </c>
      <c r="AF834">
        <f t="shared" si="13"/>
        <v>4</v>
      </c>
      <c r="AG834" t="e">
        <f t="array" ref="AG834">IF(OR(I834&lt;O$3,I834&gt;O$7),I834,#N/A)</f>
        <v>#N/A</v>
      </c>
    </row>
    <row r="835" spans="5:33" x14ac:dyDescent="0.25">
      <c r="E835">
        <v>832</v>
      </c>
      <c r="F835">
        <v>10.090909090909092</v>
      </c>
      <c r="G835">
        <v>12.35</v>
      </c>
      <c r="H835">
        <v>12.76</v>
      </c>
      <c r="I835">
        <v>13.65</v>
      </c>
      <c r="Z835">
        <v>1</v>
      </c>
      <c r="AA835" t="e">
        <f t="array" ref="AA835">IF(OR(F835&lt;L$3,F835&gt;L$7),F835,#N/A)</f>
        <v>#N/A</v>
      </c>
      <c r="AB835">
        <f t="shared" si="13"/>
        <v>2</v>
      </c>
      <c r="AC835" t="e">
        <f t="array" ref="AC835">IF(OR(G835&lt;M$3,G835&gt;M$7),G835,#N/A)</f>
        <v>#N/A</v>
      </c>
      <c r="AD835">
        <f t="shared" si="13"/>
        <v>3</v>
      </c>
      <c r="AE835" t="e">
        <f t="array" ref="AE835">IF(OR(H835&lt;N$3,H835&gt;N$7),H835,#N/A)</f>
        <v>#N/A</v>
      </c>
      <c r="AF835">
        <f t="shared" si="13"/>
        <v>4</v>
      </c>
      <c r="AG835" t="e">
        <f t="array" ref="AG835">IF(OR(I835&lt;O$3,I835&gt;O$7),I835,#N/A)</f>
        <v>#N/A</v>
      </c>
    </row>
    <row r="836" spans="5:33" x14ac:dyDescent="0.25">
      <c r="E836">
        <v>833</v>
      </c>
      <c r="F836">
        <v>15.909090909090908</v>
      </c>
      <c r="G836">
        <v>16.149999999999999</v>
      </c>
      <c r="H836">
        <v>14.48</v>
      </c>
      <c r="I836">
        <v>14.13</v>
      </c>
      <c r="Z836">
        <v>1</v>
      </c>
      <c r="AA836" t="e">
        <f t="array" ref="AA836">IF(OR(F836&lt;L$3,F836&gt;L$7),F836,#N/A)</f>
        <v>#N/A</v>
      </c>
      <c r="AB836">
        <f t="shared" si="13"/>
        <v>2</v>
      </c>
      <c r="AC836" t="e">
        <f t="array" ref="AC836">IF(OR(G836&lt;M$3,G836&gt;M$7),G836,#N/A)</f>
        <v>#N/A</v>
      </c>
      <c r="AD836">
        <f t="shared" si="13"/>
        <v>3</v>
      </c>
      <c r="AE836" t="e">
        <f t="array" ref="AE836">IF(OR(H836&lt;N$3,H836&gt;N$7),H836,#N/A)</f>
        <v>#N/A</v>
      </c>
      <c r="AF836">
        <f t="shared" si="13"/>
        <v>4</v>
      </c>
      <c r="AG836" t="e">
        <f t="array" ref="AG836">IF(OR(I836&lt;O$3,I836&gt;O$7),I836,#N/A)</f>
        <v>#N/A</v>
      </c>
    </row>
    <row r="837" spans="5:33" x14ac:dyDescent="0.25">
      <c r="E837">
        <v>834</v>
      </c>
      <c r="F837">
        <v>13.090909090909092</v>
      </c>
      <c r="G837">
        <v>13.2</v>
      </c>
      <c r="H837">
        <v>13.58</v>
      </c>
      <c r="I837">
        <v>13.78</v>
      </c>
      <c r="Z837">
        <v>1</v>
      </c>
      <c r="AA837" t="e">
        <f t="array" ref="AA837">IF(OR(F837&lt;L$3,F837&gt;L$7),F837,#N/A)</f>
        <v>#N/A</v>
      </c>
      <c r="AB837">
        <f t="shared" ref="AB837:AF900" si="14">Z837+1</f>
        <v>2</v>
      </c>
      <c r="AC837" t="e">
        <f t="array" ref="AC837">IF(OR(G837&lt;M$3,G837&gt;M$7),G837,#N/A)</f>
        <v>#N/A</v>
      </c>
      <c r="AD837">
        <f t="shared" si="14"/>
        <v>3</v>
      </c>
      <c r="AE837" t="e">
        <f t="array" ref="AE837">IF(OR(H837&lt;N$3,H837&gt;N$7),H837,#N/A)</f>
        <v>#N/A</v>
      </c>
      <c r="AF837">
        <f t="shared" si="14"/>
        <v>4</v>
      </c>
      <c r="AG837" t="e">
        <f t="array" ref="AG837">IF(OR(I837&lt;O$3,I837&gt;O$7),I837,#N/A)</f>
        <v>#N/A</v>
      </c>
    </row>
    <row r="838" spans="5:33" x14ac:dyDescent="0.25">
      <c r="E838">
        <v>835</v>
      </c>
      <c r="F838">
        <v>12.818181818181818</v>
      </c>
      <c r="G838">
        <v>13.3</v>
      </c>
      <c r="H838">
        <v>12.8</v>
      </c>
      <c r="I838">
        <v>13.17</v>
      </c>
      <c r="Z838">
        <v>1</v>
      </c>
      <c r="AA838" t="e">
        <f t="array" ref="AA838">IF(OR(F838&lt;L$3,F838&gt;L$7),F838,#N/A)</f>
        <v>#N/A</v>
      </c>
      <c r="AB838">
        <f t="shared" si="14"/>
        <v>2</v>
      </c>
      <c r="AC838" t="e">
        <f t="array" ref="AC838">IF(OR(G838&lt;M$3,G838&gt;M$7),G838,#N/A)</f>
        <v>#N/A</v>
      </c>
      <c r="AD838">
        <f t="shared" si="14"/>
        <v>3</v>
      </c>
      <c r="AE838" t="e">
        <f t="array" ref="AE838">IF(OR(H838&lt;N$3,H838&gt;N$7),H838,#N/A)</f>
        <v>#N/A</v>
      </c>
      <c r="AF838">
        <f t="shared" si="14"/>
        <v>4</v>
      </c>
      <c r="AG838" t="e">
        <f t="array" ref="AG838">IF(OR(I838&lt;O$3,I838&gt;O$7),I838,#N/A)</f>
        <v>#N/A</v>
      </c>
    </row>
    <row r="839" spans="5:33" x14ac:dyDescent="0.25">
      <c r="E839">
        <v>836</v>
      </c>
      <c r="F839">
        <v>13.272727272727273</v>
      </c>
      <c r="G839">
        <v>11.9</v>
      </c>
      <c r="H839">
        <v>13.16</v>
      </c>
      <c r="I839">
        <v>13.03</v>
      </c>
      <c r="Z839">
        <v>1</v>
      </c>
      <c r="AA839" t="e">
        <f t="array" ref="AA839">IF(OR(F839&lt;L$3,F839&gt;L$7),F839,#N/A)</f>
        <v>#N/A</v>
      </c>
      <c r="AB839">
        <f t="shared" si="14"/>
        <v>2</v>
      </c>
      <c r="AC839" t="e">
        <f t="array" ref="AC839">IF(OR(G839&lt;M$3,G839&gt;M$7),G839,#N/A)</f>
        <v>#N/A</v>
      </c>
      <c r="AD839">
        <f t="shared" si="14"/>
        <v>3</v>
      </c>
      <c r="AE839" t="e">
        <f t="array" ref="AE839">IF(OR(H839&lt;N$3,H839&gt;N$7),H839,#N/A)</f>
        <v>#N/A</v>
      </c>
      <c r="AF839">
        <f t="shared" si="14"/>
        <v>4</v>
      </c>
      <c r="AG839" t="e">
        <f t="array" ref="AG839">IF(OR(I839&lt;O$3,I839&gt;O$7),I839,#N/A)</f>
        <v>#N/A</v>
      </c>
    </row>
    <row r="840" spans="5:33" x14ac:dyDescent="0.25">
      <c r="E840">
        <v>837</v>
      </c>
      <c r="F840">
        <v>14.454545454545455</v>
      </c>
      <c r="G840">
        <v>12.75</v>
      </c>
      <c r="H840">
        <v>13.04</v>
      </c>
      <c r="I840">
        <v>13.38</v>
      </c>
      <c r="Z840">
        <v>1</v>
      </c>
      <c r="AA840" t="e">
        <f t="array" ref="AA840">IF(OR(F840&lt;L$3,F840&gt;L$7),F840,#N/A)</f>
        <v>#N/A</v>
      </c>
      <c r="AB840">
        <f t="shared" si="14"/>
        <v>2</v>
      </c>
      <c r="AC840" t="e">
        <f t="array" ref="AC840">IF(OR(G840&lt;M$3,G840&gt;M$7),G840,#N/A)</f>
        <v>#N/A</v>
      </c>
      <c r="AD840">
        <f t="shared" si="14"/>
        <v>3</v>
      </c>
      <c r="AE840" t="e">
        <f t="array" ref="AE840">IF(OR(H840&lt;N$3,H840&gt;N$7),H840,#N/A)</f>
        <v>#N/A</v>
      </c>
      <c r="AF840">
        <f t="shared" si="14"/>
        <v>4</v>
      </c>
      <c r="AG840" t="e">
        <f t="array" ref="AG840">IF(OR(I840&lt;O$3,I840&gt;O$7),I840,#N/A)</f>
        <v>#N/A</v>
      </c>
    </row>
    <row r="841" spans="5:33" x14ac:dyDescent="0.25">
      <c r="E841">
        <v>838</v>
      </c>
      <c r="F841">
        <v>18.272727272727273</v>
      </c>
      <c r="G841">
        <v>16</v>
      </c>
      <c r="H841">
        <v>16.100000000000001</v>
      </c>
      <c r="I841">
        <v>14.95</v>
      </c>
      <c r="Z841">
        <v>1</v>
      </c>
      <c r="AA841" t="e">
        <f t="array" ref="AA841">IF(OR(F841&lt;L$3,F841&gt;L$7),F841,#N/A)</f>
        <v>#N/A</v>
      </c>
      <c r="AB841">
        <f t="shared" si="14"/>
        <v>2</v>
      </c>
      <c r="AC841" t="e">
        <f t="array" ref="AC841">IF(OR(G841&lt;M$3,G841&gt;M$7),G841,#N/A)</f>
        <v>#N/A</v>
      </c>
      <c r="AD841">
        <f t="shared" si="14"/>
        <v>3</v>
      </c>
      <c r="AE841" t="e">
        <f t="array" ref="AE841">IF(OR(H841&lt;N$3,H841&gt;N$7),H841,#N/A)</f>
        <v>#N/A</v>
      </c>
      <c r="AF841">
        <f t="shared" si="14"/>
        <v>4</v>
      </c>
      <c r="AG841" t="e">
        <f t="array" ref="AG841">IF(OR(I841&lt;O$3,I841&gt;O$7),I841,#N/A)</f>
        <v>#N/A</v>
      </c>
    </row>
    <row r="842" spans="5:33" x14ac:dyDescent="0.25">
      <c r="E842">
        <v>839</v>
      </c>
      <c r="F842">
        <v>13.636363636363637</v>
      </c>
      <c r="G842">
        <v>12.4</v>
      </c>
      <c r="H842">
        <v>12.98</v>
      </c>
      <c r="I842">
        <v>13.42</v>
      </c>
      <c r="Z842">
        <v>1</v>
      </c>
      <c r="AA842" t="e">
        <f t="array" ref="AA842">IF(OR(F842&lt;L$3,F842&gt;L$7),F842,#N/A)</f>
        <v>#N/A</v>
      </c>
      <c r="AB842">
        <f t="shared" si="14"/>
        <v>2</v>
      </c>
      <c r="AC842" t="e">
        <f t="array" ref="AC842">IF(OR(G842&lt;M$3,G842&gt;M$7),G842,#N/A)</f>
        <v>#N/A</v>
      </c>
      <c r="AD842">
        <f t="shared" si="14"/>
        <v>3</v>
      </c>
      <c r="AE842" t="e">
        <f t="array" ref="AE842">IF(OR(H842&lt;N$3,H842&gt;N$7),H842,#N/A)</f>
        <v>#N/A</v>
      </c>
      <c r="AF842">
        <f t="shared" si="14"/>
        <v>4</v>
      </c>
      <c r="AG842" t="e">
        <f t="array" ref="AG842">IF(OR(I842&lt;O$3,I842&gt;O$7),I842,#N/A)</f>
        <v>#N/A</v>
      </c>
    </row>
    <row r="843" spans="5:33" x14ac:dyDescent="0.25">
      <c r="E843">
        <v>840</v>
      </c>
      <c r="F843">
        <v>10.818181818181818</v>
      </c>
      <c r="G843">
        <v>11.5</v>
      </c>
      <c r="H843">
        <v>13.82</v>
      </c>
      <c r="I843">
        <v>14.23</v>
      </c>
      <c r="Z843">
        <v>1</v>
      </c>
      <c r="AA843" t="e">
        <f t="array" ref="AA843">IF(OR(F843&lt;L$3,F843&gt;L$7),F843,#N/A)</f>
        <v>#N/A</v>
      </c>
      <c r="AB843">
        <f t="shared" si="14"/>
        <v>2</v>
      </c>
      <c r="AC843" t="e">
        <f t="array" ref="AC843">IF(OR(G843&lt;M$3,G843&gt;M$7),G843,#N/A)</f>
        <v>#N/A</v>
      </c>
      <c r="AD843">
        <f t="shared" si="14"/>
        <v>3</v>
      </c>
      <c r="AE843" t="e">
        <f t="array" ref="AE843">IF(OR(H843&lt;N$3,H843&gt;N$7),H843,#N/A)</f>
        <v>#N/A</v>
      </c>
      <c r="AF843">
        <f t="shared" si="14"/>
        <v>4</v>
      </c>
      <c r="AG843" t="e">
        <f t="array" ref="AG843">IF(OR(I843&lt;O$3,I843&gt;O$7),I843,#N/A)</f>
        <v>#N/A</v>
      </c>
    </row>
    <row r="844" spans="5:33" x14ac:dyDescent="0.25">
      <c r="E844">
        <v>841</v>
      </c>
      <c r="F844">
        <v>20.90909090909091</v>
      </c>
      <c r="G844">
        <v>16.75</v>
      </c>
      <c r="H844">
        <v>15.48</v>
      </c>
      <c r="I844">
        <v>14.93</v>
      </c>
      <c r="Z844">
        <v>1</v>
      </c>
      <c r="AA844">
        <f t="array" ref="AA844">IF(OR(F844&lt;L$3,F844&gt;L$7),F844,#N/A)</f>
        <v>20.90909090909091</v>
      </c>
      <c r="AB844">
        <f t="shared" si="14"/>
        <v>2</v>
      </c>
      <c r="AC844" t="e">
        <f t="array" ref="AC844">IF(OR(G844&lt;M$3,G844&gt;M$7),G844,#N/A)</f>
        <v>#N/A</v>
      </c>
      <c r="AD844">
        <f t="shared" si="14"/>
        <v>3</v>
      </c>
      <c r="AE844" t="e">
        <f t="array" ref="AE844">IF(OR(H844&lt;N$3,H844&gt;N$7),H844,#N/A)</f>
        <v>#N/A</v>
      </c>
      <c r="AF844">
        <f t="shared" si="14"/>
        <v>4</v>
      </c>
      <c r="AG844" t="e">
        <f t="array" ref="AG844">IF(OR(I844&lt;O$3,I844&gt;O$7),I844,#N/A)</f>
        <v>#N/A</v>
      </c>
    </row>
    <row r="845" spans="5:33" x14ac:dyDescent="0.25">
      <c r="E845">
        <v>842</v>
      </c>
      <c r="F845">
        <v>12.727272727272727</v>
      </c>
      <c r="G845">
        <v>13.25</v>
      </c>
      <c r="H845">
        <v>16</v>
      </c>
      <c r="I845">
        <v>14.58</v>
      </c>
      <c r="Z845">
        <v>1</v>
      </c>
      <c r="AA845" t="e">
        <f t="array" ref="AA845">IF(OR(F845&lt;L$3,F845&gt;L$7),F845,#N/A)</f>
        <v>#N/A</v>
      </c>
      <c r="AB845">
        <f t="shared" si="14"/>
        <v>2</v>
      </c>
      <c r="AC845" t="e">
        <f t="array" ref="AC845">IF(OR(G845&lt;M$3,G845&gt;M$7),G845,#N/A)</f>
        <v>#N/A</v>
      </c>
      <c r="AD845">
        <f t="shared" si="14"/>
        <v>3</v>
      </c>
      <c r="AE845" t="e">
        <f t="array" ref="AE845">IF(OR(H845&lt;N$3,H845&gt;N$7),H845,#N/A)</f>
        <v>#N/A</v>
      </c>
      <c r="AF845">
        <f t="shared" si="14"/>
        <v>4</v>
      </c>
      <c r="AG845" t="e">
        <f t="array" ref="AG845">IF(OR(I845&lt;O$3,I845&gt;O$7),I845,#N/A)</f>
        <v>#N/A</v>
      </c>
    </row>
    <row r="846" spans="5:33" x14ac:dyDescent="0.25">
      <c r="E846">
        <v>843</v>
      </c>
      <c r="F846">
        <v>16.636363636363637</v>
      </c>
      <c r="G846">
        <v>16.850000000000001</v>
      </c>
      <c r="H846">
        <v>15.98</v>
      </c>
      <c r="I846">
        <v>14.6</v>
      </c>
      <c r="Z846">
        <v>1</v>
      </c>
      <c r="AA846" t="e">
        <f t="array" ref="AA846">IF(OR(F846&lt;L$3,F846&gt;L$7),F846,#N/A)</f>
        <v>#N/A</v>
      </c>
      <c r="AB846">
        <f t="shared" si="14"/>
        <v>2</v>
      </c>
      <c r="AC846" t="e">
        <f t="array" ref="AC846">IF(OR(G846&lt;M$3,G846&gt;M$7),G846,#N/A)</f>
        <v>#N/A</v>
      </c>
      <c r="AD846">
        <f t="shared" si="14"/>
        <v>3</v>
      </c>
      <c r="AE846" t="e">
        <f t="array" ref="AE846">IF(OR(H846&lt;N$3,H846&gt;N$7),H846,#N/A)</f>
        <v>#N/A</v>
      </c>
      <c r="AF846">
        <f t="shared" si="14"/>
        <v>4</v>
      </c>
      <c r="AG846" t="e">
        <f t="array" ref="AG846">IF(OR(I846&lt;O$3,I846&gt;O$7),I846,#N/A)</f>
        <v>#N/A</v>
      </c>
    </row>
    <row r="847" spans="5:33" x14ac:dyDescent="0.25">
      <c r="E847">
        <v>844</v>
      </c>
      <c r="F847">
        <v>12.909090909090908</v>
      </c>
      <c r="G847">
        <v>13</v>
      </c>
      <c r="H847">
        <v>12.74</v>
      </c>
      <c r="I847">
        <v>13.42</v>
      </c>
      <c r="Z847">
        <v>1</v>
      </c>
      <c r="AA847" t="e">
        <f t="array" ref="AA847">IF(OR(F847&lt;L$3,F847&gt;L$7),F847,#N/A)</f>
        <v>#N/A</v>
      </c>
      <c r="AB847">
        <f t="shared" si="14"/>
        <v>2</v>
      </c>
      <c r="AC847" t="e">
        <f t="array" ref="AC847">IF(OR(G847&lt;M$3,G847&gt;M$7),G847,#N/A)</f>
        <v>#N/A</v>
      </c>
      <c r="AD847">
        <f t="shared" si="14"/>
        <v>3</v>
      </c>
      <c r="AE847" t="e">
        <f t="array" ref="AE847">IF(OR(H847&lt;N$3,H847&gt;N$7),H847,#N/A)</f>
        <v>#N/A</v>
      </c>
      <c r="AF847">
        <f t="shared" si="14"/>
        <v>4</v>
      </c>
      <c r="AG847" t="e">
        <f t="array" ref="AG847">IF(OR(I847&lt;O$3,I847&gt;O$7),I847,#N/A)</f>
        <v>#N/A</v>
      </c>
    </row>
    <row r="848" spans="5:33" x14ac:dyDescent="0.25">
      <c r="E848">
        <v>845</v>
      </c>
      <c r="F848">
        <v>14.636363636363637</v>
      </c>
      <c r="G848">
        <v>13.85</v>
      </c>
      <c r="H848">
        <v>13.8</v>
      </c>
      <c r="I848">
        <v>14.56</v>
      </c>
      <c r="Z848">
        <v>1</v>
      </c>
      <c r="AA848" t="e">
        <f t="array" ref="AA848">IF(OR(F848&lt;L$3,F848&gt;L$7),F848,#N/A)</f>
        <v>#N/A</v>
      </c>
      <c r="AB848">
        <f t="shared" si="14"/>
        <v>2</v>
      </c>
      <c r="AC848" t="e">
        <f t="array" ref="AC848">IF(OR(G848&lt;M$3,G848&gt;M$7),G848,#N/A)</f>
        <v>#N/A</v>
      </c>
      <c r="AD848">
        <f t="shared" si="14"/>
        <v>3</v>
      </c>
      <c r="AE848" t="e">
        <f t="array" ref="AE848">IF(OR(H848&lt;N$3,H848&gt;N$7),H848,#N/A)</f>
        <v>#N/A</v>
      </c>
      <c r="AF848">
        <f t="shared" si="14"/>
        <v>4</v>
      </c>
      <c r="AG848" t="e">
        <f t="array" ref="AG848">IF(OR(I848&lt;O$3,I848&gt;O$7),I848,#N/A)</f>
        <v>#N/A</v>
      </c>
    </row>
    <row r="849" spans="5:33" x14ac:dyDescent="0.25">
      <c r="E849">
        <v>846</v>
      </c>
      <c r="F849">
        <v>14.545454545454545</v>
      </c>
      <c r="G849">
        <v>14.3</v>
      </c>
      <c r="H849">
        <v>13.62</v>
      </c>
      <c r="I849">
        <v>13.56</v>
      </c>
      <c r="Z849">
        <v>1</v>
      </c>
      <c r="AA849" t="e">
        <f t="array" ref="AA849">IF(OR(F849&lt;L$3,F849&gt;L$7),F849,#N/A)</f>
        <v>#N/A</v>
      </c>
      <c r="AB849">
        <f t="shared" si="14"/>
        <v>2</v>
      </c>
      <c r="AC849" t="e">
        <f t="array" ref="AC849">IF(OR(G849&lt;M$3,G849&gt;M$7),G849,#N/A)</f>
        <v>#N/A</v>
      </c>
      <c r="AD849">
        <f t="shared" si="14"/>
        <v>3</v>
      </c>
      <c r="AE849" t="e">
        <f t="array" ref="AE849">IF(OR(H849&lt;N$3,H849&gt;N$7),H849,#N/A)</f>
        <v>#N/A</v>
      </c>
      <c r="AF849">
        <f t="shared" si="14"/>
        <v>4</v>
      </c>
      <c r="AG849" t="e">
        <f t="array" ref="AG849">IF(OR(I849&lt;O$3,I849&gt;O$7),I849,#N/A)</f>
        <v>#N/A</v>
      </c>
    </row>
    <row r="850" spans="5:33" x14ac:dyDescent="0.25">
      <c r="E850">
        <v>847</v>
      </c>
      <c r="F850">
        <v>16</v>
      </c>
      <c r="G850">
        <v>16.3</v>
      </c>
      <c r="H850">
        <v>14.86</v>
      </c>
      <c r="I850">
        <v>12.94</v>
      </c>
      <c r="Z850">
        <v>1</v>
      </c>
      <c r="AA850" t="e">
        <f t="array" ref="AA850">IF(OR(F850&lt;L$3,F850&gt;L$7),F850,#N/A)</f>
        <v>#N/A</v>
      </c>
      <c r="AB850">
        <f t="shared" si="14"/>
        <v>2</v>
      </c>
      <c r="AC850" t="e">
        <f t="array" ref="AC850">IF(OR(G850&lt;M$3,G850&gt;M$7),G850,#N/A)</f>
        <v>#N/A</v>
      </c>
      <c r="AD850">
        <f t="shared" si="14"/>
        <v>3</v>
      </c>
      <c r="AE850" t="e">
        <f t="array" ref="AE850">IF(OR(H850&lt;N$3,H850&gt;N$7),H850,#N/A)</f>
        <v>#N/A</v>
      </c>
      <c r="AF850">
        <f t="shared" si="14"/>
        <v>4</v>
      </c>
      <c r="AG850" t="e">
        <f t="array" ref="AG850">IF(OR(I850&lt;O$3,I850&gt;O$7),I850,#N/A)</f>
        <v>#N/A</v>
      </c>
    </row>
    <row r="851" spans="5:33" x14ac:dyDescent="0.25">
      <c r="E851">
        <v>848</v>
      </c>
      <c r="F851">
        <v>14.363636363636363</v>
      </c>
      <c r="G851">
        <v>11.6</v>
      </c>
      <c r="H851">
        <v>13.44</v>
      </c>
      <c r="I851">
        <v>12.83</v>
      </c>
      <c r="Z851">
        <v>1</v>
      </c>
      <c r="AA851" t="e">
        <f t="array" ref="AA851">IF(OR(F851&lt;L$3,F851&gt;L$7),F851,#N/A)</f>
        <v>#N/A</v>
      </c>
      <c r="AB851">
        <f t="shared" si="14"/>
        <v>2</v>
      </c>
      <c r="AC851" t="e">
        <f t="array" ref="AC851">IF(OR(G851&lt;M$3,G851&gt;M$7),G851,#N/A)</f>
        <v>#N/A</v>
      </c>
      <c r="AD851">
        <f t="shared" si="14"/>
        <v>3</v>
      </c>
      <c r="AE851" t="e">
        <f t="array" ref="AE851">IF(OR(H851&lt;N$3,H851&gt;N$7),H851,#N/A)</f>
        <v>#N/A</v>
      </c>
      <c r="AF851">
        <f t="shared" si="14"/>
        <v>4</v>
      </c>
      <c r="AG851" t="e">
        <f t="array" ref="AG851">IF(OR(I851&lt;O$3,I851&gt;O$7),I851,#N/A)</f>
        <v>#N/A</v>
      </c>
    </row>
    <row r="852" spans="5:33" x14ac:dyDescent="0.25">
      <c r="E852">
        <v>849</v>
      </c>
      <c r="F852">
        <v>11.545454545454545</v>
      </c>
      <c r="G852">
        <v>11.65</v>
      </c>
      <c r="H852">
        <v>13.36</v>
      </c>
      <c r="I852">
        <v>13.9</v>
      </c>
      <c r="Z852">
        <v>1</v>
      </c>
      <c r="AA852" t="e">
        <f t="array" ref="AA852">IF(OR(F852&lt;L$3,F852&gt;L$7),F852,#N/A)</f>
        <v>#N/A</v>
      </c>
      <c r="AB852">
        <f t="shared" si="14"/>
        <v>2</v>
      </c>
      <c r="AC852" t="e">
        <f t="array" ref="AC852">IF(OR(G852&lt;M$3,G852&gt;M$7),G852,#N/A)</f>
        <v>#N/A</v>
      </c>
      <c r="AD852">
        <f t="shared" si="14"/>
        <v>3</v>
      </c>
      <c r="AE852" t="e">
        <f t="array" ref="AE852">IF(OR(H852&lt;N$3,H852&gt;N$7),H852,#N/A)</f>
        <v>#N/A</v>
      </c>
      <c r="AF852">
        <f t="shared" si="14"/>
        <v>4</v>
      </c>
      <c r="AG852" t="e">
        <f t="array" ref="AG852">IF(OR(I852&lt;O$3,I852&gt;O$7),I852,#N/A)</f>
        <v>#N/A</v>
      </c>
    </row>
    <row r="853" spans="5:33" x14ac:dyDescent="0.25">
      <c r="E853">
        <v>850</v>
      </c>
      <c r="F853">
        <v>14.090909090909092</v>
      </c>
      <c r="G853">
        <v>16.55</v>
      </c>
      <c r="H853">
        <v>14.38</v>
      </c>
      <c r="I853">
        <v>14</v>
      </c>
      <c r="Z853">
        <v>1</v>
      </c>
      <c r="AA853" t="e">
        <f t="array" ref="AA853">IF(OR(F853&lt;L$3,F853&gt;L$7),F853,#N/A)</f>
        <v>#N/A</v>
      </c>
      <c r="AB853">
        <f t="shared" si="14"/>
        <v>2</v>
      </c>
      <c r="AC853" t="e">
        <f t="array" ref="AC853">IF(OR(G853&lt;M$3,G853&gt;M$7),G853,#N/A)</f>
        <v>#N/A</v>
      </c>
      <c r="AD853">
        <f t="shared" si="14"/>
        <v>3</v>
      </c>
      <c r="AE853" t="e">
        <f t="array" ref="AE853">IF(OR(H853&lt;N$3,H853&gt;N$7),H853,#N/A)</f>
        <v>#N/A</v>
      </c>
      <c r="AF853">
        <f t="shared" si="14"/>
        <v>4</v>
      </c>
      <c r="AG853" t="e">
        <f t="array" ref="AG853">IF(OR(I853&lt;O$3,I853&gt;O$7),I853,#N/A)</f>
        <v>#N/A</v>
      </c>
    </row>
    <row r="854" spans="5:33" x14ac:dyDescent="0.25">
      <c r="E854">
        <v>851</v>
      </c>
      <c r="F854">
        <v>12.181818181818182</v>
      </c>
      <c r="G854">
        <v>13.55</v>
      </c>
      <c r="H854">
        <v>14.82</v>
      </c>
      <c r="I854">
        <v>13.89</v>
      </c>
      <c r="Z854">
        <v>1</v>
      </c>
      <c r="AA854" t="e">
        <f t="array" ref="AA854">IF(OR(F854&lt;L$3,F854&gt;L$7),F854,#N/A)</f>
        <v>#N/A</v>
      </c>
      <c r="AB854">
        <f t="shared" si="14"/>
        <v>2</v>
      </c>
      <c r="AC854" t="e">
        <f t="array" ref="AC854">IF(OR(G854&lt;M$3,G854&gt;M$7),G854,#N/A)</f>
        <v>#N/A</v>
      </c>
      <c r="AD854">
        <f t="shared" si="14"/>
        <v>3</v>
      </c>
      <c r="AE854" t="e">
        <f t="array" ref="AE854">IF(OR(H854&lt;N$3,H854&gt;N$7),H854,#N/A)</f>
        <v>#N/A</v>
      </c>
      <c r="AF854">
        <f t="shared" si="14"/>
        <v>4</v>
      </c>
      <c r="AG854" t="e">
        <f t="array" ref="AG854">IF(OR(I854&lt;O$3,I854&gt;O$7),I854,#N/A)</f>
        <v>#N/A</v>
      </c>
    </row>
    <row r="855" spans="5:33" x14ac:dyDescent="0.25">
      <c r="E855">
        <v>852</v>
      </c>
      <c r="F855">
        <v>18.363636363636363</v>
      </c>
      <c r="G855">
        <v>17.55</v>
      </c>
      <c r="H855">
        <v>15.38</v>
      </c>
      <c r="I855">
        <v>14.12</v>
      </c>
      <c r="Z855">
        <v>1</v>
      </c>
      <c r="AA855" t="e">
        <f t="array" ref="AA855">IF(OR(F855&lt;L$3,F855&gt;L$7),F855,#N/A)</f>
        <v>#N/A</v>
      </c>
      <c r="AB855">
        <f t="shared" si="14"/>
        <v>2</v>
      </c>
      <c r="AC855" t="e">
        <f t="array" ref="AC855">IF(OR(G855&lt;M$3,G855&gt;M$7),G855,#N/A)</f>
        <v>#N/A</v>
      </c>
      <c r="AD855">
        <f t="shared" si="14"/>
        <v>3</v>
      </c>
      <c r="AE855" t="e">
        <f t="array" ref="AE855">IF(OR(H855&lt;N$3,H855&gt;N$7),H855,#N/A)</f>
        <v>#N/A</v>
      </c>
      <c r="AF855">
        <f t="shared" si="14"/>
        <v>4</v>
      </c>
      <c r="AG855" t="e">
        <f t="array" ref="AG855">IF(OR(I855&lt;O$3,I855&gt;O$7),I855,#N/A)</f>
        <v>#N/A</v>
      </c>
    </row>
    <row r="856" spans="5:33" x14ac:dyDescent="0.25">
      <c r="E856">
        <v>853</v>
      </c>
      <c r="F856">
        <v>12.181818181818182</v>
      </c>
      <c r="G856">
        <v>13.1</v>
      </c>
      <c r="H856">
        <v>13.76</v>
      </c>
      <c r="I856">
        <v>14.24</v>
      </c>
      <c r="Z856">
        <v>1</v>
      </c>
      <c r="AA856" t="e">
        <f t="array" ref="AA856">IF(OR(F856&lt;L$3,F856&gt;L$7),F856,#N/A)</f>
        <v>#N/A</v>
      </c>
      <c r="AB856">
        <f t="shared" si="14"/>
        <v>2</v>
      </c>
      <c r="AC856" t="e">
        <f t="array" ref="AC856">IF(OR(G856&lt;M$3,G856&gt;M$7),G856,#N/A)</f>
        <v>#N/A</v>
      </c>
      <c r="AD856">
        <f t="shared" si="14"/>
        <v>3</v>
      </c>
      <c r="AE856" t="e">
        <f t="array" ref="AE856">IF(OR(H856&lt;N$3,H856&gt;N$7),H856,#N/A)</f>
        <v>#N/A</v>
      </c>
      <c r="AF856">
        <f t="shared" si="14"/>
        <v>4</v>
      </c>
      <c r="AG856" t="e">
        <f t="array" ref="AG856">IF(OR(I856&lt;O$3,I856&gt;O$7),I856,#N/A)</f>
        <v>#N/A</v>
      </c>
    </row>
    <row r="857" spans="5:33" x14ac:dyDescent="0.25">
      <c r="E857">
        <v>854</v>
      </c>
      <c r="F857">
        <v>11.454545454545455</v>
      </c>
      <c r="G857">
        <v>11.9</v>
      </c>
      <c r="H857">
        <v>13.08</v>
      </c>
      <c r="I857">
        <v>13.82</v>
      </c>
      <c r="Z857">
        <v>1</v>
      </c>
      <c r="AA857" t="e">
        <f t="array" ref="AA857">IF(OR(F857&lt;L$3,F857&gt;L$7),F857,#N/A)</f>
        <v>#N/A</v>
      </c>
      <c r="AB857">
        <f t="shared" si="14"/>
        <v>2</v>
      </c>
      <c r="AC857" t="e">
        <f t="array" ref="AC857">IF(OR(G857&lt;M$3,G857&gt;M$7),G857,#N/A)</f>
        <v>#N/A</v>
      </c>
      <c r="AD857">
        <f t="shared" si="14"/>
        <v>3</v>
      </c>
      <c r="AE857" t="e">
        <f t="array" ref="AE857">IF(OR(H857&lt;N$3,H857&gt;N$7),H857,#N/A)</f>
        <v>#N/A</v>
      </c>
      <c r="AF857">
        <f t="shared" si="14"/>
        <v>4</v>
      </c>
      <c r="AG857" t="e">
        <f t="array" ref="AG857">IF(OR(I857&lt;O$3,I857&gt;O$7),I857,#N/A)</f>
        <v>#N/A</v>
      </c>
    </row>
    <row r="858" spans="5:33" x14ac:dyDescent="0.25">
      <c r="E858">
        <v>855</v>
      </c>
      <c r="F858">
        <v>14.363636363636363</v>
      </c>
      <c r="G858">
        <v>13.85</v>
      </c>
      <c r="H858">
        <v>13.84</v>
      </c>
      <c r="I858">
        <v>13.85</v>
      </c>
      <c r="Z858">
        <v>1</v>
      </c>
      <c r="AA858" t="e">
        <f t="array" ref="AA858">IF(OR(F858&lt;L$3,F858&gt;L$7),F858,#N/A)</f>
        <v>#N/A</v>
      </c>
      <c r="AB858">
        <f t="shared" si="14"/>
        <v>2</v>
      </c>
      <c r="AC858" t="e">
        <f t="array" ref="AC858">IF(OR(G858&lt;M$3,G858&gt;M$7),G858,#N/A)</f>
        <v>#N/A</v>
      </c>
      <c r="AD858">
        <f t="shared" si="14"/>
        <v>3</v>
      </c>
      <c r="AE858" t="e">
        <f t="array" ref="AE858">IF(OR(H858&lt;N$3,H858&gt;N$7),H858,#N/A)</f>
        <v>#N/A</v>
      </c>
      <c r="AF858">
        <f t="shared" si="14"/>
        <v>4</v>
      </c>
      <c r="AG858" t="e">
        <f t="array" ref="AG858">IF(OR(I858&lt;O$3,I858&gt;O$7),I858,#N/A)</f>
        <v>#N/A</v>
      </c>
    </row>
    <row r="859" spans="5:33" x14ac:dyDescent="0.25">
      <c r="E859">
        <v>856</v>
      </c>
      <c r="F859">
        <v>13.272727272727273</v>
      </c>
      <c r="G859">
        <v>13.5</v>
      </c>
      <c r="H859">
        <v>15.14</v>
      </c>
      <c r="I859">
        <v>15.01</v>
      </c>
      <c r="Z859">
        <v>1</v>
      </c>
      <c r="AA859" t="e">
        <f t="array" ref="AA859">IF(OR(F859&lt;L$3,F859&gt;L$7),F859,#N/A)</f>
        <v>#N/A</v>
      </c>
      <c r="AB859">
        <f t="shared" si="14"/>
        <v>2</v>
      </c>
      <c r="AC859" t="e">
        <f t="array" ref="AC859">IF(OR(G859&lt;M$3,G859&gt;M$7),G859,#N/A)</f>
        <v>#N/A</v>
      </c>
      <c r="AD859">
        <f t="shared" si="14"/>
        <v>3</v>
      </c>
      <c r="AE859" t="e">
        <f t="array" ref="AE859">IF(OR(H859&lt;N$3,H859&gt;N$7),H859,#N/A)</f>
        <v>#N/A</v>
      </c>
      <c r="AF859">
        <f t="shared" si="14"/>
        <v>4</v>
      </c>
      <c r="AG859" t="e">
        <f t="array" ref="AG859">IF(OR(I859&lt;O$3,I859&gt;O$7),I859,#N/A)</f>
        <v>#N/A</v>
      </c>
    </row>
    <row r="860" spans="5:33" x14ac:dyDescent="0.25">
      <c r="E860">
        <v>857</v>
      </c>
      <c r="F860">
        <v>14.272727272727273</v>
      </c>
      <c r="G860">
        <v>13.45</v>
      </c>
      <c r="H860">
        <v>13.74</v>
      </c>
      <c r="I860">
        <v>13.56</v>
      </c>
      <c r="Z860">
        <v>1</v>
      </c>
      <c r="AA860" t="e">
        <f t="array" ref="AA860">IF(OR(F860&lt;L$3,F860&gt;L$7),F860,#N/A)</f>
        <v>#N/A</v>
      </c>
      <c r="AB860">
        <f t="shared" si="14"/>
        <v>2</v>
      </c>
      <c r="AC860" t="e">
        <f t="array" ref="AC860">IF(OR(G860&lt;M$3,G860&gt;M$7),G860,#N/A)</f>
        <v>#N/A</v>
      </c>
      <c r="AD860">
        <f t="shared" si="14"/>
        <v>3</v>
      </c>
      <c r="AE860" t="e">
        <f t="array" ref="AE860">IF(OR(H860&lt;N$3,H860&gt;N$7),H860,#N/A)</f>
        <v>#N/A</v>
      </c>
      <c r="AF860">
        <f t="shared" si="14"/>
        <v>4</v>
      </c>
      <c r="AG860" t="e">
        <f t="array" ref="AG860">IF(OR(I860&lt;O$3,I860&gt;O$7),I860,#N/A)</f>
        <v>#N/A</v>
      </c>
    </row>
    <row r="861" spans="5:33" x14ac:dyDescent="0.25">
      <c r="E861">
        <v>858</v>
      </c>
      <c r="F861">
        <v>12</v>
      </c>
      <c r="G861">
        <v>14.85</v>
      </c>
      <c r="H861">
        <v>12.96</v>
      </c>
      <c r="I861">
        <v>14.48</v>
      </c>
      <c r="Z861">
        <v>1</v>
      </c>
      <c r="AA861" t="e">
        <f t="array" ref="AA861">IF(OR(F861&lt;L$3,F861&gt;L$7),F861,#N/A)</f>
        <v>#N/A</v>
      </c>
      <c r="AB861">
        <f t="shared" si="14"/>
        <v>2</v>
      </c>
      <c r="AC861" t="e">
        <f t="array" ref="AC861">IF(OR(G861&lt;M$3,G861&gt;M$7),G861,#N/A)</f>
        <v>#N/A</v>
      </c>
      <c r="AD861">
        <f t="shared" si="14"/>
        <v>3</v>
      </c>
      <c r="AE861" t="e">
        <f t="array" ref="AE861">IF(OR(H861&lt;N$3,H861&gt;N$7),H861,#N/A)</f>
        <v>#N/A</v>
      </c>
      <c r="AF861">
        <f t="shared" si="14"/>
        <v>4</v>
      </c>
      <c r="AG861" t="e">
        <f t="array" ref="AG861">IF(OR(I861&lt;O$3,I861&gt;O$7),I861,#N/A)</f>
        <v>#N/A</v>
      </c>
    </row>
    <row r="862" spans="5:33" x14ac:dyDescent="0.25">
      <c r="E862">
        <v>859</v>
      </c>
      <c r="F862">
        <v>17.545454545454547</v>
      </c>
      <c r="G862">
        <v>15.5</v>
      </c>
      <c r="H862">
        <v>13.2</v>
      </c>
      <c r="I862">
        <v>13.85</v>
      </c>
      <c r="Z862">
        <v>1</v>
      </c>
      <c r="AA862" t="e">
        <f t="array" ref="AA862">IF(OR(F862&lt;L$3,F862&gt;L$7),F862,#N/A)</f>
        <v>#N/A</v>
      </c>
      <c r="AB862">
        <f t="shared" si="14"/>
        <v>2</v>
      </c>
      <c r="AC862" t="e">
        <f t="array" ref="AC862">IF(OR(G862&lt;M$3,G862&gt;M$7),G862,#N/A)</f>
        <v>#N/A</v>
      </c>
      <c r="AD862">
        <f t="shared" si="14"/>
        <v>3</v>
      </c>
      <c r="AE862" t="e">
        <f t="array" ref="AE862">IF(OR(H862&lt;N$3,H862&gt;N$7),H862,#N/A)</f>
        <v>#N/A</v>
      </c>
      <c r="AF862">
        <f t="shared" si="14"/>
        <v>4</v>
      </c>
      <c r="AG862" t="e">
        <f t="array" ref="AG862">IF(OR(I862&lt;O$3,I862&gt;O$7),I862,#N/A)</f>
        <v>#N/A</v>
      </c>
    </row>
    <row r="863" spans="5:33" x14ac:dyDescent="0.25">
      <c r="E863">
        <v>860</v>
      </c>
      <c r="F863">
        <v>15.272727272727273</v>
      </c>
      <c r="G863">
        <v>13.9</v>
      </c>
      <c r="H863">
        <v>15.48</v>
      </c>
      <c r="I863">
        <v>15.27</v>
      </c>
      <c r="Z863">
        <v>1</v>
      </c>
      <c r="AA863" t="e">
        <f t="array" ref="AA863">IF(OR(F863&lt;L$3,F863&gt;L$7),F863,#N/A)</f>
        <v>#N/A</v>
      </c>
      <c r="AB863">
        <f t="shared" si="14"/>
        <v>2</v>
      </c>
      <c r="AC863" t="e">
        <f t="array" ref="AC863">IF(OR(G863&lt;M$3,G863&gt;M$7),G863,#N/A)</f>
        <v>#N/A</v>
      </c>
      <c r="AD863">
        <f t="shared" si="14"/>
        <v>3</v>
      </c>
      <c r="AE863" t="e">
        <f t="array" ref="AE863">IF(OR(H863&lt;N$3,H863&gt;N$7),H863,#N/A)</f>
        <v>#N/A</v>
      </c>
      <c r="AF863">
        <f t="shared" si="14"/>
        <v>4</v>
      </c>
      <c r="AG863" t="e">
        <f t="array" ref="AG863">IF(OR(I863&lt;O$3,I863&gt;O$7),I863,#N/A)</f>
        <v>#N/A</v>
      </c>
    </row>
    <row r="864" spans="5:33" x14ac:dyDescent="0.25">
      <c r="E864">
        <v>861</v>
      </c>
      <c r="F864">
        <v>17.363636363636363</v>
      </c>
      <c r="G864">
        <v>17.100000000000001</v>
      </c>
      <c r="H864">
        <v>14.14</v>
      </c>
      <c r="I864">
        <v>13.69</v>
      </c>
      <c r="Z864">
        <v>1</v>
      </c>
      <c r="AA864" t="e">
        <f t="array" ref="AA864">IF(OR(F864&lt;L$3,F864&gt;L$7),F864,#N/A)</f>
        <v>#N/A</v>
      </c>
      <c r="AB864">
        <f t="shared" si="14"/>
        <v>2</v>
      </c>
      <c r="AC864" t="e">
        <f t="array" ref="AC864">IF(OR(G864&lt;M$3,G864&gt;M$7),G864,#N/A)</f>
        <v>#N/A</v>
      </c>
      <c r="AD864">
        <f t="shared" si="14"/>
        <v>3</v>
      </c>
      <c r="AE864" t="e">
        <f t="array" ref="AE864">IF(OR(H864&lt;N$3,H864&gt;N$7),H864,#N/A)</f>
        <v>#N/A</v>
      </c>
      <c r="AF864">
        <f t="shared" si="14"/>
        <v>4</v>
      </c>
      <c r="AG864" t="e">
        <f t="array" ref="AG864">IF(OR(I864&lt;O$3,I864&gt;O$7),I864,#N/A)</f>
        <v>#N/A</v>
      </c>
    </row>
    <row r="865" spans="5:33" x14ac:dyDescent="0.25">
      <c r="E865">
        <v>862</v>
      </c>
      <c r="F865">
        <v>13.454545454545455</v>
      </c>
      <c r="G865">
        <v>14.95</v>
      </c>
      <c r="H865">
        <v>15.76</v>
      </c>
      <c r="I865">
        <v>14.43</v>
      </c>
      <c r="Z865">
        <v>1</v>
      </c>
      <c r="AA865" t="e">
        <f t="array" ref="AA865">IF(OR(F865&lt;L$3,F865&gt;L$7),F865,#N/A)</f>
        <v>#N/A</v>
      </c>
      <c r="AB865">
        <f t="shared" si="14"/>
        <v>2</v>
      </c>
      <c r="AC865" t="e">
        <f t="array" ref="AC865">IF(OR(G865&lt;M$3,G865&gt;M$7),G865,#N/A)</f>
        <v>#N/A</v>
      </c>
      <c r="AD865">
        <f t="shared" si="14"/>
        <v>3</v>
      </c>
      <c r="AE865" t="e">
        <f t="array" ref="AE865">IF(OR(H865&lt;N$3,H865&gt;N$7),H865,#N/A)</f>
        <v>#N/A</v>
      </c>
      <c r="AF865">
        <f t="shared" si="14"/>
        <v>4</v>
      </c>
      <c r="AG865" t="e">
        <f t="array" ref="AG865">IF(OR(I865&lt;O$3,I865&gt;O$7),I865,#N/A)</f>
        <v>#N/A</v>
      </c>
    </row>
    <row r="866" spans="5:33" x14ac:dyDescent="0.25">
      <c r="E866">
        <v>863</v>
      </c>
      <c r="F866">
        <v>10.909090909090908</v>
      </c>
      <c r="G866">
        <v>12</v>
      </c>
      <c r="H866">
        <v>13.9</v>
      </c>
      <c r="I866">
        <v>14.42</v>
      </c>
      <c r="Z866">
        <v>1</v>
      </c>
      <c r="AA866" t="e">
        <f t="array" ref="AA866">IF(OR(F866&lt;L$3,F866&gt;L$7),F866,#N/A)</f>
        <v>#N/A</v>
      </c>
      <c r="AB866">
        <f t="shared" si="14"/>
        <v>2</v>
      </c>
      <c r="AC866" t="e">
        <f t="array" ref="AC866">IF(OR(G866&lt;M$3,G866&gt;M$7),G866,#N/A)</f>
        <v>#N/A</v>
      </c>
      <c r="AD866">
        <f t="shared" si="14"/>
        <v>3</v>
      </c>
      <c r="AE866" t="e">
        <f t="array" ref="AE866">IF(OR(H866&lt;N$3,H866&gt;N$7),H866,#N/A)</f>
        <v>#N/A</v>
      </c>
      <c r="AF866">
        <f t="shared" si="14"/>
        <v>4</v>
      </c>
      <c r="AG866" t="e">
        <f t="array" ref="AG866">IF(OR(I866&lt;O$3,I866&gt;O$7),I866,#N/A)</f>
        <v>#N/A</v>
      </c>
    </row>
    <row r="867" spans="5:33" x14ac:dyDescent="0.25">
      <c r="E867">
        <v>864</v>
      </c>
      <c r="F867">
        <v>15.363636363636363</v>
      </c>
      <c r="G867">
        <v>16.600000000000001</v>
      </c>
      <c r="H867">
        <v>14.02</v>
      </c>
      <c r="I867">
        <v>14.73</v>
      </c>
      <c r="Z867">
        <v>1</v>
      </c>
      <c r="AA867" t="e">
        <f t="array" ref="AA867">IF(OR(F867&lt;L$3,F867&gt;L$7),F867,#N/A)</f>
        <v>#N/A</v>
      </c>
      <c r="AB867">
        <f t="shared" si="14"/>
        <v>2</v>
      </c>
      <c r="AC867" t="e">
        <f t="array" ref="AC867">IF(OR(G867&lt;M$3,G867&gt;M$7),G867,#N/A)</f>
        <v>#N/A</v>
      </c>
      <c r="AD867">
        <f t="shared" si="14"/>
        <v>3</v>
      </c>
      <c r="AE867" t="e">
        <f t="array" ref="AE867">IF(OR(H867&lt;N$3,H867&gt;N$7),H867,#N/A)</f>
        <v>#N/A</v>
      </c>
      <c r="AF867">
        <f t="shared" si="14"/>
        <v>4</v>
      </c>
      <c r="AG867" t="e">
        <f t="array" ref="AG867">IF(OR(I867&lt;O$3,I867&gt;O$7),I867,#N/A)</f>
        <v>#N/A</v>
      </c>
    </row>
    <row r="868" spans="5:33" x14ac:dyDescent="0.25">
      <c r="E868">
        <v>865</v>
      </c>
      <c r="F868">
        <v>16.181818181818183</v>
      </c>
      <c r="G868">
        <v>14.65</v>
      </c>
      <c r="H868">
        <v>14.28</v>
      </c>
      <c r="I868">
        <v>13.76</v>
      </c>
      <c r="Z868">
        <v>1</v>
      </c>
      <c r="AA868" t="e">
        <f t="array" ref="AA868">IF(OR(F868&lt;L$3,F868&gt;L$7),F868,#N/A)</f>
        <v>#N/A</v>
      </c>
      <c r="AB868">
        <f t="shared" si="14"/>
        <v>2</v>
      </c>
      <c r="AC868" t="e">
        <f t="array" ref="AC868">IF(OR(G868&lt;M$3,G868&gt;M$7),G868,#N/A)</f>
        <v>#N/A</v>
      </c>
      <c r="AD868">
        <f t="shared" si="14"/>
        <v>3</v>
      </c>
      <c r="AE868" t="e">
        <f t="array" ref="AE868">IF(OR(H868&lt;N$3,H868&gt;N$7),H868,#N/A)</f>
        <v>#N/A</v>
      </c>
      <c r="AF868">
        <f t="shared" si="14"/>
        <v>4</v>
      </c>
      <c r="AG868" t="e">
        <f t="array" ref="AG868">IF(OR(I868&lt;O$3,I868&gt;O$7),I868,#N/A)</f>
        <v>#N/A</v>
      </c>
    </row>
    <row r="869" spans="5:33" x14ac:dyDescent="0.25">
      <c r="E869">
        <v>866</v>
      </c>
      <c r="F869">
        <v>13.272727272727273</v>
      </c>
      <c r="G869">
        <v>12.45</v>
      </c>
      <c r="H869">
        <v>14.08</v>
      </c>
      <c r="I869">
        <v>13.47</v>
      </c>
      <c r="Z869">
        <v>1</v>
      </c>
      <c r="AA869" t="e">
        <f t="array" ref="AA869">IF(OR(F869&lt;L$3,F869&gt;L$7),F869,#N/A)</f>
        <v>#N/A</v>
      </c>
      <c r="AB869">
        <f t="shared" si="14"/>
        <v>2</v>
      </c>
      <c r="AC869" t="e">
        <f t="array" ref="AC869">IF(OR(G869&lt;M$3,G869&gt;M$7),G869,#N/A)</f>
        <v>#N/A</v>
      </c>
      <c r="AD869">
        <f t="shared" si="14"/>
        <v>3</v>
      </c>
      <c r="AE869" t="e">
        <f t="array" ref="AE869">IF(OR(H869&lt;N$3,H869&gt;N$7),H869,#N/A)</f>
        <v>#N/A</v>
      </c>
      <c r="AF869">
        <f t="shared" si="14"/>
        <v>4</v>
      </c>
      <c r="AG869" t="e">
        <f t="array" ref="AG869">IF(OR(I869&lt;O$3,I869&gt;O$7),I869,#N/A)</f>
        <v>#N/A</v>
      </c>
    </row>
    <row r="870" spans="5:33" x14ac:dyDescent="0.25">
      <c r="E870">
        <v>867</v>
      </c>
      <c r="F870">
        <v>11</v>
      </c>
      <c r="G870">
        <v>12.3</v>
      </c>
      <c r="H870">
        <v>15.2</v>
      </c>
      <c r="I870">
        <v>14.49</v>
      </c>
      <c r="Z870">
        <v>1</v>
      </c>
      <c r="AA870" t="e">
        <f t="array" ref="AA870">IF(OR(F870&lt;L$3,F870&gt;L$7),F870,#N/A)</f>
        <v>#N/A</v>
      </c>
      <c r="AB870">
        <f t="shared" si="14"/>
        <v>2</v>
      </c>
      <c r="AC870" t="e">
        <f t="array" ref="AC870">IF(OR(G870&lt;M$3,G870&gt;M$7),G870,#N/A)</f>
        <v>#N/A</v>
      </c>
      <c r="AD870">
        <f t="shared" si="14"/>
        <v>3</v>
      </c>
      <c r="AE870" t="e">
        <f t="array" ref="AE870">IF(OR(H870&lt;N$3,H870&gt;N$7),H870,#N/A)</f>
        <v>#N/A</v>
      </c>
      <c r="AF870">
        <f t="shared" si="14"/>
        <v>4</v>
      </c>
      <c r="AG870" t="e">
        <f t="array" ref="AG870">IF(OR(I870&lt;O$3,I870&gt;O$7),I870,#N/A)</f>
        <v>#N/A</v>
      </c>
    </row>
    <row r="871" spans="5:33" x14ac:dyDescent="0.25">
      <c r="E871">
        <v>868</v>
      </c>
      <c r="F871">
        <v>11.545454545454545</v>
      </c>
      <c r="G871">
        <v>12.5</v>
      </c>
      <c r="H871">
        <v>12.96</v>
      </c>
      <c r="I871">
        <v>14.36</v>
      </c>
      <c r="Z871">
        <v>1</v>
      </c>
      <c r="AA871" t="e">
        <f t="array" ref="AA871">IF(OR(F871&lt;L$3,F871&gt;L$7),F871,#N/A)</f>
        <v>#N/A</v>
      </c>
      <c r="AB871">
        <f t="shared" si="14"/>
        <v>2</v>
      </c>
      <c r="AC871" t="e">
        <f t="array" ref="AC871">IF(OR(G871&lt;M$3,G871&gt;M$7),G871,#N/A)</f>
        <v>#N/A</v>
      </c>
      <c r="AD871">
        <f t="shared" si="14"/>
        <v>3</v>
      </c>
      <c r="AE871" t="e">
        <f t="array" ref="AE871">IF(OR(H871&lt;N$3,H871&gt;N$7),H871,#N/A)</f>
        <v>#N/A</v>
      </c>
      <c r="AF871">
        <f t="shared" si="14"/>
        <v>4</v>
      </c>
      <c r="AG871" t="e">
        <f t="array" ref="AG871">IF(OR(I871&lt;O$3,I871&gt;O$7),I871,#N/A)</f>
        <v>#N/A</v>
      </c>
    </row>
    <row r="872" spans="5:33" x14ac:dyDescent="0.25">
      <c r="E872">
        <v>869</v>
      </c>
      <c r="F872">
        <v>11.454545454545455</v>
      </c>
      <c r="G872">
        <v>11.55</v>
      </c>
      <c r="H872">
        <v>13.42</v>
      </c>
      <c r="I872">
        <v>14.5</v>
      </c>
      <c r="Z872">
        <v>1</v>
      </c>
      <c r="AA872" t="e">
        <f t="array" ref="AA872">IF(OR(F872&lt;L$3,F872&gt;L$7),F872,#N/A)</f>
        <v>#N/A</v>
      </c>
      <c r="AB872">
        <f t="shared" si="14"/>
        <v>2</v>
      </c>
      <c r="AC872" t="e">
        <f t="array" ref="AC872">IF(OR(G872&lt;M$3,G872&gt;M$7),G872,#N/A)</f>
        <v>#N/A</v>
      </c>
      <c r="AD872">
        <f t="shared" si="14"/>
        <v>3</v>
      </c>
      <c r="AE872" t="e">
        <f t="array" ref="AE872">IF(OR(H872&lt;N$3,H872&gt;N$7),H872,#N/A)</f>
        <v>#N/A</v>
      </c>
      <c r="AF872">
        <f t="shared" si="14"/>
        <v>4</v>
      </c>
      <c r="AG872" t="e">
        <f t="array" ref="AG872">IF(OR(I872&lt;O$3,I872&gt;O$7),I872,#N/A)</f>
        <v>#N/A</v>
      </c>
    </row>
    <row r="873" spans="5:33" x14ac:dyDescent="0.25">
      <c r="E873">
        <v>870</v>
      </c>
      <c r="F873">
        <v>11.181818181818182</v>
      </c>
      <c r="G873">
        <v>12.75</v>
      </c>
      <c r="H873">
        <v>13.66</v>
      </c>
      <c r="I873">
        <v>13.94</v>
      </c>
      <c r="Z873">
        <v>1</v>
      </c>
      <c r="AA873" t="e">
        <f t="array" ref="AA873">IF(OR(F873&lt;L$3,F873&gt;L$7),F873,#N/A)</f>
        <v>#N/A</v>
      </c>
      <c r="AB873">
        <f t="shared" si="14"/>
        <v>2</v>
      </c>
      <c r="AC873" t="e">
        <f t="array" ref="AC873">IF(OR(G873&lt;M$3,G873&gt;M$7),G873,#N/A)</f>
        <v>#N/A</v>
      </c>
      <c r="AD873">
        <f t="shared" si="14"/>
        <v>3</v>
      </c>
      <c r="AE873" t="e">
        <f t="array" ref="AE873">IF(OR(H873&lt;N$3,H873&gt;N$7),H873,#N/A)</f>
        <v>#N/A</v>
      </c>
      <c r="AF873">
        <f t="shared" si="14"/>
        <v>4</v>
      </c>
      <c r="AG873" t="e">
        <f t="array" ref="AG873">IF(OR(I873&lt;O$3,I873&gt;O$7),I873,#N/A)</f>
        <v>#N/A</v>
      </c>
    </row>
    <row r="874" spans="5:33" x14ac:dyDescent="0.25">
      <c r="E874">
        <v>871</v>
      </c>
      <c r="F874">
        <v>13.545454545454545</v>
      </c>
      <c r="G874">
        <v>13.95</v>
      </c>
      <c r="H874">
        <v>13.3</v>
      </c>
      <c r="I874">
        <v>14.56</v>
      </c>
      <c r="Z874">
        <v>1</v>
      </c>
      <c r="AA874" t="e">
        <f t="array" ref="AA874">IF(OR(F874&lt;L$3,F874&gt;L$7),F874,#N/A)</f>
        <v>#N/A</v>
      </c>
      <c r="AB874">
        <f t="shared" si="14"/>
        <v>2</v>
      </c>
      <c r="AC874" t="e">
        <f t="array" ref="AC874">IF(OR(G874&lt;M$3,G874&gt;M$7),G874,#N/A)</f>
        <v>#N/A</v>
      </c>
      <c r="AD874">
        <f t="shared" si="14"/>
        <v>3</v>
      </c>
      <c r="AE874" t="e">
        <f t="array" ref="AE874">IF(OR(H874&lt;N$3,H874&gt;N$7),H874,#N/A)</f>
        <v>#N/A</v>
      </c>
      <c r="AF874">
        <f t="shared" si="14"/>
        <v>4</v>
      </c>
      <c r="AG874" t="e">
        <f t="array" ref="AG874">IF(OR(I874&lt;O$3,I874&gt;O$7),I874,#N/A)</f>
        <v>#N/A</v>
      </c>
    </row>
    <row r="875" spans="5:33" x14ac:dyDescent="0.25">
      <c r="E875">
        <v>872</v>
      </c>
      <c r="F875">
        <v>15.181818181818182</v>
      </c>
      <c r="G875">
        <v>14</v>
      </c>
      <c r="H875">
        <v>14.68</v>
      </c>
      <c r="I875">
        <v>15.54</v>
      </c>
      <c r="Z875">
        <v>1</v>
      </c>
      <c r="AA875" t="e">
        <f t="array" ref="AA875">IF(OR(F875&lt;L$3,F875&gt;L$7),F875,#N/A)</f>
        <v>#N/A</v>
      </c>
      <c r="AB875">
        <f t="shared" si="14"/>
        <v>2</v>
      </c>
      <c r="AC875" t="e">
        <f t="array" ref="AC875">IF(OR(G875&lt;M$3,G875&gt;M$7),G875,#N/A)</f>
        <v>#N/A</v>
      </c>
      <c r="AD875">
        <f t="shared" si="14"/>
        <v>3</v>
      </c>
      <c r="AE875" t="e">
        <f t="array" ref="AE875">IF(OR(H875&lt;N$3,H875&gt;N$7),H875,#N/A)</f>
        <v>#N/A</v>
      </c>
      <c r="AF875">
        <f t="shared" si="14"/>
        <v>4</v>
      </c>
      <c r="AG875" t="e">
        <f t="array" ref="AG875">IF(OR(I875&lt;O$3,I875&gt;O$7),I875,#N/A)</f>
        <v>#N/A</v>
      </c>
    </row>
    <row r="876" spans="5:33" x14ac:dyDescent="0.25">
      <c r="E876">
        <v>873</v>
      </c>
      <c r="F876">
        <v>13.545454545454545</v>
      </c>
      <c r="G876">
        <v>13.85</v>
      </c>
      <c r="H876">
        <v>15.74</v>
      </c>
      <c r="I876">
        <v>14.59</v>
      </c>
      <c r="Z876">
        <v>1</v>
      </c>
      <c r="AA876" t="e">
        <f t="array" ref="AA876">IF(OR(F876&lt;L$3,F876&gt;L$7),F876,#N/A)</f>
        <v>#N/A</v>
      </c>
      <c r="AB876">
        <f t="shared" si="14"/>
        <v>2</v>
      </c>
      <c r="AC876" t="e">
        <f t="array" ref="AC876">IF(OR(G876&lt;M$3,G876&gt;M$7),G876,#N/A)</f>
        <v>#N/A</v>
      </c>
      <c r="AD876">
        <f t="shared" si="14"/>
        <v>3</v>
      </c>
      <c r="AE876" t="e">
        <f t="array" ref="AE876">IF(OR(H876&lt;N$3,H876&gt;N$7),H876,#N/A)</f>
        <v>#N/A</v>
      </c>
      <c r="AF876">
        <f t="shared" si="14"/>
        <v>4</v>
      </c>
      <c r="AG876" t="e">
        <f t="array" ref="AG876">IF(OR(I876&lt;O$3,I876&gt;O$7),I876,#N/A)</f>
        <v>#N/A</v>
      </c>
    </row>
    <row r="877" spans="5:33" x14ac:dyDescent="0.25">
      <c r="E877">
        <v>874</v>
      </c>
      <c r="F877">
        <v>10.909090909090908</v>
      </c>
      <c r="G877">
        <v>14.1</v>
      </c>
      <c r="H877">
        <v>13</v>
      </c>
      <c r="I877">
        <v>12.45</v>
      </c>
      <c r="Z877">
        <v>1</v>
      </c>
      <c r="AA877" t="e">
        <f t="array" ref="AA877">IF(OR(F877&lt;L$3,F877&gt;L$7),F877,#N/A)</f>
        <v>#N/A</v>
      </c>
      <c r="AB877">
        <f t="shared" si="14"/>
        <v>2</v>
      </c>
      <c r="AC877" t="e">
        <f t="array" ref="AC877">IF(OR(G877&lt;M$3,G877&gt;M$7),G877,#N/A)</f>
        <v>#N/A</v>
      </c>
      <c r="AD877">
        <f t="shared" si="14"/>
        <v>3</v>
      </c>
      <c r="AE877" t="e">
        <f t="array" ref="AE877">IF(OR(H877&lt;N$3,H877&gt;N$7),H877,#N/A)</f>
        <v>#N/A</v>
      </c>
      <c r="AF877">
        <f t="shared" si="14"/>
        <v>4</v>
      </c>
      <c r="AG877" t="e">
        <f t="array" ref="AG877">IF(OR(I877&lt;O$3,I877&gt;O$7),I877,#N/A)</f>
        <v>#N/A</v>
      </c>
    </row>
    <row r="878" spans="5:33" x14ac:dyDescent="0.25">
      <c r="E878">
        <v>875</v>
      </c>
      <c r="F878">
        <v>13.272727272727273</v>
      </c>
      <c r="G878">
        <v>14.05</v>
      </c>
      <c r="H878">
        <v>14.9</v>
      </c>
      <c r="I878">
        <v>14.31</v>
      </c>
      <c r="Z878">
        <v>1</v>
      </c>
      <c r="AA878" t="e">
        <f t="array" ref="AA878">IF(OR(F878&lt;L$3,F878&gt;L$7),F878,#N/A)</f>
        <v>#N/A</v>
      </c>
      <c r="AB878">
        <f t="shared" si="14"/>
        <v>2</v>
      </c>
      <c r="AC878" t="e">
        <f t="array" ref="AC878">IF(OR(G878&lt;M$3,G878&gt;M$7),G878,#N/A)</f>
        <v>#N/A</v>
      </c>
      <c r="AD878">
        <f t="shared" si="14"/>
        <v>3</v>
      </c>
      <c r="AE878" t="e">
        <f t="array" ref="AE878">IF(OR(H878&lt;N$3,H878&gt;N$7),H878,#N/A)</f>
        <v>#N/A</v>
      </c>
      <c r="AF878">
        <f t="shared" si="14"/>
        <v>4</v>
      </c>
      <c r="AG878" t="e">
        <f t="array" ref="AG878">IF(OR(I878&lt;O$3,I878&gt;O$7),I878,#N/A)</f>
        <v>#N/A</v>
      </c>
    </row>
    <row r="879" spans="5:33" x14ac:dyDescent="0.25">
      <c r="E879">
        <v>876</v>
      </c>
      <c r="F879">
        <v>11.818181818181818</v>
      </c>
      <c r="G879">
        <v>13.2</v>
      </c>
      <c r="H879">
        <v>14.98</v>
      </c>
      <c r="I879">
        <v>14.79</v>
      </c>
      <c r="Z879">
        <v>1</v>
      </c>
      <c r="AA879" t="e">
        <f t="array" ref="AA879">IF(OR(F879&lt;L$3,F879&gt;L$7),F879,#N/A)</f>
        <v>#N/A</v>
      </c>
      <c r="AB879">
        <f t="shared" si="14"/>
        <v>2</v>
      </c>
      <c r="AC879" t="e">
        <f t="array" ref="AC879">IF(OR(G879&lt;M$3,G879&gt;M$7),G879,#N/A)</f>
        <v>#N/A</v>
      </c>
      <c r="AD879">
        <f t="shared" si="14"/>
        <v>3</v>
      </c>
      <c r="AE879" t="e">
        <f t="array" ref="AE879">IF(OR(H879&lt;N$3,H879&gt;N$7),H879,#N/A)</f>
        <v>#N/A</v>
      </c>
      <c r="AF879">
        <f t="shared" si="14"/>
        <v>4</v>
      </c>
      <c r="AG879" t="e">
        <f t="array" ref="AG879">IF(OR(I879&lt;O$3,I879&gt;O$7),I879,#N/A)</f>
        <v>#N/A</v>
      </c>
    </row>
    <row r="880" spans="5:33" x14ac:dyDescent="0.25">
      <c r="E880">
        <v>877</v>
      </c>
      <c r="F880">
        <v>16.636363636363637</v>
      </c>
      <c r="G880">
        <v>16.350000000000001</v>
      </c>
      <c r="H880">
        <v>13.8</v>
      </c>
      <c r="I880">
        <v>13.78</v>
      </c>
      <c r="Z880">
        <v>1</v>
      </c>
      <c r="AA880" t="e">
        <f t="array" ref="AA880">IF(OR(F880&lt;L$3,F880&gt;L$7),F880,#N/A)</f>
        <v>#N/A</v>
      </c>
      <c r="AB880">
        <f t="shared" si="14"/>
        <v>2</v>
      </c>
      <c r="AC880" t="e">
        <f t="array" ref="AC880">IF(OR(G880&lt;M$3,G880&gt;M$7),G880,#N/A)</f>
        <v>#N/A</v>
      </c>
      <c r="AD880">
        <f t="shared" si="14"/>
        <v>3</v>
      </c>
      <c r="AE880" t="e">
        <f t="array" ref="AE880">IF(OR(H880&lt;N$3,H880&gt;N$7),H880,#N/A)</f>
        <v>#N/A</v>
      </c>
      <c r="AF880">
        <f t="shared" si="14"/>
        <v>4</v>
      </c>
      <c r="AG880" t="e">
        <f t="array" ref="AG880">IF(OR(I880&lt;O$3,I880&gt;O$7),I880,#N/A)</f>
        <v>#N/A</v>
      </c>
    </row>
    <row r="881" spans="5:33" x14ac:dyDescent="0.25">
      <c r="E881">
        <v>878</v>
      </c>
      <c r="F881">
        <v>13.909090909090908</v>
      </c>
      <c r="G881">
        <v>13.7</v>
      </c>
      <c r="H881">
        <v>14.66</v>
      </c>
      <c r="I881">
        <v>13.69</v>
      </c>
      <c r="Z881">
        <v>1</v>
      </c>
      <c r="AA881" t="e">
        <f t="array" ref="AA881">IF(OR(F881&lt;L$3,F881&gt;L$7),F881,#N/A)</f>
        <v>#N/A</v>
      </c>
      <c r="AB881">
        <f t="shared" si="14"/>
        <v>2</v>
      </c>
      <c r="AC881" t="e">
        <f t="array" ref="AC881">IF(OR(G881&lt;M$3,G881&gt;M$7),G881,#N/A)</f>
        <v>#N/A</v>
      </c>
      <c r="AD881">
        <f t="shared" si="14"/>
        <v>3</v>
      </c>
      <c r="AE881" t="e">
        <f t="array" ref="AE881">IF(OR(H881&lt;N$3,H881&gt;N$7),H881,#N/A)</f>
        <v>#N/A</v>
      </c>
      <c r="AF881">
        <f t="shared" si="14"/>
        <v>4</v>
      </c>
      <c r="AG881" t="e">
        <f t="array" ref="AG881">IF(OR(I881&lt;O$3,I881&gt;O$7),I881,#N/A)</f>
        <v>#N/A</v>
      </c>
    </row>
    <row r="882" spans="5:33" x14ac:dyDescent="0.25">
      <c r="E882">
        <v>879</v>
      </c>
      <c r="F882">
        <v>16.363636363636363</v>
      </c>
      <c r="G882">
        <v>17.55</v>
      </c>
      <c r="H882">
        <v>14.7</v>
      </c>
      <c r="I882">
        <v>14</v>
      </c>
      <c r="Z882">
        <v>1</v>
      </c>
      <c r="AA882" t="e">
        <f t="array" ref="AA882">IF(OR(F882&lt;L$3,F882&gt;L$7),F882,#N/A)</f>
        <v>#N/A</v>
      </c>
      <c r="AB882">
        <f t="shared" si="14"/>
        <v>2</v>
      </c>
      <c r="AC882" t="e">
        <f t="array" ref="AC882">IF(OR(G882&lt;M$3,G882&gt;M$7),G882,#N/A)</f>
        <v>#N/A</v>
      </c>
      <c r="AD882">
        <f t="shared" si="14"/>
        <v>3</v>
      </c>
      <c r="AE882" t="e">
        <f t="array" ref="AE882">IF(OR(H882&lt;N$3,H882&gt;N$7),H882,#N/A)</f>
        <v>#N/A</v>
      </c>
      <c r="AF882">
        <f t="shared" si="14"/>
        <v>4</v>
      </c>
      <c r="AG882" t="e">
        <f t="array" ref="AG882">IF(OR(I882&lt;O$3,I882&gt;O$7),I882,#N/A)</f>
        <v>#N/A</v>
      </c>
    </row>
    <row r="883" spans="5:33" x14ac:dyDescent="0.25">
      <c r="E883">
        <v>880</v>
      </c>
      <c r="F883">
        <v>17.727272727272727</v>
      </c>
      <c r="G883">
        <v>16.899999999999999</v>
      </c>
      <c r="H883">
        <v>15.08</v>
      </c>
      <c r="I883">
        <v>15.13</v>
      </c>
      <c r="Z883">
        <v>1</v>
      </c>
      <c r="AA883" t="e">
        <f t="array" ref="AA883">IF(OR(F883&lt;L$3,F883&gt;L$7),F883,#N/A)</f>
        <v>#N/A</v>
      </c>
      <c r="AB883">
        <f t="shared" si="14"/>
        <v>2</v>
      </c>
      <c r="AC883" t="e">
        <f t="array" ref="AC883">IF(OR(G883&lt;M$3,G883&gt;M$7),G883,#N/A)</f>
        <v>#N/A</v>
      </c>
      <c r="AD883">
        <f t="shared" si="14"/>
        <v>3</v>
      </c>
      <c r="AE883" t="e">
        <f t="array" ref="AE883">IF(OR(H883&lt;N$3,H883&gt;N$7),H883,#N/A)</f>
        <v>#N/A</v>
      </c>
      <c r="AF883">
        <f t="shared" si="14"/>
        <v>4</v>
      </c>
      <c r="AG883" t="e">
        <f t="array" ref="AG883">IF(OR(I883&lt;O$3,I883&gt;O$7),I883,#N/A)</f>
        <v>#N/A</v>
      </c>
    </row>
    <row r="884" spans="5:33" x14ac:dyDescent="0.25">
      <c r="E884">
        <v>881</v>
      </c>
      <c r="F884">
        <v>16.454545454545453</v>
      </c>
      <c r="G884">
        <v>16</v>
      </c>
      <c r="H884">
        <v>14.26</v>
      </c>
      <c r="I884">
        <v>14.74</v>
      </c>
      <c r="Z884">
        <v>1</v>
      </c>
      <c r="AA884" t="e">
        <f t="array" ref="AA884">IF(OR(F884&lt;L$3,F884&gt;L$7),F884,#N/A)</f>
        <v>#N/A</v>
      </c>
      <c r="AB884">
        <f t="shared" si="14"/>
        <v>2</v>
      </c>
      <c r="AC884" t="e">
        <f t="array" ref="AC884">IF(OR(G884&lt;M$3,G884&gt;M$7),G884,#N/A)</f>
        <v>#N/A</v>
      </c>
      <c r="AD884">
        <f t="shared" si="14"/>
        <v>3</v>
      </c>
      <c r="AE884" t="e">
        <f t="array" ref="AE884">IF(OR(H884&lt;N$3,H884&gt;N$7),H884,#N/A)</f>
        <v>#N/A</v>
      </c>
      <c r="AF884">
        <f t="shared" si="14"/>
        <v>4</v>
      </c>
      <c r="AG884" t="e">
        <f t="array" ref="AG884">IF(OR(I884&lt;O$3,I884&gt;O$7),I884,#N/A)</f>
        <v>#N/A</v>
      </c>
    </row>
    <row r="885" spans="5:33" x14ac:dyDescent="0.25">
      <c r="E885">
        <v>882</v>
      </c>
      <c r="F885">
        <v>15.818181818181818</v>
      </c>
      <c r="G885">
        <v>16.399999999999999</v>
      </c>
      <c r="H885">
        <v>16.18</v>
      </c>
      <c r="I885">
        <v>14.11</v>
      </c>
      <c r="Z885">
        <v>1</v>
      </c>
      <c r="AA885" t="e">
        <f t="array" ref="AA885">IF(OR(F885&lt;L$3,F885&gt;L$7),F885,#N/A)</f>
        <v>#N/A</v>
      </c>
      <c r="AB885">
        <f t="shared" si="14"/>
        <v>2</v>
      </c>
      <c r="AC885" t="e">
        <f t="array" ref="AC885">IF(OR(G885&lt;M$3,G885&gt;M$7),G885,#N/A)</f>
        <v>#N/A</v>
      </c>
      <c r="AD885">
        <f t="shared" si="14"/>
        <v>3</v>
      </c>
      <c r="AE885" t="e">
        <f t="array" ref="AE885">IF(OR(H885&lt;N$3,H885&gt;N$7),H885,#N/A)</f>
        <v>#N/A</v>
      </c>
      <c r="AF885">
        <f t="shared" si="14"/>
        <v>4</v>
      </c>
      <c r="AG885" t="e">
        <f t="array" ref="AG885">IF(OR(I885&lt;O$3,I885&gt;O$7),I885,#N/A)</f>
        <v>#N/A</v>
      </c>
    </row>
    <row r="886" spans="5:33" x14ac:dyDescent="0.25">
      <c r="E886">
        <v>883</v>
      </c>
      <c r="F886">
        <v>16</v>
      </c>
      <c r="G886">
        <v>15.35</v>
      </c>
      <c r="H886">
        <v>15.62</v>
      </c>
      <c r="I886">
        <v>13.74</v>
      </c>
      <c r="Z886">
        <v>1</v>
      </c>
      <c r="AA886" t="e">
        <f t="array" ref="AA886">IF(OR(F886&lt;L$3,F886&gt;L$7),F886,#N/A)</f>
        <v>#N/A</v>
      </c>
      <c r="AB886">
        <f t="shared" si="14"/>
        <v>2</v>
      </c>
      <c r="AC886" t="e">
        <f t="array" ref="AC886">IF(OR(G886&lt;M$3,G886&gt;M$7),G886,#N/A)</f>
        <v>#N/A</v>
      </c>
      <c r="AD886">
        <f t="shared" si="14"/>
        <v>3</v>
      </c>
      <c r="AE886" t="e">
        <f t="array" ref="AE886">IF(OR(H886&lt;N$3,H886&gt;N$7),H886,#N/A)</f>
        <v>#N/A</v>
      </c>
      <c r="AF886">
        <f t="shared" si="14"/>
        <v>4</v>
      </c>
      <c r="AG886" t="e">
        <f t="array" ref="AG886">IF(OR(I886&lt;O$3,I886&gt;O$7),I886,#N/A)</f>
        <v>#N/A</v>
      </c>
    </row>
    <row r="887" spans="5:33" x14ac:dyDescent="0.25">
      <c r="E887">
        <v>884</v>
      </c>
      <c r="F887">
        <v>17.181818181818183</v>
      </c>
      <c r="G887">
        <v>16</v>
      </c>
      <c r="H887">
        <v>15.94</v>
      </c>
      <c r="I887">
        <v>14.94</v>
      </c>
      <c r="Z887">
        <v>1</v>
      </c>
      <c r="AA887" t="e">
        <f t="array" ref="AA887">IF(OR(F887&lt;L$3,F887&gt;L$7),F887,#N/A)</f>
        <v>#N/A</v>
      </c>
      <c r="AB887">
        <f t="shared" si="14"/>
        <v>2</v>
      </c>
      <c r="AC887" t="e">
        <f t="array" ref="AC887">IF(OR(G887&lt;M$3,G887&gt;M$7),G887,#N/A)</f>
        <v>#N/A</v>
      </c>
      <c r="AD887">
        <f t="shared" si="14"/>
        <v>3</v>
      </c>
      <c r="AE887" t="e">
        <f t="array" ref="AE887">IF(OR(H887&lt;N$3,H887&gt;N$7),H887,#N/A)</f>
        <v>#N/A</v>
      </c>
      <c r="AF887">
        <f t="shared" si="14"/>
        <v>4</v>
      </c>
      <c r="AG887" t="e">
        <f t="array" ref="AG887">IF(OR(I887&lt;O$3,I887&gt;O$7),I887,#N/A)</f>
        <v>#N/A</v>
      </c>
    </row>
    <row r="888" spans="5:33" x14ac:dyDescent="0.25">
      <c r="E888">
        <v>885</v>
      </c>
      <c r="F888">
        <v>16.09090909090909</v>
      </c>
      <c r="G888">
        <v>15.25</v>
      </c>
      <c r="H888">
        <v>14.62</v>
      </c>
      <c r="I888">
        <v>13.55</v>
      </c>
      <c r="Z888">
        <v>1</v>
      </c>
      <c r="AA888" t="e">
        <f t="array" ref="AA888">IF(OR(F888&lt;L$3,F888&gt;L$7),F888,#N/A)</f>
        <v>#N/A</v>
      </c>
      <c r="AB888">
        <f t="shared" si="14"/>
        <v>2</v>
      </c>
      <c r="AC888" t="e">
        <f t="array" ref="AC888">IF(OR(G888&lt;M$3,G888&gt;M$7),G888,#N/A)</f>
        <v>#N/A</v>
      </c>
      <c r="AD888">
        <f t="shared" si="14"/>
        <v>3</v>
      </c>
      <c r="AE888" t="e">
        <f t="array" ref="AE888">IF(OR(H888&lt;N$3,H888&gt;N$7),H888,#N/A)</f>
        <v>#N/A</v>
      </c>
      <c r="AF888">
        <f t="shared" si="14"/>
        <v>4</v>
      </c>
      <c r="AG888" t="e">
        <f t="array" ref="AG888">IF(OR(I888&lt;O$3,I888&gt;O$7),I888,#N/A)</f>
        <v>#N/A</v>
      </c>
    </row>
    <row r="889" spans="5:33" x14ac:dyDescent="0.25">
      <c r="E889">
        <v>886</v>
      </c>
      <c r="F889">
        <v>9.454545454545455</v>
      </c>
      <c r="G889">
        <v>12.8</v>
      </c>
      <c r="H889">
        <v>12.82</v>
      </c>
      <c r="I889">
        <v>14.18</v>
      </c>
      <c r="Z889">
        <v>1</v>
      </c>
      <c r="AA889" t="e">
        <f t="array" ref="AA889">IF(OR(F889&lt;L$3,F889&gt;L$7),F889,#N/A)</f>
        <v>#N/A</v>
      </c>
      <c r="AB889">
        <f t="shared" si="14"/>
        <v>2</v>
      </c>
      <c r="AC889" t="e">
        <f t="array" ref="AC889">IF(OR(G889&lt;M$3,G889&gt;M$7),G889,#N/A)</f>
        <v>#N/A</v>
      </c>
      <c r="AD889">
        <f t="shared" si="14"/>
        <v>3</v>
      </c>
      <c r="AE889" t="e">
        <f t="array" ref="AE889">IF(OR(H889&lt;N$3,H889&gt;N$7),H889,#N/A)</f>
        <v>#N/A</v>
      </c>
      <c r="AF889">
        <f t="shared" si="14"/>
        <v>4</v>
      </c>
      <c r="AG889" t="e">
        <f t="array" ref="AG889">IF(OR(I889&lt;O$3,I889&gt;O$7),I889,#N/A)</f>
        <v>#N/A</v>
      </c>
    </row>
    <row r="890" spans="5:33" x14ac:dyDescent="0.25">
      <c r="E890">
        <v>887</v>
      </c>
      <c r="F890">
        <v>15.181818181818182</v>
      </c>
      <c r="G890">
        <v>15.15</v>
      </c>
      <c r="H890">
        <v>14.46</v>
      </c>
      <c r="I890">
        <v>14.66</v>
      </c>
      <c r="Z890">
        <v>1</v>
      </c>
      <c r="AA890" t="e">
        <f t="array" ref="AA890">IF(OR(F890&lt;L$3,F890&gt;L$7),F890,#N/A)</f>
        <v>#N/A</v>
      </c>
      <c r="AB890">
        <f t="shared" si="14"/>
        <v>2</v>
      </c>
      <c r="AC890" t="e">
        <f t="array" ref="AC890">IF(OR(G890&lt;M$3,G890&gt;M$7),G890,#N/A)</f>
        <v>#N/A</v>
      </c>
      <c r="AD890">
        <f t="shared" si="14"/>
        <v>3</v>
      </c>
      <c r="AE890" t="e">
        <f t="array" ref="AE890">IF(OR(H890&lt;N$3,H890&gt;N$7),H890,#N/A)</f>
        <v>#N/A</v>
      </c>
      <c r="AF890">
        <f t="shared" si="14"/>
        <v>4</v>
      </c>
      <c r="AG890" t="e">
        <f t="array" ref="AG890">IF(OR(I890&lt;O$3,I890&gt;O$7),I890,#N/A)</f>
        <v>#N/A</v>
      </c>
    </row>
    <row r="891" spans="5:33" x14ac:dyDescent="0.25">
      <c r="E891">
        <v>888</v>
      </c>
      <c r="F891">
        <v>16.363636363636363</v>
      </c>
      <c r="G891">
        <v>13.85</v>
      </c>
      <c r="H891">
        <v>12.68</v>
      </c>
      <c r="I891">
        <v>12.17</v>
      </c>
      <c r="Z891">
        <v>1</v>
      </c>
      <c r="AA891" t="e">
        <f t="array" ref="AA891">IF(OR(F891&lt;L$3,F891&gt;L$7),F891,#N/A)</f>
        <v>#N/A</v>
      </c>
      <c r="AB891">
        <f t="shared" si="14"/>
        <v>2</v>
      </c>
      <c r="AC891" t="e">
        <f t="array" ref="AC891">IF(OR(G891&lt;M$3,G891&gt;M$7),G891,#N/A)</f>
        <v>#N/A</v>
      </c>
      <c r="AD891">
        <f t="shared" si="14"/>
        <v>3</v>
      </c>
      <c r="AE891" t="e">
        <f t="array" ref="AE891">IF(OR(H891&lt;N$3,H891&gt;N$7),H891,#N/A)</f>
        <v>#N/A</v>
      </c>
      <c r="AF891">
        <f t="shared" si="14"/>
        <v>4</v>
      </c>
      <c r="AG891">
        <f t="array" ref="AG891">IF(OR(I891&lt;O$3,I891&gt;O$7),I891,#N/A)</f>
        <v>12.17</v>
      </c>
    </row>
    <row r="892" spans="5:33" x14ac:dyDescent="0.25">
      <c r="E892">
        <v>889</v>
      </c>
      <c r="F892">
        <v>16.181818181818183</v>
      </c>
      <c r="G892">
        <v>13.7</v>
      </c>
      <c r="H892">
        <v>13.5</v>
      </c>
      <c r="I892">
        <v>13.27</v>
      </c>
      <c r="Z892">
        <v>1</v>
      </c>
      <c r="AA892" t="e">
        <f t="array" ref="AA892">IF(OR(F892&lt;L$3,F892&gt;L$7),F892,#N/A)</f>
        <v>#N/A</v>
      </c>
      <c r="AB892">
        <f t="shared" si="14"/>
        <v>2</v>
      </c>
      <c r="AC892" t="e">
        <f t="array" ref="AC892">IF(OR(G892&lt;M$3,G892&gt;M$7),G892,#N/A)</f>
        <v>#N/A</v>
      </c>
      <c r="AD892">
        <f t="shared" si="14"/>
        <v>3</v>
      </c>
      <c r="AE892" t="e">
        <f t="array" ref="AE892">IF(OR(H892&lt;N$3,H892&gt;N$7),H892,#N/A)</f>
        <v>#N/A</v>
      </c>
      <c r="AF892">
        <f t="shared" si="14"/>
        <v>4</v>
      </c>
      <c r="AG892" t="e">
        <f t="array" ref="AG892">IF(OR(I892&lt;O$3,I892&gt;O$7),I892,#N/A)</f>
        <v>#N/A</v>
      </c>
    </row>
    <row r="893" spans="5:33" x14ac:dyDescent="0.25">
      <c r="E893">
        <v>890</v>
      </c>
      <c r="F893">
        <v>11.454545454545455</v>
      </c>
      <c r="G893">
        <v>14.5</v>
      </c>
      <c r="H893">
        <v>14.12</v>
      </c>
      <c r="I893">
        <v>14.13</v>
      </c>
      <c r="Z893">
        <v>1</v>
      </c>
      <c r="AA893" t="e">
        <f t="array" ref="AA893">IF(OR(F893&lt;L$3,F893&gt;L$7),F893,#N/A)</f>
        <v>#N/A</v>
      </c>
      <c r="AB893">
        <f t="shared" si="14"/>
        <v>2</v>
      </c>
      <c r="AC893" t="e">
        <f t="array" ref="AC893">IF(OR(G893&lt;M$3,G893&gt;M$7),G893,#N/A)</f>
        <v>#N/A</v>
      </c>
      <c r="AD893">
        <f t="shared" si="14"/>
        <v>3</v>
      </c>
      <c r="AE893" t="e">
        <f t="array" ref="AE893">IF(OR(H893&lt;N$3,H893&gt;N$7),H893,#N/A)</f>
        <v>#N/A</v>
      </c>
      <c r="AF893">
        <f t="shared" si="14"/>
        <v>4</v>
      </c>
      <c r="AG893" t="e">
        <f t="array" ref="AG893">IF(OR(I893&lt;O$3,I893&gt;O$7),I893,#N/A)</f>
        <v>#N/A</v>
      </c>
    </row>
    <row r="894" spans="5:33" x14ac:dyDescent="0.25">
      <c r="E894">
        <v>891</v>
      </c>
      <c r="F894">
        <v>12.636363636363637</v>
      </c>
      <c r="G894">
        <v>13.4</v>
      </c>
      <c r="H894">
        <v>14.24</v>
      </c>
      <c r="I894">
        <v>13.86</v>
      </c>
      <c r="Z894">
        <v>1</v>
      </c>
      <c r="AA894" t="e">
        <f t="array" ref="AA894">IF(OR(F894&lt;L$3,F894&gt;L$7),F894,#N/A)</f>
        <v>#N/A</v>
      </c>
      <c r="AB894">
        <f t="shared" si="14"/>
        <v>2</v>
      </c>
      <c r="AC894" t="e">
        <f t="array" ref="AC894">IF(OR(G894&lt;M$3,G894&gt;M$7),G894,#N/A)</f>
        <v>#N/A</v>
      </c>
      <c r="AD894">
        <f t="shared" si="14"/>
        <v>3</v>
      </c>
      <c r="AE894" t="e">
        <f t="array" ref="AE894">IF(OR(H894&lt;N$3,H894&gt;N$7),H894,#N/A)</f>
        <v>#N/A</v>
      </c>
      <c r="AF894">
        <f t="shared" si="14"/>
        <v>4</v>
      </c>
      <c r="AG894" t="e">
        <f t="array" ref="AG894">IF(OR(I894&lt;O$3,I894&gt;O$7),I894,#N/A)</f>
        <v>#N/A</v>
      </c>
    </row>
    <row r="895" spans="5:33" x14ac:dyDescent="0.25">
      <c r="E895">
        <v>892</v>
      </c>
      <c r="F895">
        <v>12.454545454545455</v>
      </c>
      <c r="G895">
        <v>13.35</v>
      </c>
      <c r="H895">
        <v>15.46</v>
      </c>
      <c r="I895">
        <v>14.46</v>
      </c>
      <c r="Z895">
        <v>1</v>
      </c>
      <c r="AA895" t="e">
        <f t="array" ref="AA895">IF(OR(F895&lt;L$3,F895&gt;L$7),F895,#N/A)</f>
        <v>#N/A</v>
      </c>
      <c r="AB895">
        <f t="shared" si="14"/>
        <v>2</v>
      </c>
      <c r="AC895" t="e">
        <f t="array" ref="AC895">IF(OR(G895&lt;M$3,G895&gt;M$7),G895,#N/A)</f>
        <v>#N/A</v>
      </c>
      <c r="AD895">
        <f t="shared" si="14"/>
        <v>3</v>
      </c>
      <c r="AE895" t="e">
        <f t="array" ref="AE895">IF(OR(H895&lt;N$3,H895&gt;N$7),H895,#N/A)</f>
        <v>#N/A</v>
      </c>
      <c r="AF895">
        <f t="shared" si="14"/>
        <v>4</v>
      </c>
      <c r="AG895" t="e">
        <f t="array" ref="AG895">IF(OR(I895&lt;O$3,I895&gt;O$7),I895,#N/A)</f>
        <v>#N/A</v>
      </c>
    </row>
    <row r="896" spans="5:33" x14ac:dyDescent="0.25">
      <c r="E896">
        <v>893</v>
      </c>
      <c r="F896">
        <v>15.818181818181818</v>
      </c>
      <c r="G896">
        <v>14</v>
      </c>
      <c r="H896">
        <v>14.3</v>
      </c>
      <c r="I896">
        <v>14.01</v>
      </c>
      <c r="Z896">
        <v>1</v>
      </c>
      <c r="AA896" t="e">
        <f t="array" ref="AA896">IF(OR(F896&lt;L$3,F896&gt;L$7),F896,#N/A)</f>
        <v>#N/A</v>
      </c>
      <c r="AB896">
        <f t="shared" si="14"/>
        <v>2</v>
      </c>
      <c r="AC896" t="e">
        <f t="array" ref="AC896">IF(OR(G896&lt;M$3,G896&gt;M$7),G896,#N/A)</f>
        <v>#N/A</v>
      </c>
      <c r="AD896">
        <f t="shared" si="14"/>
        <v>3</v>
      </c>
      <c r="AE896" t="e">
        <f t="array" ref="AE896">IF(OR(H896&lt;N$3,H896&gt;N$7),H896,#N/A)</f>
        <v>#N/A</v>
      </c>
      <c r="AF896">
        <f t="shared" si="14"/>
        <v>4</v>
      </c>
      <c r="AG896" t="e">
        <f t="array" ref="AG896">IF(OR(I896&lt;O$3,I896&gt;O$7),I896,#N/A)</f>
        <v>#N/A</v>
      </c>
    </row>
    <row r="897" spans="5:33" x14ac:dyDescent="0.25">
      <c r="E897">
        <v>894</v>
      </c>
      <c r="F897">
        <v>12.454545454545455</v>
      </c>
      <c r="G897">
        <v>16</v>
      </c>
      <c r="H897">
        <v>16.18</v>
      </c>
      <c r="I897">
        <v>16.32</v>
      </c>
      <c r="Z897">
        <v>1</v>
      </c>
      <c r="AA897" t="e">
        <f t="array" ref="AA897">IF(OR(F897&lt;L$3,F897&gt;L$7),F897,#N/A)</f>
        <v>#N/A</v>
      </c>
      <c r="AB897">
        <f t="shared" si="14"/>
        <v>2</v>
      </c>
      <c r="AC897" t="e">
        <f t="array" ref="AC897">IF(OR(G897&lt;M$3,G897&gt;M$7),G897,#N/A)</f>
        <v>#N/A</v>
      </c>
      <c r="AD897">
        <f t="shared" si="14"/>
        <v>3</v>
      </c>
      <c r="AE897" t="e">
        <f t="array" ref="AE897">IF(OR(H897&lt;N$3,H897&gt;N$7),H897,#N/A)</f>
        <v>#N/A</v>
      </c>
      <c r="AF897">
        <f t="shared" si="14"/>
        <v>4</v>
      </c>
      <c r="AG897">
        <f t="array" ref="AG897">IF(OR(I897&lt;O$3,I897&gt;O$7),I897,#N/A)</f>
        <v>16.32</v>
      </c>
    </row>
    <row r="898" spans="5:33" x14ac:dyDescent="0.25">
      <c r="E898">
        <v>895</v>
      </c>
      <c r="F898">
        <v>16.454545454545453</v>
      </c>
      <c r="G898">
        <v>15.55</v>
      </c>
      <c r="H898">
        <v>14.08</v>
      </c>
      <c r="I898">
        <v>13.82</v>
      </c>
      <c r="Z898">
        <v>1</v>
      </c>
      <c r="AA898" t="e">
        <f t="array" ref="AA898">IF(OR(F898&lt;L$3,F898&gt;L$7),F898,#N/A)</f>
        <v>#N/A</v>
      </c>
      <c r="AB898">
        <f t="shared" si="14"/>
        <v>2</v>
      </c>
      <c r="AC898" t="e">
        <f t="array" ref="AC898">IF(OR(G898&lt;M$3,G898&gt;M$7),G898,#N/A)</f>
        <v>#N/A</v>
      </c>
      <c r="AD898">
        <f t="shared" si="14"/>
        <v>3</v>
      </c>
      <c r="AE898" t="e">
        <f t="array" ref="AE898">IF(OR(H898&lt;N$3,H898&gt;N$7),H898,#N/A)</f>
        <v>#N/A</v>
      </c>
      <c r="AF898">
        <f t="shared" si="14"/>
        <v>4</v>
      </c>
      <c r="AG898" t="e">
        <f t="array" ref="AG898">IF(OR(I898&lt;O$3,I898&gt;O$7),I898,#N/A)</f>
        <v>#N/A</v>
      </c>
    </row>
    <row r="899" spans="5:33" x14ac:dyDescent="0.25">
      <c r="E899">
        <v>896</v>
      </c>
      <c r="F899">
        <v>11.727272727272727</v>
      </c>
      <c r="G899">
        <v>12.1</v>
      </c>
      <c r="H899">
        <v>13.14</v>
      </c>
      <c r="I899">
        <v>14.85</v>
      </c>
      <c r="Z899">
        <v>1</v>
      </c>
      <c r="AA899" t="e">
        <f t="array" ref="AA899">IF(OR(F899&lt;L$3,F899&gt;L$7),F899,#N/A)</f>
        <v>#N/A</v>
      </c>
      <c r="AB899">
        <f t="shared" si="14"/>
        <v>2</v>
      </c>
      <c r="AC899" t="e">
        <f t="array" ref="AC899">IF(OR(G899&lt;M$3,G899&gt;M$7),G899,#N/A)</f>
        <v>#N/A</v>
      </c>
      <c r="AD899">
        <f t="shared" si="14"/>
        <v>3</v>
      </c>
      <c r="AE899" t="e">
        <f t="array" ref="AE899">IF(OR(H899&lt;N$3,H899&gt;N$7),H899,#N/A)</f>
        <v>#N/A</v>
      </c>
      <c r="AF899">
        <f t="shared" si="14"/>
        <v>4</v>
      </c>
      <c r="AG899" t="e">
        <f t="array" ref="AG899">IF(OR(I899&lt;O$3,I899&gt;O$7),I899,#N/A)</f>
        <v>#N/A</v>
      </c>
    </row>
    <row r="900" spans="5:33" x14ac:dyDescent="0.25">
      <c r="E900">
        <v>897</v>
      </c>
      <c r="F900">
        <v>15</v>
      </c>
      <c r="G900">
        <v>15.55</v>
      </c>
      <c r="H900">
        <v>14.06</v>
      </c>
      <c r="I900">
        <v>13.61</v>
      </c>
      <c r="Z900">
        <v>1</v>
      </c>
      <c r="AA900" t="e">
        <f t="array" ref="AA900">IF(OR(F900&lt;L$3,F900&gt;L$7),F900,#N/A)</f>
        <v>#N/A</v>
      </c>
      <c r="AB900">
        <f t="shared" si="14"/>
        <v>2</v>
      </c>
      <c r="AC900" t="e">
        <f t="array" ref="AC900">IF(OR(G900&lt;M$3,G900&gt;M$7),G900,#N/A)</f>
        <v>#N/A</v>
      </c>
      <c r="AD900">
        <f t="shared" si="14"/>
        <v>3</v>
      </c>
      <c r="AE900" t="e">
        <f t="array" ref="AE900">IF(OR(H900&lt;N$3,H900&gt;N$7),H900,#N/A)</f>
        <v>#N/A</v>
      </c>
      <c r="AF900">
        <f t="shared" si="14"/>
        <v>4</v>
      </c>
      <c r="AG900" t="e">
        <f t="array" ref="AG900">IF(OR(I900&lt;O$3,I900&gt;O$7),I900,#N/A)</f>
        <v>#N/A</v>
      </c>
    </row>
    <row r="901" spans="5:33" x14ac:dyDescent="0.25">
      <c r="E901">
        <v>898</v>
      </c>
      <c r="F901">
        <v>13.454545454545455</v>
      </c>
      <c r="G901">
        <v>13.75</v>
      </c>
      <c r="H901">
        <v>13.84</v>
      </c>
      <c r="I901">
        <v>13.48</v>
      </c>
      <c r="Z901">
        <v>1</v>
      </c>
      <c r="AA901" t="e">
        <f t="array" ref="AA901">IF(OR(F901&lt;L$3,F901&gt;L$7),F901,#N/A)</f>
        <v>#N/A</v>
      </c>
      <c r="AB901">
        <f t="shared" ref="AB901:AF964" si="15">Z901+1</f>
        <v>2</v>
      </c>
      <c r="AC901" t="e">
        <f t="array" ref="AC901">IF(OR(G901&lt;M$3,G901&gt;M$7),G901,#N/A)</f>
        <v>#N/A</v>
      </c>
      <c r="AD901">
        <f t="shared" si="15"/>
        <v>3</v>
      </c>
      <c r="AE901" t="e">
        <f t="array" ref="AE901">IF(OR(H901&lt;N$3,H901&gt;N$7),H901,#N/A)</f>
        <v>#N/A</v>
      </c>
      <c r="AF901">
        <f t="shared" si="15"/>
        <v>4</v>
      </c>
      <c r="AG901" t="e">
        <f t="array" ref="AG901">IF(OR(I901&lt;O$3,I901&gt;O$7),I901,#N/A)</f>
        <v>#N/A</v>
      </c>
    </row>
    <row r="902" spans="5:33" x14ac:dyDescent="0.25">
      <c r="E902">
        <v>899</v>
      </c>
      <c r="F902">
        <v>12.727272727272727</v>
      </c>
      <c r="G902">
        <v>13.4</v>
      </c>
      <c r="H902">
        <v>14.86</v>
      </c>
      <c r="I902">
        <v>14.5</v>
      </c>
      <c r="Z902">
        <v>1</v>
      </c>
      <c r="AA902" t="e">
        <f t="array" ref="AA902">IF(OR(F902&lt;L$3,F902&gt;L$7),F902,#N/A)</f>
        <v>#N/A</v>
      </c>
      <c r="AB902">
        <f t="shared" si="15"/>
        <v>2</v>
      </c>
      <c r="AC902" t="e">
        <f t="array" ref="AC902">IF(OR(G902&lt;M$3,G902&gt;M$7),G902,#N/A)</f>
        <v>#N/A</v>
      </c>
      <c r="AD902">
        <f t="shared" si="15"/>
        <v>3</v>
      </c>
      <c r="AE902" t="e">
        <f t="array" ref="AE902">IF(OR(H902&lt;N$3,H902&gt;N$7),H902,#N/A)</f>
        <v>#N/A</v>
      </c>
      <c r="AF902">
        <f t="shared" si="15"/>
        <v>4</v>
      </c>
      <c r="AG902" t="e">
        <f t="array" ref="AG902">IF(OR(I902&lt;O$3,I902&gt;O$7),I902,#N/A)</f>
        <v>#N/A</v>
      </c>
    </row>
    <row r="903" spans="5:33" x14ac:dyDescent="0.25">
      <c r="E903">
        <v>900</v>
      </c>
      <c r="F903">
        <v>11.090909090909092</v>
      </c>
      <c r="G903">
        <v>12.7</v>
      </c>
      <c r="H903">
        <v>14.26</v>
      </c>
      <c r="I903">
        <v>14.36</v>
      </c>
      <c r="Z903">
        <v>1</v>
      </c>
      <c r="AA903" t="e">
        <f t="array" ref="AA903">IF(OR(F903&lt;L$3,F903&gt;L$7),F903,#N/A)</f>
        <v>#N/A</v>
      </c>
      <c r="AB903">
        <f t="shared" si="15"/>
        <v>2</v>
      </c>
      <c r="AC903" t="e">
        <f t="array" ref="AC903">IF(OR(G903&lt;M$3,G903&gt;M$7),G903,#N/A)</f>
        <v>#N/A</v>
      </c>
      <c r="AD903">
        <f t="shared" si="15"/>
        <v>3</v>
      </c>
      <c r="AE903" t="e">
        <f t="array" ref="AE903">IF(OR(H903&lt;N$3,H903&gt;N$7),H903,#N/A)</f>
        <v>#N/A</v>
      </c>
      <c r="AF903">
        <f t="shared" si="15"/>
        <v>4</v>
      </c>
      <c r="AG903" t="e">
        <f t="array" ref="AG903">IF(OR(I903&lt;O$3,I903&gt;O$7),I903,#N/A)</f>
        <v>#N/A</v>
      </c>
    </row>
    <row r="904" spans="5:33" x14ac:dyDescent="0.25">
      <c r="E904">
        <v>901</v>
      </c>
      <c r="F904">
        <v>16.181818181818183</v>
      </c>
      <c r="G904">
        <v>16.5</v>
      </c>
      <c r="H904">
        <v>15.9</v>
      </c>
      <c r="I904">
        <v>15.02</v>
      </c>
      <c r="Z904">
        <v>1</v>
      </c>
      <c r="AA904" t="e">
        <f t="array" ref="AA904">IF(OR(F904&lt;L$3,F904&gt;L$7),F904,#N/A)</f>
        <v>#N/A</v>
      </c>
      <c r="AB904">
        <f t="shared" si="15"/>
        <v>2</v>
      </c>
      <c r="AC904" t="e">
        <f t="array" ref="AC904">IF(OR(G904&lt;M$3,G904&gt;M$7),G904,#N/A)</f>
        <v>#N/A</v>
      </c>
      <c r="AD904">
        <f t="shared" si="15"/>
        <v>3</v>
      </c>
      <c r="AE904" t="e">
        <f t="array" ref="AE904">IF(OR(H904&lt;N$3,H904&gt;N$7),H904,#N/A)</f>
        <v>#N/A</v>
      </c>
      <c r="AF904">
        <f t="shared" si="15"/>
        <v>4</v>
      </c>
      <c r="AG904" t="e">
        <f t="array" ref="AG904">IF(OR(I904&lt;O$3,I904&gt;O$7),I904,#N/A)</f>
        <v>#N/A</v>
      </c>
    </row>
    <row r="905" spans="5:33" x14ac:dyDescent="0.25">
      <c r="E905">
        <v>902</v>
      </c>
      <c r="F905">
        <v>10.272727272727273</v>
      </c>
      <c r="G905">
        <v>14</v>
      </c>
      <c r="H905">
        <v>13.64</v>
      </c>
      <c r="I905">
        <v>13.91</v>
      </c>
      <c r="Z905">
        <v>1</v>
      </c>
      <c r="AA905" t="e">
        <f t="array" ref="AA905">IF(OR(F905&lt;L$3,F905&gt;L$7),F905,#N/A)</f>
        <v>#N/A</v>
      </c>
      <c r="AB905">
        <f t="shared" si="15"/>
        <v>2</v>
      </c>
      <c r="AC905" t="e">
        <f t="array" ref="AC905">IF(OR(G905&lt;M$3,G905&gt;M$7),G905,#N/A)</f>
        <v>#N/A</v>
      </c>
      <c r="AD905">
        <f t="shared" si="15"/>
        <v>3</v>
      </c>
      <c r="AE905" t="e">
        <f t="array" ref="AE905">IF(OR(H905&lt;N$3,H905&gt;N$7),H905,#N/A)</f>
        <v>#N/A</v>
      </c>
      <c r="AF905">
        <f t="shared" si="15"/>
        <v>4</v>
      </c>
      <c r="AG905" t="e">
        <f t="array" ref="AG905">IF(OR(I905&lt;O$3,I905&gt;O$7),I905,#N/A)</f>
        <v>#N/A</v>
      </c>
    </row>
    <row r="906" spans="5:33" x14ac:dyDescent="0.25">
      <c r="E906">
        <v>903</v>
      </c>
      <c r="F906">
        <v>11.363636363636363</v>
      </c>
      <c r="G906">
        <v>13.4</v>
      </c>
      <c r="H906">
        <v>15.06</v>
      </c>
      <c r="I906">
        <v>14.71</v>
      </c>
      <c r="Z906">
        <v>1</v>
      </c>
      <c r="AA906" t="e">
        <f t="array" ref="AA906">IF(OR(F906&lt;L$3,F906&gt;L$7),F906,#N/A)</f>
        <v>#N/A</v>
      </c>
      <c r="AB906">
        <f t="shared" si="15"/>
        <v>2</v>
      </c>
      <c r="AC906" t="e">
        <f t="array" ref="AC906">IF(OR(G906&lt;M$3,G906&gt;M$7),G906,#N/A)</f>
        <v>#N/A</v>
      </c>
      <c r="AD906">
        <f t="shared" si="15"/>
        <v>3</v>
      </c>
      <c r="AE906" t="e">
        <f t="array" ref="AE906">IF(OR(H906&lt;N$3,H906&gt;N$7),H906,#N/A)</f>
        <v>#N/A</v>
      </c>
      <c r="AF906">
        <f t="shared" si="15"/>
        <v>4</v>
      </c>
      <c r="AG906" t="e">
        <f t="array" ref="AG906">IF(OR(I906&lt;O$3,I906&gt;O$7),I906,#N/A)</f>
        <v>#N/A</v>
      </c>
    </row>
    <row r="907" spans="5:33" x14ac:dyDescent="0.25">
      <c r="E907">
        <v>904</v>
      </c>
      <c r="F907">
        <v>15</v>
      </c>
      <c r="G907">
        <v>14</v>
      </c>
      <c r="H907">
        <v>13.12</v>
      </c>
      <c r="I907">
        <v>12.94</v>
      </c>
      <c r="Z907">
        <v>1</v>
      </c>
      <c r="AA907" t="e">
        <f t="array" ref="AA907">IF(OR(F907&lt;L$3,F907&gt;L$7),F907,#N/A)</f>
        <v>#N/A</v>
      </c>
      <c r="AB907">
        <f t="shared" si="15"/>
        <v>2</v>
      </c>
      <c r="AC907" t="e">
        <f t="array" ref="AC907">IF(OR(G907&lt;M$3,G907&gt;M$7),G907,#N/A)</f>
        <v>#N/A</v>
      </c>
      <c r="AD907">
        <f t="shared" si="15"/>
        <v>3</v>
      </c>
      <c r="AE907" t="e">
        <f t="array" ref="AE907">IF(OR(H907&lt;N$3,H907&gt;N$7),H907,#N/A)</f>
        <v>#N/A</v>
      </c>
      <c r="AF907">
        <f t="shared" si="15"/>
        <v>4</v>
      </c>
      <c r="AG907" t="e">
        <f t="array" ref="AG907">IF(OR(I907&lt;O$3,I907&gt;O$7),I907,#N/A)</f>
        <v>#N/A</v>
      </c>
    </row>
    <row r="908" spans="5:33" x14ac:dyDescent="0.25">
      <c r="E908">
        <v>905</v>
      </c>
      <c r="F908">
        <v>14.090909090909092</v>
      </c>
      <c r="G908">
        <v>15.9</v>
      </c>
      <c r="H908">
        <v>14.84</v>
      </c>
      <c r="I908">
        <v>14.57</v>
      </c>
      <c r="Z908">
        <v>1</v>
      </c>
      <c r="AA908" t="e">
        <f t="array" ref="AA908">IF(OR(F908&lt;L$3,F908&gt;L$7),F908,#N/A)</f>
        <v>#N/A</v>
      </c>
      <c r="AB908">
        <f t="shared" si="15"/>
        <v>2</v>
      </c>
      <c r="AC908" t="e">
        <f t="array" ref="AC908">IF(OR(G908&lt;M$3,G908&gt;M$7),G908,#N/A)</f>
        <v>#N/A</v>
      </c>
      <c r="AD908">
        <f t="shared" si="15"/>
        <v>3</v>
      </c>
      <c r="AE908" t="e">
        <f t="array" ref="AE908">IF(OR(H908&lt;N$3,H908&gt;N$7),H908,#N/A)</f>
        <v>#N/A</v>
      </c>
      <c r="AF908">
        <f t="shared" si="15"/>
        <v>4</v>
      </c>
      <c r="AG908" t="e">
        <f t="array" ref="AG908">IF(OR(I908&lt;O$3,I908&gt;O$7),I908,#N/A)</f>
        <v>#N/A</v>
      </c>
    </row>
    <row r="909" spans="5:33" x14ac:dyDescent="0.25">
      <c r="E909">
        <v>906</v>
      </c>
      <c r="F909">
        <v>13</v>
      </c>
      <c r="G909">
        <v>14.65</v>
      </c>
      <c r="H909">
        <v>14.44</v>
      </c>
      <c r="I909">
        <v>14.56</v>
      </c>
      <c r="Z909">
        <v>1</v>
      </c>
      <c r="AA909" t="e">
        <f t="array" ref="AA909">IF(OR(F909&lt;L$3,F909&gt;L$7),F909,#N/A)</f>
        <v>#N/A</v>
      </c>
      <c r="AB909">
        <f t="shared" si="15"/>
        <v>2</v>
      </c>
      <c r="AC909" t="e">
        <f t="array" ref="AC909">IF(OR(G909&lt;M$3,G909&gt;M$7),G909,#N/A)</f>
        <v>#N/A</v>
      </c>
      <c r="AD909">
        <f t="shared" si="15"/>
        <v>3</v>
      </c>
      <c r="AE909" t="e">
        <f t="array" ref="AE909">IF(OR(H909&lt;N$3,H909&gt;N$7),H909,#N/A)</f>
        <v>#N/A</v>
      </c>
      <c r="AF909">
        <f t="shared" si="15"/>
        <v>4</v>
      </c>
      <c r="AG909" t="e">
        <f t="array" ref="AG909">IF(OR(I909&lt;O$3,I909&gt;O$7),I909,#N/A)</f>
        <v>#N/A</v>
      </c>
    </row>
    <row r="910" spans="5:33" x14ac:dyDescent="0.25">
      <c r="E910">
        <v>907</v>
      </c>
      <c r="F910">
        <v>12.909090909090908</v>
      </c>
      <c r="G910">
        <v>14.55</v>
      </c>
      <c r="H910">
        <v>14.82</v>
      </c>
      <c r="I910">
        <v>13.97</v>
      </c>
      <c r="Z910">
        <v>1</v>
      </c>
      <c r="AA910" t="e">
        <f t="array" ref="AA910">IF(OR(F910&lt;L$3,F910&gt;L$7),F910,#N/A)</f>
        <v>#N/A</v>
      </c>
      <c r="AB910">
        <f t="shared" si="15"/>
        <v>2</v>
      </c>
      <c r="AC910" t="e">
        <f t="array" ref="AC910">IF(OR(G910&lt;M$3,G910&gt;M$7),G910,#N/A)</f>
        <v>#N/A</v>
      </c>
      <c r="AD910">
        <f t="shared" si="15"/>
        <v>3</v>
      </c>
      <c r="AE910" t="e">
        <f t="array" ref="AE910">IF(OR(H910&lt;N$3,H910&gt;N$7),H910,#N/A)</f>
        <v>#N/A</v>
      </c>
      <c r="AF910">
        <f t="shared" si="15"/>
        <v>4</v>
      </c>
      <c r="AG910" t="e">
        <f t="array" ref="AG910">IF(OR(I910&lt;O$3,I910&gt;O$7),I910,#N/A)</f>
        <v>#N/A</v>
      </c>
    </row>
    <row r="911" spans="5:33" x14ac:dyDescent="0.25">
      <c r="E911">
        <v>908</v>
      </c>
      <c r="F911">
        <v>14.545454545454545</v>
      </c>
      <c r="G911">
        <v>15.45</v>
      </c>
      <c r="H911">
        <v>16.100000000000001</v>
      </c>
      <c r="I911">
        <v>14.05</v>
      </c>
      <c r="Z911">
        <v>1</v>
      </c>
      <c r="AA911" t="e">
        <f t="array" ref="AA911">IF(OR(F911&lt;L$3,F911&gt;L$7),F911,#N/A)</f>
        <v>#N/A</v>
      </c>
      <c r="AB911">
        <f t="shared" si="15"/>
        <v>2</v>
      </c>
      <c r="AC911" t="e">
        <f t="array" ref="AC911">IF(OR(G911&lt;M$3,G911&gt;M$7),G911,#N/A)</f>
        <v>#N/A</v>
      </c>
      <c r="AD911">
        <f t="shared" si="15"/>
        <v>3</v>
      </c>
      <c r="AE911" t="e">
        <f t="array" ref="AE911">IF(OR(H911&lt;N$3,H911&gt;N$7),H911,#N/A)</f>
        <v>#N/A</v>
      </c>
      <c r="AF911">
        <f t="shared" si="15"/>
        <v>4</v>
      </c>
      <c r="AG911" t="e">
        <f t="array" ref="AG911">IF(OR(I911&lt;O$3,I911&gt;O$7),I911,#N/A)</f>
        <v>#N/A</v>
      </c>
    </row>
    <row r="912" spans="5:33" x14ac:dyDescent="0.25">
      <c r="E912">
        <v>909</v>
      </c>
      <c r="F912">
        <v>12.363636363636363</v>
      </c>
      <c r="G912">
        <v>13.3</v>
      </c>
      <c r="H912">
        <v>14.44</v>
      </c>
      <c r="I912">
        <v>13.66</v>
      </c>
      <c r="Z912">
        <v>1</v>
      </c>
      <c r="AA912" t="e">
        <f t="array" ref="AA912">IF(OR(F912&lt;L$3,F912&gt;L$7),F912,#N/A)</f>
        <v>#N/A</v>
      </c>
      <c r="AB912">
        <f t="shared" si="15"/>
        <v>2</v>
      </c>
      <c r="AC912" t="e">
        <f t="array" ref="AC912">IF(OR(G912&lt;M$3,G912&gt;M$7),G912,#N/A)</f>
        <v>#N/A</v>
      </c>
      <c r="AD912">
        <f t="shared" si="15"/>
        <v>3</v>
      </c>
      <c r="AE912" t="e">
        <f t="array" ref="AE912">IF(OR(H912&lt;N$3,H912&gt;N$7),H912,#N/A)</f>
        <v>#N/A</v>
      </c>
      <c r="AF912">
        <f t="shared" si="15"/>
        <v>4</v>
      </c>
      <c r="AG912" t="e">
        <f t="array" ref="AG912">IF(OR(I912&lt;O$3,I912&gt;O$7),I912,#N/A)</f>
        <v>#N/A</v>
      </c>
    </row>
    <row r="913" spans="5:33" x14ac:dyDescent="0.25">
      <c r="E913">
        <v>910</v>
      </c>
      <c r="F913">
        <v>16.90909090909091</v>
      </c>
      <c r="G913">
        <v>17.75</v>
      </c>
      <c r="H913">
        <v>15.6</v>
      </c>
      <c r="I913">
        <v>14.89</v>
      </c>
      <c r="Z913">
        <v>1</v>
      </c>
      <c r="AA913" t="e">
        <f t="array" ref="AA913">IF(OR(F913&lt;L$3,F913&gt;L$7),F913,#N/A)</f>
        <v>#N/A</v>
      </c>
      <c r="AB913">
        <f t="shared" si="15"/>
        <v>2</v>
      </c>
      <c r="AC913" t="e">
        <f t="array" ref="AC913">IF(OR(G913&lt;M$3,G913&gt;M$7),G913,#N/A)</f>
        <v>#N/A</v>
      </c>
      <c r="AD913">
        <f t="shared" si="15"/>
        <v>3</v>
      </c>
      <c r="AE913" t="e">
        <f t="array" ref="AE913">IF(OR(H913&lt;N$3,H913&gt;N$7),H913,#N/A)</f>
        <v>#N/A</v>
      </c>
      <c r="AF913">
        <f t="shared" si="15"/>
        <v>4</v>
      </c>
      <c r="AG913" t="e">
        <f t="array" ref="AG913">IF(OR(I913&lt;O$3,I913&gt;O$7),I913,#N/A)</f>
        <v>#N/A</v>
      </c>
    </row>
    <row r="914" spans="5:33" x14ac:dyDescent="0.25">
      <c r="E914">
        <v>911</v>
      </c>
      <c r="F914">
        <v>15.454545454545455</v>
      </c>
      <c r="G914">
        <v>13.85</v>
      </c>
      <c r="H914">
        <v>14.06</v>
      </c>
      <c r="I914">
        <v>15.01</v>
      </c>
      <c r="Z914">
        <v>1</v>
      </c>
      <c r="AA914" t="e">
        <f t="array" ref="AA914">IF(OR(F914&lt;L$3,F914&gt;L$7),F914,#N/A)</f>
        <v>#N/A</v>
      </c>
      <c r="AB914">
        <f t="shared" si="15"/>
        <v>2</v>
      </c>
      <c r="AC914" t="e">
        <f t="array" ref="AC914">IF(OR(G914&lt;M$3,G914&gt;M$7),G914,#N/A)</f>
        <v>#N/A</v>
      </c>
      <c r="AD914">
        <f t="shared" si="15"/>
        <v>3</v>
      </c>
      <c r="AE914" t="e">
        <f t="array" ref="AE914">IF(OR(H914&lt;N$3,H914&gt;N$7),H914,#N/A)</f>
        <v>#N/A</v>
      </c>
      <c r="AF914">
        <f t="shared" si="15"/>
        <v>4</v>
      </c>
      <c r="AG914" t="e">
        <f t="array" ref="AG914">IF(OR(I914&lt;O$3,I914&gt;O$7),I914,#N/A)</f>
        <v>#N/A</v>
      </c>
    </row>
    <row r="915" spans="5:33" x14ac:dyDescent="0.25">
      <c r="E915">
        <v>912</v>
      </c>
      <c r="F915">
        <v>15.909090909090908</v>
      </c>
      <c r="G915">
        <v>13.85</v>
      </c>
      <c r="H915">
        <v>13.28</v>
      </c>
      <c r="I915">
        <v>12.84</v>
      </c>
      <c r="Z915">
        <v>1</v>
      </c>
      <c r="AA915" t="e">
        <f t="array" ref="AA915">IF(OR(F915&lt;L$3,F915&gt;L$7),F915,#N/A)</f>
        <v>#N/A</v>
      </c>
      <c r="AB915">
        <f t="shared" si="15"/>
        <v>2</v>
      </c>
      <c r="AC915" t="e">
        <f t="array" ref="AC915">IF(OR(G915&lt;M$3,G915&gt;M$7),G915,#N/A)</f>
        <v>#N/A</v>
      </c>
      <c r="AD915">
        <f t="shared" si="15"/>
        <v>3</v>
      </c>
      <c r="AE915" t="e">
        <f t="array" ref="AE915">IF(OR(H915&lt;N$3,H915&gt;N$7),H915,#N/A)</f>
        <v>#N/A</v>
      </c>
      <c r="AF915">
        <f t="shared" si="15"/>
        <v>4</v>
      </c>
      <c r="AG915" t="e">
        <f t="array" ref="AG915">IF(OR(I915&lt;O$3,I915&gt;O$7),I915,#N/A)</f>
        <v>#N/A</v>
      </c>
    </row>
    <row r="916" spans="5:33" x14ac:dyDescent="0.25">
      <c r="E916">
        <v>913</v>
      </c>
      <c r="F916">
        <v>12.454545454545455</v>
      </c>
      <c r="G916">
        <v>13.3</v>
      </c>
      <c r="H916">
        <v>16.079999999999998</v>
      </c>
      <c r="I916">
        <v>15.34</v>
      </c>
      <c r="Z916">
        <v>1</v>
      </c>
      <c r="AA916" t="e">
        <f t="array" ref="AA916">IF(OR(F916&lt;L$3,F916&gt;L$7),F916,#N/A)</f>
        <v>#N/A</v>
      </c>
      <c r="AB916">
        <f t="shared" si="15"/>
        <v>2</v>
      </c>
      <c r="AC916" t="e">
        <f t="array" ref="AC916">IF(OR(G916&lt;M$3,G916&gt;M$7),G916,#N/A)</f>
        <v>#N/A</v>
      </c>
      <c r="AD916">
        <f t="shared" si="15"/>
        <v>3</v>
      </c>
      <c r="AE916" t="e">
        <f t="array" ref="AE916">IF(OR(H916&lt;N$3,H916&gt;N$7),H916,#N/A)</f>
        <v>#N/A</v>
      </c>
      <c r="AF916">
        <f t="shared" si="15"/>
        <v>4</v>
      </c>
      <c r="AG916" t="e">
        <f t="array" ref="AG916">IF(OR(I916&lt;O$3,I916&gt;O$7),I916,#N/A)</f>
        <v>#N/A</v>
      </c>
    </row>
    <row r="917" spans="5:33" x14ac:dyDescent="0.25">
      <c r="E917">
        <v>914</v>
      </c>
      <c r="F917">
        <v>11.636363636363637</v>
      </c>
      <c r="G917">
        <v>12.65</v>
      </c>
      <c r="H917">
        <v>13.58</v>
      </c>
      <c r="I917">
        <v>13.6</v>
      </c>
      <c r="Z917">
        <v>1</v>
      </c>
      <c r="AA917" t="e">
        <f t="array" ref="AA917">IF(OR(F917&lt;L$3,F917&gt;L$7),F917,#N/A)</f>
        <v>#N/A</v>
      </c>
      <c r="AB917">
        <f t="shared" si="15"/>
        <v>2</v>
      </c>
      <c r="AC917" t="e">
        <f t="array" ref="AC917">IF(OR(G917&lt;M$3,G917&gt;M$7),G917,#N/A)</f>
        <v>#N/A</v>
      </c>
      <c r="AD917">
        <f t="shared" si="15"/>
        <v>3</v>
      </c>
      <c r="AE917" t="e">
        <f t="array" ref="AE917">IF(OR(H917&lt;N$3,H917&gt;N$7),H917,#N/A)</f>
        <v>#N/A</v>
      </c>
      <c r="AF917">
        <f t="shared" si="15"/>
        <v>4</v>
      </c>
      <c r="AG917" t="e">
        <f t="array" ref="AG917">IF(OR(I917&lt;O$3,I917&gt;O$7),I917,#N/A)</f>
        <v>#N/A</v>
      </c>
    </row>
    <row r="918" spans="5:33" x14ac:dyDescent="0.25">
      <c r="E918">
        <v>915</v>
      </c>
      <c r="F918">
        <v>12.545454545454545</v>
      </c>
      <c r="G918">
        <v>13.35</v>
      </c>
      <c r="H918">
        <v>13.4</v>
      </c>
      <c r="I918">
        <v>14.87</v>
      </c>
      <c r="Z918">
        <v>1</v>
      </c>
      <c r="AA918" t="e">
        <f t="array" ref="AA918">IF(OR(F918&lt;L$3,F918&gt;L$7),F918,#N/A)</f>
        <v>#N/A</v>
      </c>
      <c r="AB918">
        <f t="shared" si="15"/>
        <v>2</v>
      </c>
      <c r="AC918" t="e">
        <f t="array" ref="AC918">IF(OR(G918&lt;M$3,G918&gt;M$7),G918,#N/A)</f>
        <v>#N/A</v>
      </c>
      <c r="AD918">
        <f t="shared" si="15"/>
        <v>3</v>
      </c>
      <c r="AE918" t="e">
        <f t="array" ref="AE918">IF(OR(H918&lt;N$3,H918&gt;N$7),H918,#N/A)</f>
        <v>#N/A</v>
      </c>
      <c r="AF918">
        <f t="shared" si="15"/>
        <v>4</v>
      </c>
      <c r="AG918" t="e">
        <f t="array" ref="AG918">IF(OR(I918&lt;O$3,I918&gt;O$7),I918,#N/A)</f>
        <v>#N/A</v>
      </c>
    </row>
    <row r="919" spans="5:33" x14ac:dyDescent="0.25">
      <c r="E919">
        <v>916</v>
      </c>
      <c r="F919">
        <v>10</v>
      </c>
      <c r="G919">
        <v>11</v>
      </c>
      <c r="H919">
        <v>13.98</v>
      </c>
      <c r="I919">
        <v>15.1</v>
      </c>
      <c r="Z919">
        <v>1</v>
      </c>
      <c r="AA919" t="e">
        <f t="array" ref="AA919">IF(OR(F919&lt;L$3,F919&gt;L$7),F919,#N/A)</f>
        <v>#N/A</v>
      </c>
      <c r="AB919">
        <f t="shared" si="15"/>
        <v>2</v>
      </c>
      <c r="AC919" t="e">
        <f t="array" ref="AC919">IF(OR(G919&lt;M$3,G919&gt;M$7),G919,#N/A)</f>
        <v>#N/A</v>
      </c>
      <c r="AD919">
        <f t="shared" si="15"/>
        <v>3</v>
      </c>
      <c r="AE919" t="e">
        <f t="array" ref="AE919">IF(OR(H919&lt;N$3,H919&gt;N$7),H919,#N/A)</f>
        <v>#N/A</v>
      </c>
      <c r="AF919">
        <f t="shared" si="15"/>
        <v>4</v>
      </c>
      <c r="AG919" t="e">
        <f t="array" ref="AG919">IF(OR(I919&lt;O$3,I919&gt;O$7),I919,#N/A)</f>
        <v>#N/A</v>
      </c>
    </row>
    <row r="920" spans="5:33" x14ac:dyDescent="0.25">
      <c r="E920">
        <v>917</v>
      </c>
      <c r="F920">
        <v>13</v>
      </c>
      <c r="G920">
        <v>13.25</v>
      </c>
      <c r="H920">
        <v>13.92</v>
      </c>
      <c r="I920">
        <v>13.91</v>
      </c>
      <c r="Z920">
        <v>1</v>
      </c>
      <c r="AA920" t="e">
        <f t="array" ref="AA920">IF(OR(F920&lt;L$3,F920&gt;L$7),F920,#N/A)</f>
        <v>#N/A</v>
      </c>
      <c r="AB920">
        <f t="shared" si="15"/>
        <v>2</v>
      </c>
      <c r="AC920" t="e">
        <f t="array" ref="AC920">IF(OR(G920&lt;M$3,G920&gt;M$7),G920,#N/A)</f>
        <v>#N/A</v>
      </c>
      <c r="AD920">
        <f t="shared" si="15"/>
        <v>3</v>
      </c>
      <c r="AE920" t="e">
        <f t="array" ref="AE920">IF(OR(H920&lt;N$3,H920&gt;N$7),H920,#N/A)</f>
        <v>#N/A</v>
      </c>
      <c r="AF920">
        <f t="shared" si="15"/>
        <v>4</v>
      </c>
      <c r="AG920" t="e">
        <f t="array" ref="AG920">IF(OR(I920&lt;O$3,I920&gt;O$7),I920,#N/A)</f>
        <v>#N/A</v>
      </c>
    </row>
    <row r="921" spans="5:33" x14ac:dyDescent="0.25">
      <c r="E921">
        <v>918</v>
      </c>
      <c r="F921">
        <v>12.181818181818182</v>
      </c>
      <c r="G921">
        <v>13.75</v>
      </c>
      <c r="H921">
        <v>13.38</v>
      </c>
      <c r="I921">
        <v>13.54</v>
      </c>
      <c r="Z921">
        <v>1</v>
      </c>
      <c r="AA921" t="e">
        <f t="array" ref="AA921">IF(OR(F921&lt;L$3,F921&gt;L$7),F921,#N/A)</f>
        <v>#N/A</v>
      </c>
      <c r="AB921">
        <f t="shared" si="15"/>
        <v>2</v>
      </c>
      <c r="AC921" t="e">
        <f t="array" ref="AC921">IF(OR(G921&lt;M$3,G921&gt;M$7),G921,#N/A)</f>
        <v>#N/A</v>
      </c>
      <c r="AD921">
        <f t="shared" si="15"/>
        <v>3</v>
      </c>
      <c r="AE921" t="e">
        <f t="array" ref="AE921">IF(OR(H921&lt;N$3,H921&gt;N$7),H921,#N/A)</f>
        <v>#N/A</v>
      </c>
      <c r="AF921">
        <f t="shared" si="15"/>
        <v>4</v>
      </c>
      <c r="AG921" t="e">
        <f t="array" ref="AG921">IF(OR(I921&lt;O$3,I921&gt;O$7),I921,#N/A)</f>
        <v>#N/A</v>
      </c>
    </row>
    <row r="922" spans="5:33" x14ac:dyDescent="0.25">
      <c r="E922">
        <v>919</v>
      </c>
      <c r="F922">
        <v>13.363636363636363</v>
      </c>
      <c r="G922">
        <v>14.1</v>
      </c>
      <c r="H922">
        <v>13.94</v>
      </c>
      <c r="I922">
        <v>14.27</v>
      </c>
      <c r="Z922">
        <v>1</v>
      </c>
      <c r="AA922" t="e">
        <f t="array" ref="AA922">IF(OR(F922&lt;L$3,F922&gt;L$7),F922,#N/A)</f>
        <v>#N/A</v>
      </c>
      <c r="AB922">
        <f t="shared" si="15"/>
        <v>2</v>
      </c>
      <c r="AC922" t="e">
        <f t="array" ref="AC922">IF(OR(G922&lt;M$3,G922&gt;M$7),G922,#N/A)</f>
        <v>#N/A</v>
      </c>
      <c r="AD922">
        <f t="shared" si="15"/>
        <v>3</v>
      </c>
      <c r="AE922" t="e">
        <f t="array" ref="AE922">IF(OR(H922&lt;N$3,H922&gt;N$7),H922,#N/A)</f>
        <v>#N/A</v>
      </c>
      <c r="AF922">
        <f t="shared" si="15"/>
        <v>4</v>
      </c>
      <c r="AG922" t="e">
        <f t="array" ref="AG922">IF(OR(I922&lt;O$3,I922&gt;O$7),I922,#N/A)</f>
        <v>#N/A</v>
      </c>
    </row>
    <row r="923" spans="5:33" x14ac:dyDescent="0.25">
      <c r="E923">
        <v>920</v>
      </c>
      <c r="F923">
        <v>12.090909090909092</v>
      </c>
      <c r="G923">
        <v>13</v>
      </c>
      <c r="H923">
        <v>12.2</v>
      </c>
      <c r="I923">
        <v>12.93</v>
      </c>
      <c r="Z923">
        <v>1</v>
      </c>
      <c r="AA923" t="e">
        <f t="array" ref="AA923">IF(OR(F923&lt;L$3,F923&gt;L$7),F923,#N/A)</f>
        <v>#N/A</v>
      </c>
      <c r="AB923">
        <f t="shared" si="15"/>
        <v>2</v>
      </c>
      <c r="AC923" t="e">
        <f t="array" ref="AC923">IF(OR(G923&lt;M$3,G923&gt;M$7),G923,#N/A)</f>
        <v>#N/A</v>
      </c>
      <c r="AD923">
        <f t="shared" si="15"/>
        <v>3</v>
      </c>
      <c r="AE923" t="e">
        <f t="array" ref="AE923">IF(OR(H923&lt;N$3,H923&gt;N$7),H923,#N/A)</f>
        <v>#N/A</v>
      </c>
      <c r="AF923">
        <f t="shared" si="15"/>
        <v>4</v>
      </c>
      <c r="AG923" t="e">
        <f t="array" ref="AG923">IF(OR(I923&lt;O$3,I923&gt;O$7),I923,#N/A)</f>
        <v>#N/A</v>
      </c>
    </row>
    <row r="924" spans="5:33" x14ac:dyDescent="0.25">
      <c r="E924">
        <v>921</v>
      </c>
      <c r="F924">
        <v>15</v>
      </c>
      <c r="G924">
        <v>15.85</v>
      </c>
      <c r="H924">
        <v>16.22</v>
      </c>
      <c r="I924">
        <v>15.74</v>
      </c>
      <c r="Z924">
        <v>1</v>
      </c>
      <c r="AA924" t="e">
        <f t="array" ref="AA924">IF(OR(F924&lt;L$3,F924&gt;L$7),F924,#N/A)</f>
        <v>#N/A</v>
      </c>
      <c r="AB924">
        <f t="shared" si="15"/>
        <v>2</v>
      </c>
      <c r="AC924" t="e">
        <f t="array" ref="AC924">IF(OR(G924&lt;M$3,G924&gt;M$7),G924,#N/A)</f>
        <v>#N/A</v>
      </c>
      <c r="AD924">
        <f t="shared" si="15"/>
        <v>3</v>
      </c>
      <c r="AE924" t="e">
        <f t="array" ref="AE924">IF(OR(H924&lt;N$3,H924&gt;N$7),H924,#N/A)</f>
        <v>#N/A</v>
      </c>
      <c r="AF924">
        <f t="shared" si="15"/>
        <v>4</v>
      </c>
      <c r="AG924" t="e">
        <f t="array" ref="AG924">IF(OR(I924&lt;O$3,I924&gt;O$7),I924,#N/A)</f>
        <v>#N/A</v>
      </c>
    </row>
    <row r="925" spans="5:33" x14ac:dyDescent="0.25">
      <c r="E925">
        <v>922</v>
      </c>
      <c r="F925">
        <v>14.181818181818182</v>
      </c>
      <c r="G925">
        <v>14.4</v>
      </c>
      <c r="H925">
        <v>15.18</v>
      </c>
      <c r="I925">
        <v>13.81</v>
      </c>
      <c r="Z925">
        <v>1</v>
      </c>
      <c r="AA925" t="e">
        <f t="array" ref="AA925">IF(OR(F925&lt;L$3,F925&gt;L$7),F925,#N/A)</f>
        <v>#N/A</v>
      </c>
      <c r="AB925">
        <f t="shared" si="15"/>
        <v>2</v>
      </c>
      <c r="AC925" t="e">
        <f t="array" ref="AC925">IF(OR(G925&lt;M$3,G925&gt;M$7),G925,#N/A)</f>
        <v>#N/A</v>
      </c>
      <c r="AD925">
        <f t="shared" si="15"/>
        <v>3</v>
      </c>
      <c r="AE925" t="e">
        <f t="array" ref="AE925">IF(OR(H925&lt;N$3,H925&gt;N$7),H925,#N/A)</f>
        <v>#N/A</v>
      </c>
      <c r="AF925">
        <f t="shared" si="15"/>
        <v>4</v>
      </c>
      <c r="AG925" t="e">
        <f t="array" ref="AG925">IF(OR(I925&lt;O$3,I925&gt;O$7),I925,#N/A)</f>
        <v>#N/A</v>
      </c>
    </row>
    <row r="926" spans="5:33" x14ac:dyDescent="0.25">
      <c r="E926">
        <v>923</v>
      </c>
      <c r="F926">
        <v>10.909090909090908</v>
      </c>
      <c r="G926">
        <v>12.5</v>
      </c>
      <c r="H926">
        <v>12.8</v>
      </c>
      <c r="I926">
        <v>12.92</v>
      </c>
      <c r="Z926">
        <v>1</v>
      </c>
      <c r="AA926" t="e">
        <f t="array" ref="AA926">IF(OR(F926&lt;L$3,F926&gt;L$7),F926,#N/A)</f>
        <v>#N/A</v>
      </c>
      <c r="AB926">
        <f t="shared" si="15"/>
        <v>2</v>
      </c>
      <c r="AC926" t="e">
        <f t="array" ref="AC926">IF(OR(G926&lt;M$3,G926&gt;M$7),G926,#N/A)</f>
        <v>#N/A</v>
      </c>
      <c r="AD926">
        <f t="shared" si="15"/>
        <v>3</v>
      </c>
      <c r="AE926" t="e">
        <f t="array" ref="AE926">IF(OR(H926&lt;N$3,H926&gt;N$7),H926,#N/A)</f>
        <v>#N/A</v>
      </c>
      <c r="AF926">
        <f t="shared" si="15"/>
        <v>4</v>
      </c>
      <c r="AG926" t="e">
        <f t="array" ref="AG926">IF(OR(I926&lt;O$3,I926&gt;O$7),I926,#N/A)</f>
        <v>#N/A</v>
      </c>
    </row>
    <row r="927" spans="5:33" x14ac:dyDescent="0.25">
      <c r="E927">
        <v>924</v>
      </c>
      <c r="F927">
        <v>17.272727272727273</v>
      </c>
      <c r="G927">
        <v>16.55</v>
      </c>
      <c r="H927">
        <v>14.92</v>
      </c>
      <c r="I927">
        <v>14.12</v>
      </c>
      <c r="Z927">
        <v>1</v>
      </c>
      <c r="AA927" t="e">
        <f t="array" ref="AA927">IF(OR(F927&lt;L$3,F927&gt;L$7),F927,#N/A)</f>
        <v>#N/A</v>
      </c>
      <c r="AB927">
        <f t="shared" si="15"/>
        <v>2</v>
      </c>
      <c r="AC927" t="e">
        <f t="array" ref="AC927">IF(OR(G927&lt;M$3,G927&gt;M$7),G927,#N/A)</f>
        <v>#N/A</v>
      </c>
      <c r="AD927">
        <f t="shared" si="15"/>
        <v>3</v>
      </c>
      <c r="AE927" t="e">
        <f t="array" ref="AE927">IF(OR(H927&lt;N$3,H927&gt;N$7),H927,#N/A)</f>
        <v>#N/A</v>
      </c>
      <c r="AF927">
        <f t="shared" si="15"/>
        <v>4</v>
      </c>
      <c r="AG927" t="e">
        <f t="array" ref="AG927">IF(OR(I927&lt;O$3,I927&gt;O$7),I927,#N/A)</f>
        <v>#N/A</v>
      </c>
    </row>
    <row r="928" spans="5:33" x14ac:dyDescent="0.25">
      <c r="E928">
        <v>925</v>
      </c>
      <c r="F928">
        <v>12.818181818181818</v>
      </c>
      <c r="G928">
        <v>12.9</v>
      </c>
      <c r="H928">
        <v>12.78</v>
      </c>
      <c r="I928">
        <v>14.33</v>
      </c>
      <c r="Z928">
        <v>1</v>
      </c>
      <c r="AA928" t="e">
        <f t="array" ref="AA928">IF(OR(F928&lt;L$3,F928&gt;L$7),F928,#N/A)</f>
        <v>#N/A</v>
      </c>
      <c r="AB928">
        <f t="shared" si="15"/>
        <v>2</v>
      </c>
      <c r="AC928" t="e">
        <f t="array" ref="AC928">IF(OR(G928&lt;M$3,G928&gt;M$7),G928,#N/A)</f>
        <v>#N/A</v>
      </c>
      <c r="AD928">
        <f t="shared" si="15"/>
        <v>3</v>
      </c>
      <c r="AE928" t="e">
        <f t="array" ref="AE928">IF(OR(H928&lt;N$3,H928&gt;N$7),H928,#N/A)</f>
        <v>#N/A</v>
      </c>
      <c r="AF928">
        <f t="shared" si="15"/>
        <v>4</v>
      </c>
      <c r="AG928" t="e">
        <f t="array" ref="AG928">IF(OR(I928&lt;O$3,I928&gt;O$7),I928,#N/A)</f>
        <v>#N/A</v>
      </c>
    </row>
    <row r="929" spans="5:33" x14ac:dyDescent="0.25">
      <c r="E929">
        <v>926</v>
      </c>
      <c r="F929">
        <v>17</v>
      </c>
      <c r="G929">
        <v>14.65</v>
      </c>
      <c r="H929">
        <v>14.6</v>
      </c>
      <c r="I929">
        <v>14.35</v>
      </c>
      <c r="Z929">
        <v>1</v>
      </c>
      <c r="AA929" t="e">
        <f t="array" ref="AA929">IF(OR(F929&lt;L$3,F929&gt;L$7),F929,#N/A)</f>
        <v>#N/A</v>
      </c>
      <c r="AB929">
        <f t="shared" si="15"/>
        <v>2</v>
      </c>
      <c r="AC929" t="e">
        <f t="array" ref="AC929">IF(OR(G929&lt;M$3,G929&gt;M$7),G929,#N/A)</f>
        <v>#N/A</v>
      </c>
      <c r="AD929">
        <f t="shared" si="15"/>
        <v>3</v>
      </c>
      <c r="AE929" t="e">
        <f t="array" ref="AE929">IF(OR(H929&lt;N$3,H929&gt;N$7),H929,#N/A)</f>
        <v>#N/A</v>
      </c>
      <c r="AF929">
        <f t="shared" si="15"/>
        <v>4</v>
      </c>
      <c r="AG929" t="e">
        <f t="array" ref="AG929">IF(OR(I929&lt;O$3,I929&gt;O$7),I929,#N/A)</f>
        <v>#N/A</v>
      </c>
    </row>
    <row r="930" spans="5:33" x14ac:dyDescent="0.25">
      <c r="E930">
        <v>927</v>
      </c>
      <c r="F930">
        <v>16.818181818181817</v>
      </c>
      <c r="G930">
        <v>15.6</v>
      </c>
      <c r="H930">
        <v>13.38</v>
      </c>
      <c r="I930">
        <v>13.97</v>
      </c>
      <c r="Z930">
        <v>1</v>
      </c>
      <c r="AA930" t="e">
        <f t="array" ref="AA930">IF(OR(F930&lt;L$3,F930&gt;L$7),F930,#N/A)</f>
        <v>#N/A</v>
      </c>
      <c r="AB930">
        <f t="shared" si="15"/>
        <v>2</v>
      </c>
      <c r="AC930" t="e">
        <f t="array" ref="AC930">IF(OR(G930&lt;M$3,G930&gt;M$7),G930,#N/A)</f>
        <v>#N/A</v>
      </c>
      <c r="AD930">
        <f t="shared" si="15"/>
        <v>3</v>
      </c>
      <c r="AE930" t="e">
        <f t="array" ref="AE930">IF(OR(H930&lt;N$3,H930&gt;N$7),H930,#N/A)</f>
        <v>#N/A</v>
      </c>
      <c r="AF930">
        <f t="shared" si="15"/>
        <v>4</v>
      </c>
      <c r="AG930" t="e">
        <f t="array" ref="AG930">IF(OR(I930&lt;O$3,I930&gt;O$7),I930,#N/A)</f>
        <v>#N/A</v>
      </c>
    </row>
    <row r="931" spans="5:33" x14ac:dyDescent="0.25">
      <c r="E931">
        <v>928</v>
      </c>
      <c r="F931">
        <v>10</v>
      </c>
      <c r="G931">
        <v>13.45</v>
      </c>
      <c r="H931">
        <v>12.9</v>
      </c>
      <c r="I931">
        <v>13.63</v>
      </c>
      <c r="Z931">
        <v>1</v>
      </c>
      <c r="AA931" t="e">
        <f t="array" ref="AA931">IF(OR(F931&lt;L$3,F931&gt;L$7),F931,#N/A)</f>
        <v>#N/A</v>
      </c>
      <c r="AB931">
        <f t="shared" si="15"/>
        <v>2</v>
      </c>
      <c r="AC931" t="e">
        <f t="array" ref="AC931">IF(OR(G931&lt;M$3,G931&gt;M$7),G931,#N/A)</f>
        <v>#N/A</v>
      </c>
      <c r="AD931">
        <f t="shared" si="15"/>
        <v>3</v>
      </c>
      <c r="AE931" t="e">
        <f t="array" ref="AE931">IF(OR(H931&lt;N$3,H931&gt;N$7),H931,#N/A)</f>
        <v>#N/A</v>
      </c>
      <c r="AF931">
        <f t="shared" si="15"/>
        <v>4</v>
      </c>
      <c r="AG931" t="e">
        <f t="array" ref="AG931">IF(OR(I931&lt;O$3,I931&gt;O$7),I931,#N/A)</f>
        <v>#N/A</v>
      </c>
    </row>
    <row r="932" spans="5:33" x14ac:dyDescent="0.25">
      <c r="E932">
        <v>929</v>
      </c>
      <c r="F932">
        <v>14.727272727272727</v>
      </c>
      <c r="G932">
        <v>13.7</v>
      </c>
      <c r="H932">
        <v>13.34</v>
      </c>
      <c r="I932">
        <v>13.57</v>
      </c>
      <c r="Z932">
        <v>1</v>
      </c>
      <c r="AA932" t="e">
        <f t="array" ref="AA932">IF(OR(F932&lt;L$3,F932&gt;L$7),F932,#N/A)</f>
        <v>#N/A</v>
      </c>
      <c r="AB932">
        <f t="shared" si="15"/>
        <v>2</v>
      </c>
      <c r="AC932" t="e">
        <f t="array" ref="AC932">IF(OR(G932&lt;M$3,G932&gt;M$7),G932,#N/A)</f>
        <v>#N/A</v>
      </c>
      <c r="AD932">
        <f t="shared" si="15"/>
        <v>3</v>
      </c>
      <c r="AE932" t="e">
        <f t="array" ref="AE932">IF(OR(H932&lt;N$3,H932&gt;N$7),H932,#N/A)</f>
        <v>#N/A</v>
      </c>
      <c r="AF932">
        <f t="shared" si="15"/>
        <v>4</v>
      </c>
      <c r="AG932" t="e">
        <f t="array" ref="AG932">IF(OR(I932&lt;O$3,I932&gt;O$7),I932,#N/A)</f>
        <v>#N/A</v>
      </c>
    </row>
    <row r="933" spans="5:33" x14ac:dyDescent="0.25">
      <c r="E933">
        <v>930</v>
      </c>
      <c r="F933">
        <v>13.272727272727273</v>
      </c>
      <c r="G933">
        <v>14.25</v>
      </c>
      <c r="H933">
        <v>14.22</v>
      </c>
      <c r="I933">
        <v>13.95</v>
      </c>
      <c r="Z933">
        <v>1</v>
      </c>
      <c r="AA933" t="e">
        <f t="array" ref="AA933">IF(OR(F933&lt;L$3,F933&gt;L$7),F933,#N/A)</f>
        <v>#N/A</v>
      </c>
      <c r="AB933">
        <f t="shared" si="15"/>
        <v>2</v>
      </c>
      <c r="AC933" t="e">
        <f t="array" ref="AC933">IF(OR(G933&lt;M$3,G933&gt;M$7),G933,#N/A)</f>
        <v>#N/A</v>
      </c>
      <c r="AD933">
        <f t="shared" si="15"/>
        <v>3</v>
      </c>
      <c r="AE933" t="e">
        <f t="array" ref="AE933">IF(OR(H933&lt;N$3,H933&gt;N$7),H933,#N/A)</f>
        <v>#N/A</v>
      </c>
      <c r="AF933">
        <f t="shared" si="15"/>
        <v>4</v>
      </c>
      <c r="AG933" t="e">
        <f t="array" ref="AG933">IF(OR(I933&lt;O$3,I933&gt;O$7),I933,#N/A)</f>
        <v>#N/A</v>
      </c>
    </row>
    <row r="934" spans="5:33" x14ac:dyDescent="0.25">
      <c r="E934">
        <v>931</v>
      </c>
      <c r="F934">
        <v>11.272727272727273</v>
      </c>
      <c r="G934">
        <v>12.35</v>
      </c>
      <c r="H934">
        <v>13.94</v>
      </c>
      <c r="I934">
        <v>14.52</v>
      </c>
      <c r="Z934">
        <v>1</v>
      </c>
      <c r="AA934" t="e">
        <f t="array" ref="AA934">IF(OR(F934&lt;L$3,F934&gt;L$7),F934,#N/A)</f>
        <v>#N/A</v>
      </c>
      <c r="AB934">
        <f t="shared" si="15"/>
        <v>2</v>
      </c>
      <c r="AC934" t="e">
        <f t="array" ref="AC934">IF(OR(G934&lt;M$3,G934&gt;M$7),G934,#N/A)</f>
        <v>#N/A</v>
      </c>
      <c r="AD934">
        <f t="shared" si="15"/>
        <v>3</v>
      </c>
      <c r="AE934" t="e">
        <f t="array" ref="AE934">IF(OR(H934&lt;N$3,H934&gt;N$7),H934,#N/A)</f>
        <v>#N/A</v>
      </c>
      <c r="AF934">
        <f t="shared" si="15"/>
        <v>4</v>
      </c>
      <c r="AG934" t="e">
        <f t="array" ref="AG934">IF(OR(I934&lt;O$3,I934&gt;O$7),I934,#N/A)</f>
        <v>#N/A</v>
      </c>
    </row>
    <row r="935" spans="5:33" x14ac:dyDescent="0.25">
      <c r="E935">
        <v>932</v>
      </c>
      <c r="F935">
        <v>12.545454545454545</v>
      </c>
      <c r="G935">
        <v>12.85</v>
      </c>
      <c r="H935">
        <v>13.34</v>
      </c>
      <c r="I935">
        <v>12.58</v>
      </c>
      <c r="Z935">
        <v>1</v>
      </c>
      <c r="AA935" t="e">
        <f t="array" ref="AA935">IF(OR(F935&lt;L$3,F935&gt;L$7),F935,#N/A)</f>
        <v>#N/A</v>
      </c>
      <c r="AB935">
        <f t="shared" si="15"/>
        <v>2</v>
      </c>
      <c r="AC935" t="e">
        <f t="array" ref="AC935">IF(OR(G935&lt;M$3,G935&gt;M$7),G935,#N/A)</f>
        <v>#N/A</v>
      </c>
      <c r="AD935">
        <f t="shared" si="15"/>
        <v>3</v>
      </c>
      <c r="AE935" t="e">
        <f t="array" ref="AE935">IF(OR(H935&lt;N$3,H935&gt;N$7),H935,#N/A)</f>
        <v>#N/A</v>
      </c>
      <c r="AF935">
        <f t="shared" si="15"/>
        <v>4</v>
      </c>
      <c r="AG935" t="e">
        <f t="array" ref="AG935">IF(OR(I935&lt;O$3,I935&gt;O$7),I935,#N/A)</f>
        <v>#N/A</v>
      </c>
    </row>
    <row r="936" spans="5:33" x14ac:dyDescent="0.25">
      <c r="E936">
        <v>933</v>
      </c>
      <c r="F936">
        <v>14.090909090909092</v>
      </c>
      <c r="G936">
        <v>14.55</v>
      </c>
      <c r="H936">
        <v>14.16</v>
      </c>
      <c r="I936">
        <v>15.19</v>
      </c>
      <c r="Z936">
        <v>1</v>
      </c>
      <c r="AA936" t="e">
        <f t="array" ref="AA936">IF(OR(F936&lt;L$3,F936&gt;L$7),F936,#N/A)</f>
        <v>#N/A</v>
      </c>
      <c r="AB936">
        <f t="shared" si="15"/>
        <v>2</v>
      </c>
      <c r="AC936" t="e">
        <f t="array" ref="AC936">IF(OR(G936&lt;M$3,G936&gt;M$7),G936,#N/A)</f>
        <v>#N/A</v>
      </c>
      <c r="AD936">
        <f t="shared" si="15"/>
        <v>3</v>
      </c>
      <c r="AE936" t="e">
        <f t="array" ref="AE936">IF(OR(H936&lt;N$3,H936&gt;N$7),H936,#N/A)</f>
        <v>#N/A</v>
      </c>
      <c r="AF936">
        <f t="shared" si="15"/>
        <v>4</v>
      </c>
      <c r="AG936" t="e">
        <f t="array" ref="AG936">IF(OR(I936&lt;O$3,I936&gt;O$7),I936,#N/A)</f>
        <v>#N/A</v>
      </c>
    </row>
    <row r="937" spans="5:33" x14ac:dyDescent="0.25">
      <c r="E937">
        <v>934</v>
      </c>
      <c r="F937">
        <v>13.727272727272727</v>
      </c>
      <c r="G937">
        <v>14.55</v>
      </c>
      <c r="H937">
        <v>16.04</v>
      </c>
      <c r="I937">
        <v>14.76</v>
      </c>
      <c r="Z937">
        <v>1</v>
      </c>
      <c r="AA937" t="e">
        <f t="array" ref="AA937">IF(OR(F937&lt;L$3,F937&gt;L$7),F937,#N/A)</f>
        <v>#N/A</v>
      </c>
      <c r="AB937">
        <f t="shared" si="15"/>
        <v>2</v>
      </c>
      <c r="AC937" t="e">
        <f t="array" ref="AC937">IF(OR(G937&lt;M$3,G937&gt;M$7),G937,#N/A)</f>
        <v>#N/A</v>
      </c>
      <c r="AD937">
        <f t="shared" si="15"/>
        <v>3</v>
      </c>
      <c r="AE937" t="e">
        <f t="array" ref="AE937">IF(OR(H937&lt;N$3,H937&gt;N$7),H937,#N/A)</f>
        <v>#N/A</v>
      </c>
      <c r="AF937">
        <f t="shared" si="15"/>
        <v>4</v>
      </c>
      <c r="AG937" t="e">
        <f t="array" ref="AG937">IF(OR(I937&lt;O$3,I937&gt;O$7),I937,#N/A)</f>
        <v>#N/A</v>
      </c>
    </row>
    <row r="938" spans="5:33" x14ac:dyDescent="0.25">
      <c r="E938">
        <v>935</v>
      </c>
      <c r="F938">
        <v>9.9090909090909083</v>
      </c>
      <c r="G938">
        <v>13.4</v>
      </c>
      <c r="H938">
        <v>13.18</v>
      </c>
      <c r="I938">
        <v>13.61</v>
      </c>
      <c r="Z938">
        <v>1</v>
      </c>
      <c r="AA938" t="e">
        <f t="array" ref="AA938">IF(OR(F938&lt;L$3,F938&gt;L$7),F938,#N/A)</f>
        <v>#N/A</v>
      </c>
      <c r="AB938">
        <f t="shared" si="15"/>
        <v>2</v>
      </c>
      <c r="AC938" t="e">
        <f t="array" ref="AC938">IF(OR(G938&lt;M$3,G938&gt;M$7),G938,#N/A)</f>
        <v>#N/A</v>
      </c>
      <c r="AD938">
        <f t="shared" si="15"/>
        <v>3</v>
      </c>
      <c r="AE938" t="e">
        <f t="array" ref="AE938">IF(OR(H938&lt;N$3,H938&gt;N$7),H938,#N/A)</f>
        <v>#N/A</v>
      </c>
      <c r="AF938">
        <f t="shared" si="15"/>
        <v>4</v>
      </c>
      <c r="AG938" t="e">
        <f t="array" ref="AG938">IF(OR(I938&lt;O$3,I938&gt;O$7),I938,#N/A)</f>
        <v>#N/A</v>
      </c>
    </row>
    <row r="939" spans="5:33" x14ac:dyDescent="0.25">
      <c r="E939">
        <v>936</v>
      </c>
      <c r="F939">
        <v>15.909090909090908</v>
      </c>
      <c r="G939">
        <v>14.7</v>
      </c>
      <c r="H939">
        <v>14.72</v>
      </c>
      <c r="I939">
        <v>14.8</v>
      </c>
      <c r="Z939">
        <v>1</v>
      </c>
      <c r="AA939" t="e">
        <f t="array" ref="AA939">IF(OR(F939&lt;L$3,F939&gt;L$7),F939,#N/A)</f>
        <v>#N/A</v>
      </c>
      <c r="AB939">
        <f t="shared" si="15"/>
        <v>2</v>
      </c>
      <c r="AC939" t="e">
        <f t="array" ref="AC939">IF(OR(G939&lt;M$3,G939&gt;M$7),G939,#N/A)</f>
        <v>#N/A</v>
      </c>
      <c r="AD939">
        <f t="shared" si="15"/>
        <v>3</v>
      </c>
      <c r="AE939" t="e">
        <f t="array" ref="AE939">IF(OR(H939&lt;N$3,H939&gt;N$7),H939,#N/A)</f>
        <v>#N/A</v>
      </c>
      <c r="AF939">
        <f t="shared" si="15"/>
        <v>4</v>
      </c>
      <c r="AG939" t="e">
        <f t="array" ref="AG939">IF(OR(I939&lt;O$3,I939&gt;O$7),I939,#N/A)</f>
        <v>#N/A</v>
      </c>
    </row>
    <row r="940" spans="5:33" x14ac:dyDescent="0.25">
      <c r="E940">
        <v>937</v>
      </c>
      <c r="F940">
        <v>13.545454545454545</v>
      </c>
      <c r="G940">
        <v>16.55</v>
      </c>
      <c r="H940">
        <v>14.9</v>
      </c>
      <c r="I940">
        <v>14.83</v>
      </c>
      <c r="Z940">
        <v>1</v>
      </c>
      <c r="AA940" t="e">
        <f t="array" ref="AA940">IF(OR(F940&lt;L$3,F940&gt;L$7),F940,#N/A)</f>
        <v>#N/A</v>
      </c>
      <c r="AB940">
        <f t="shared" si="15"/>
        <v>2</v>
      </c>
      <c r="AC940" t="e">
        <f t="array" ref="AC940">IF(OR(G940&lt;M$3,G940&gt;M$7),G940,#N/A)</f>
        <v>#N/A</v>
      </c>
      <c r="AD940">
        <f t="shared" si="15"/>
        <v>3</v>
      </c>
      <c r="AE940" t="e">
        <f t="array" ref="AE940">IF(OR(H940&lt;N$3,H940&gt;N$7),H940,#N/A)</f>
        <v>#N/A</v>
      </c>
      <c r="AF940">
        <f t="shared" si="15"/>
        <v>4</v>
      </c>
      <c r="AG940" t="e">
        <f t="array" ref="AG940">IF(OR(I940&lt;O$3,I940&gt;O$7),I940,#N/A)</f>
        <v>#N/A</v>
      </c>
    </row>
    <row r="941" spans="5:33" x14ac:dyDescent="0.25">
      <c r="E941">
        <v>938</v>
      </c>
      <c r="F941">
        <v>14.727272727272727</v>
      </c>
      <c r="G941">
        <v>13</v>
      </c>
      <c r="H941">
        <v>14.3</v>
      </c>
      <c r="I941">
        <v>14.9</v>
      </c>
      <c r="Z941">
        <v>1</v>
      </c>
      <c r="AA941" t="e">
        <f t="array" ref="AA941">IF(OR(F941&lt;L$3,F941&gt;L$7),F941,#N/A)</f>
        <v>#N/A</v>
      </c>
      <c r="AB941">
        <f t="shared" si="15"/>
        <v>2</v>
      </c>
      <c r="AC941" t="e">
        <f t="array" ref="AC941">IF(OR(G941&lt;M$3,G941&gt;M$7),G941,#N/A)</f>
        <v>#N/A</v>
      </c>
      <c r="AD941">
        <f t="shared" si="15"/>
        <v>3</v>
      </c>
      <c r="AE941" t="e">
        <f t="array" ref="AE941">IF(OR(H941&lt;N$3,H941&gt;N$7),H941,#N/A)</f>
        <v>#N/A</v>
      </c>
      <c r="AF941">
        <f t="shared" si="15"/>
        <v>4</v>
      </c>
      <c r="AG941" t="e">
        <f t="array" ref="AG941">IF(OR(I941&lt;O$3,I941&gt;O$7),I941,#N/A)</f>
        <v>#N/A</v>
      </c>
    </row>
    <row r="942" spans="5:33" x14ac:dyDescent="0.25">
      <c r="E942">
        <v>939</v>
      </c>
      <c r="F942">
        <v>12.545454545454545</v>
      </c>
      <c r="G942">
        <v>13.55</v>
      </c>
      <c r="H942">
        <v>12.68</v>
      </c>
      <c r="I942">
        <v>12.9</v>
      </c>
      <c r="Z942">
        <v>1</v>
      </c>
      <c r="AA942" t="e">
        <f t="array" ref="AA942">IF(OR(F942&lt;L$3,F942&gt;L$7),F942,#N/A)</f>
        <v>#N/A</v>
      </c>
      <c r="AB942">
        <f t="shared" si="15"/>
        <v>2</v>
      </c>
      <c r="AC942" t="e">
        <f t="array" ref="AC942">IF(OR(G942&lt;M$3,G942&gt;M$7),G942,#N/A)</f>
        <v>#N/A</v>
      </c>
      <c r="AD942">
        <f t="shared" si="15"/>
        <v>3</v>
      </c>
      <c r="AE942" t="e">
        <f t="array" ref="AE942">IF(OR(H942&lt;N$3,H942&gt;N$7),H942,#N/A)</f>
        <v>#N/A</v>
      </c>
      <c r="AF942">
        <f t="shared" si="15"/>
        <v>4</v>
      </c>
      <c r="AG942" t="e">
        <f t="array" ref="AG942">IF(OR(I942&lt;O$3,I942&gt;O$7),I942,#N/A)</f>
        <v>#N/A</v>
      </c>
    </row>
    <row r="943" spans="5:33" x14ac:dyDescent="0.25">
      <c r="E943">
        <v>940</v>
      </c>
      <c r="F943">
        <v>11.818181818181818</v>
      </c>
      <c r="G943">
        <v>12.3</v>
      </c>
      <c r="H943">
        <v>14.46</v>
      </c>
      <c r="I943">
        <v>13.53</v>
      </c>
      <c r="Z943">
        <v>1</v>
      </c>
      <c r="AA943" t="e">
        <f t="array" ref="AA943">IF(OR(F943&lt;L$3,F943&gt;L$7),F943,#N/A)</f>
        <v>#N/A</v>
      </c>
      <c r="AB943">
        <f t="shared" si="15"/>
        <v>2</v>
      </c>
      <c r="AC943" t="e">
        <f t="array" ref="AC943">IF(OR(G943&lt;M$3,G943&gt;M$7),G943,#N/A)</f>
        <v>#N/A</v>
      </c>
      <c r="AD943">
        <f t="shared" si="15"/>
        <v>3</v>
      </c>
      <c r="AE943" t="e">
        <f t="array" ref="AE943">IF(OR(H943&lt;N$3,H943&gt;N$7),H943,#N/A)</f>
        <v>#N/A</v>
      </c>
      <c r="AF943">
        <f t="shared" si="15"/>
        <v>4</v>
      </c>
      <c r="AG943" t="e">
        <f t="array" ref="AG943">IF(OR(I943&lt;O$3,I943&gt;O$7),I943,#N/A)</f>
        <v>#N/A</v>
      </c>
    </row>
    <row r="944" spans="5:33" x14ac:dyDescent="0.25">
      <c r="E944">
        <v>941</v>
      </c>
      <c r="F944">
        <v>14.545454545454545</v>
      </c>
      <c r="G944">
        <v>14.75</v>
      </c>
      <c r="H944">
        <v>15.34</v>
      </c>
      <c r="I944">
        <v>14.15</v>
      </c>
      <c r="Z944">
        <v>1</v>
      </c>
      <c r="AA944" t="e">
        <f t="array" ref="AA944">IF(OR(F944&lt;L$3,F944&gt;L$7),F944,#N/A)</f>
        <v>#N/A</v>
      </c>
      <c r="AB944">
        <f t="shared" si="15"/>
        <v>2</v>
      </c>
      <c r="AC944" t="e">
        <f t="array" ref="AC944">IF(OR(G944&lt;M$3,G944&gt;M$7),G944,#N/A)</f>
        <v>#N/A</v>
      </c>
      <c r="AD944">
        <f t="shared" si="15"/>
        <v>3</v>
      </c>
      <c r="AE944" t="e">
        <f t="array" ref="AE944">IF(OR(H944&lt;N$3,H944&gt;N$7),H944,#N/A)</f>
        <v>#N/A</v>
      </c>
      <c r="AF944">
        <f t="shared" si="15"/>
        <v>4</v>
      </c>
      <c r="AG944" t="e">
        <f t="array" ref="AG944">IF(OR(I944&lt;O$3,I944&gt;O$7),I944,#N/A)</f>
        <v>#N/A</v>
      </c>
    </row>
    <row r="945" spans="5:33" x14ac:dyDescent="0.25">
      <c r="E945">
        <v>942</v>
      </c>
      <c r="F945">
        <v>12</v>
      </c>
      <c r="G945">
        <v>14.15</v>
      </c>
      <c r="H945">
        <v>12.72</v>
      </c>
      <c r="I945">
        <v>14.7</v>
      </c>
      <c r="Z945">
        <v>1</v>
      </c>
      <c r="AA945" t="e">
        <f t="array" ref="AA945">IF(OR(F945&lt;L$3,F945&gt;L$7),F945,#N/A)</f>
        <v>#N/A</v>
      </c>
      <c r="AB945">
        <f t="shared" si="15"/>
        <v>2</v>
      </c>
      <c r="AC945" t="e">
        <f t="array" ref="AC945">IF(OR(G945&lt;M$3,G945&gt;M$7),G945,#N/A)</f>
        <v>#N/A</v>
      </c>
      <c r="AD945">
        <f t="shared" si="15"/>
        <v>3</v>
      </c>
      <c r="AE945" t="e">
        <f t="array" ref="AE945">IF(OR(H945&lt;N$3,H945&gt;N$7),H945,#N/A)</f>
        <v>#N/A</v>
      </c>
      <c r="AF945">
        <f t="shared" si="15"/>
        <v>4</v>
      </c>
      <c r="AG945" t="e">
        <f t="array" ref="AG945">IF(OR(I945&lt;O$3,I945&gt;O$7),I945,#N/A)</f>
        <v>#N/A</v>
      </c>
    </row>
    <row r="946" spans="5:33" x14ac:dyDescent="0.25">
      <c r="E946">
        <v>943</v>
      </c>
      <c r="F946">
        <v>13.727272727272727</v>
      </c>
      <c r="G946">
        <v>14</v>
      </c>
      <c r="H946">
        <v>16.28</v>
      </c>
      <c r="I946">
        <v>15.34</v>
      </c>
      <c r="Z946">
        <v>1</v>
      </c>
      <c r="AA946" t="e">
        <f t="array" ref="AA946">IF(OR(F946&lt;L$3,F946&gt;L$7),F946,#N/A)</f>
        <v>#N/A</v>
      </c>
      <c r="AB946">
        <f t="shared" si="15"/>
        <v>2</v>
      </c>
      <c r="AC946" t="e">
        <f t="array" ref="AC946">IF(OR(G946&lt;M$3,G946&gt;M$7),G946,#N/A)</f>
        <v>#N/A</v>
      </c>
      <c r="AD946">
        <f t="shared" si="15"/>
        <v>3</v>
      </c>
      <c r="AE946" t="e">
        <f t="array" ref="AE946">IF(OR(H946&lt;N$3,H946&gt;N$7),H946,#N/A)</f>
        <v>#N/A</v>
      </c>
      <c r="AF946">
        <f t="shared" si="15"/>
        <v>4</v>
      </c>
      <c r="AG946" t="e">
        <f t="array" ref="AG946">IF(OR(I946&lt;O$3,I946&gt;O$7),I946,#N/A)</f>
        <v>#N/A</v>
      </c>
    </row>
    <row r="947" spans="5:33" x14ac:dyDescent="0.25">
      <c r="E947">
        <v>944</v>
      </c>
      <c r="F947">
        <v>14.454545454545455</v>
      </c>
      <c r="G947">
        <v>14.45</v>
      </c>
      <c r="H947">
        <v>13.4</v>
      </c>
      <c r="I947">
        <v>14.04</v>
      </c>
      <c r="Z947">
        <v>1</v>
      </c>
      <c r="AA947" t="e">
        <f t="array" ref="AA947">IF(OR(F947&lt;L$3,F947&gt;L$7),F947,#N/A)</f>
        <v>#N/A</v>
      </c>
      <c r="AB947">
        <f t="shared" si="15"/>
        <v>2</v>
      </c>
      <c r="AC947" t="e">
        <f t="array" ref="AC947">IF(OR(G947&lt;M$3,G947&gt;M$7),G947,#N/A)</f>
        <v>#N/A</v>
      </c>
      <c r="AD947">
        <f t="shared" si="15"/>
        <v>3</v>
      </c>
      <c r="AE947" t="e">
        <f t="array" ref="AE947">IF(OR(H947&lt;N$3,H947&gt;N$7),H947,#N/A)</f>
        <v>#N/A</v>
      </c>
      <c r="AF947">
        <f t="shared" si="15"/>
        <v>4</v>
      </c>
      <c r="AG947" t="e">
        <f t="array" ref="AG947">IF(OR(I947&lt;O$3,I947&gt;O$7),I947,#N/A)</f>
        <v>#N/A</v>
      </c>
    </row>
    <row r="948" spans="5:33" x14ac:dyDescent="0.25">
      <c r="E948">
        <v>945</v>
      </c>
      <c r="F948">
        <v>15.363636363636363</v>
      </c>
      <c r="G948">
        <v>15.95</v>
      </c>
      <c r="H948">
        <v>13.94</v>
      </c>
      <c r="I948">
        <v>14.19</v>
      </c>
      <c r="Z948">
        <v>1</v>
      </c>
      <c r="AA948" t="e">
        <f t="array" ref="AA948">IF(OR(F948&lt;L$3,F948&gt;L$7),F948,#N/A)</f>
        <v>#N/A</v>
      </c>
      <c r="AB948">
        <f t="shared" si="15"/>
        <v>2</v>
      </c>
      <c r="AC948" t="e">
        <f t="array" ref="AC948">IF(OR(G948&lt;M$3,G948&gt;M$7),G948,#N/A)</f>
        <v>#N/A</v>
      </c>
      <c r="AD948">
        <f t="shared" si="15"/>
        <v>3</v>
      </c>
      <c r="AE948" t="e">
        <f t="array" ref="AE948">IF(OR(H948&lt;N$3,H948&gt;N$7),H948,#N/A)</f>
        <v>#N/A</v>
      </c>
      <c r="AF948">
        <f t="shared" si="15"/>
        <v>4</v>
      </c>
      <c r="AG948" t="e">
        <f t="array" ref="AG948">IF(OR(I948&lt;O$3,I948&gt;O$7),I948,#N/A)</f>
        <v>#N/A</v>
      </c>
    </row>
    <row r="949" spans="5:33" x14ac:dyDescent="0.25">
      <c r="E949">
        <v>946</v>
      </c>
      <c r="F949">
        <v>10.545454545454545</v>
      </c>
      <c r="G949">
        <v>10.7</v>
      </c>
      <c r="H949">
        <v>11.52</v>
      </c>
      <c r="I949">
        <v>12.59</v>
      </c>
      <c r="Z949">
        <v>1</v>
      </c>
      <c r="AA949" t="e">
        <f t="array" ref="AA949">IF(OR(F949&lt;L$3,F949&gt;L$7),F949,#N/A)</f>
        <v>#N/A</v>
      </c>
      <c r="AB949">
        <f t="shared" si="15"/>
        <v>2</v>
      </c>
      <c r="AC949" t="e">
        <f t="array" ref="AC949">IF(OR(G949&lt;M$3,G949&gt;M$7),G949,#N/A)</f>
        <v>#N/A</v>
      </c>
      <c r="AD949">
        <f t="shared" si="15"/>
        <v>3</v>
      </c>
      <c r="AE949" t="e">
        <f t="array" ref="AE949">IF(OR(H949&lt;N$3,H949&gt;N$7),H949,#N/A)</f>
        <v>#N/A</v>
      </c>
      <c r="AF949">
        <f t="shared" si="15"/>
        <v>4</v>
      </c>
      <c r="AG949" t="e">
        <f t="array" ref="AG949">IF(OR(I949&lt;O$3,I949&gt;O$7),I949,#N/A)</f>
        <v>#N/A</v>
      </c>
    </row>
    <row r="950" spans="5:33" x14ac:dyDescent="0.25">
      <c r="E950">
        <v>947</v>
      </c>
      <c r="F950">
        <v>12.090909090909092</v>
      </c>
      <c r="G950">
        <v>13.45</v>
      </c>
      <c r="H950">
        <v>14.26</v>
      </c>
      <c r="I950">
        <v>14.28</v>
      </c>
      <c r="Z950">
        <v>1</v>
      </c>
      <c r="AA950" t="e">
        <f t="array" ref="AA950">IF(OR(F950&lt;L$3,F950&gt;L$7),F950,#N/A)</f>
        <v>#N/A</v>
      </c>
      <c r="AB950">
        <f t="shared" si="15"/>
        <v>2</v>
      </c>
      <c r="AC950" t="e">
        <f t="array" ref="AC950">IF(OR(G950&lt;M$3,G950&gt;M$7),G950,#N/A)</f>
        <v>#N/A</v>
      </c>
      <c r="AD950">
        <f t="shared" si="15"/>
        <v>3</v>
      </c>
      <c r="AE950" t="e">
        <f t="array" ref="AE950">IF(OR(H950&lt;N$3,H950&gt;N$7),H950,#N/A)</f>
        <v>#N/A</v>
      </c>
      <c r="AF950">
        <f t="shared" si="15"/>
        <v>4</v>
      </c>
      <c r="AG950" t="e">
        <f t="array" ref="AG950">IF(OR(I950&lt;O$3,I950&gt;O$7),I950,#N/A)</f>
        <v>#N/A</v>
      </c>
    </row>
    <row r="951" spans="5:33" x14ac:dyDescent="0.25">
      <c r="E951">
        <v>948</v>
      </c>
      <c r="F951">
        <v>15.909090909090908</v>
      </c>
      <c r="G951">
        <v>14.55</v>
      </c>
      <c r="H951">
        <v>14.24</v>
      </c>
      <c r="I951">
        <v>13.97</v>
      </c>
      <c r="Z951">
        <v>1</v>
      </c>
      <c r="AA951" t="e">
        <f t="array" ref="AA951">IF(OR(F951&lt;L$3,F951&gt;L$7),F951,#N/A)</f>
        <v>#N/A</v>
      </c>
      <c r="AB951">
        <f t="shared" si="15"/>
        <v>2</v>
      </c>
      <c r="AC951" t="e">
        <f t="array" ref="AC951">IF(OR(G951&lt;M$3,G951&gt;M$7),G951,#N/A)</f>
        <v>#N/A</v>
      </c>
      <c r="AD951">
        <f t="shared" si="15"/>
        <v>3</v>
      </c>
      <c r="AE951" t="e">
        <f t="array" ref="AE951">IF(OR(H951&lt;N$3,H951&gt;N$7),H951,#N/A)</f>
        <v>#N/A</v>
      </c>
      <c r="AF951">
        <f t="shared" si="15"/>
        <v>4</v>
      </c>
      <c r="AG951" t="e">
        <f t="array" ref="AG951">IF(OR(I951&lt;O$3,I951&gt;O$7),I951,#N/A)</f>
        <v>#N/A</v>
      </c>
    </row>
    <row r="952" spans="5:33" x14ac:dyDescent="0.25">
      <c r="E952">
        <v>949</v>
      </c>
      <c r="F952">
        <v>17.818181818181817</v>
      </c>
      <c r="G952">
        <v>15.9</v>
      </c>
      <c r="H952">
        <v>15.42</v>
      </c>
      <c r="I952">
        <v>14.38</v>
      </c>
      <c r="Z952">
        <v>1</v>
      </c>
      <c r="AA952" t="e">
        <f t="array" ref="AA952">IF(OR(F952&lt;L$3,F952&gt;L$7),F952,#N/A)</f>
        <v>#N/A</v>
      </c>
      <c r="AB952">
        <f t="shared" si="15"/>
        <v>2</v>
      </c>
      <c r="AC952" t="e">
        <f t="array" ref="AC952">IF(OR(G952&lt;M$3,G952&gt;M$7),G952,#N/A)</f>
        <v>#N/A</v>
      </c>
      <c r="AD952">
        <f t="shared" si="15"/>
        <v>3</v>
      </c>
      <c r="AE952" t="e">
        <f t="array" ref="AE952">IF(OR(H952&lt;N$3,H952&gt;N$7),H952,#N/A)</f>
        <v>#N/A</v>
      </c>
      <c r="AF952">
        <f t="shared" si="15"/>
        <v>4</v>
      </c>
      <c r="AG952" t="e">
        <f t="array" ref="AG952">IF(OR(I952&lt;O$3,I952&gt;O$7),I952,#N/A)</f>
        <v>#N/A</v>
      </c>
    </row>
    <row r="953" spans="5:33" x14ac:dyDescent="0.25">
      <c r="E953">
        <v>950</v>
      </c>
      <c r="F953">
        <v>15</v>
      </c>
      <c r="G953">
        <v>15</v>
      </c>
      <c r="H953">
        <v>14.76</v>
      </c>
      <c r="I953">
        <v>14.71</v>
      </c>
      <c r="Z953">
        <v>1</v>
      </c>
      <c r="AA953" t="e">
        <f t="array" ref="AA953">IF(OR(F953&lt;L$3,F953&gt;L$7),F953,#N/A)</f>
        <v>#N/A</v>
      </c>
      <c r="AB953">
        <f t="shared" si="15"/>
        <v>2</v>
      </c>
      <c r="AC953" t="e">
        <f t="array" ref="AC953">IF(OR(G953&lt;M$3,G953&gt;M$7),G953,#N/A)</f>
        <v>#N/A</v>
      </c>
      <c r="AD953">
        <f t="shared" si="15"/>
        <v>3</v>
      </c>
      <c r="AE953" t="e">
        <f t="array" ref="AE953">IF(OR(H953&lt;N$3,H953&gt;N$7),H953,#N/A)</f>
        <v>#N/A</v>
      </c>
      <c r="AF953">
        <f t="shared" si="15"/>
        <v>4</v>
      </c>
      <c r="AG953" t="e">
        <f t="array" ref="AG953">IF(OR(I953&lt;O$3,I953&gt;O$7),I953,#N/A)</f>
        <v>#N/A</v>
      </c>
    </row>
    <row r="954" spans="5:33" x14ac:dyDescent="0.25">
      <c r="E954">
        <v>951</v>
      </c>
      <c r="F954">
        <v>15.272727272727273</v>
      </c>
      <c r="G954">
        <v>15.3</v>
      </c>
      <c r="H954">
        <v>14.56</v>
      </c>
      <c r="I954">
        <v>14.23</v>
      </c>
      <c r="Z954">
        <v>1</v>
      </c>
      <c r="AA954" t="e">
        <f t="array" ref="AA954">IF(OR(F954&lt;L$3,F954&gt;L$7),F954,#N/A)</f>
        <v>#N/A</v>
      </c>
      <c r="AB954">
        <f t="shared" si="15"/>
        <v>2</v>
      </c>
      <c r="AC954" t="e">
        <f t="array" ref="AC954">IF(OR(G954&lt;M$3,G954&gt;M$7),G954,#N/A)</f>
        <v>#N/A</v>
      </c>
      <c r="AD954">
        <f t="shared" si="15"/>
        <v>3</v>
      </c>
      <c r="AE954" t="e">
        <f t="array" ref="AE954">IF(OR(H954&lt;N$3,H954&gt;N$7),H954,#N/A)</f>
        <v>#N/A</v>
      </c>
      <c r="AF954">
        <f t="shared" si="15"/>
        <v>4</v>
      </c>
      <c r="AG954" t="e">
        <f t="array" ref="AG954">IF(OR(I954&lt;O$3,I954&gt;O$7),I954,#N/A)</f>
        <v>#N/A</v>
      </c>
    </row>
    <row r="955" spans="5:33" x14ac:dyDescent="0.25">
      <c r="E955">
        <v>952</v>
      </c>
      <c r="F955">
        <v>12.818181818181818</v>
      </c>
      <c r="G955">
        <v>11.95</v>
      </c>
      <c r="H955">
        <v>12.08</v>
      </c>
      <c r="I955">
        <v>12.36</v>
      </c>
      <c r="Z955">
        <v>1</v>
      </c>
      <c r="AA955" t="e">
        <f t="array" ref="AA955">IF(OR(F955&lt;L$3,F955&gt;L$7),F955,#N/A)</f>
        <v>#N/A</v>
      </c>
      <c r="AB955">
        <f t="shared" si="15"/>
        <v>2</v>
      </c>
      <c r="AC955" t="e">
        <f t="array" ref="AC955">IF(OR(G955&lt;M$3,G955&gt;M$7),G955,#N/A)</f>
        <v>#N/A</v>
      </c>
      <c r="AD955">
        <f t="shared" si="15"/>
        <v>3</v>
      </c>
      <c r="AE955" t="e">
        <f t="array" ref="AE955">IF(OR(H955&lt;N$3,H955&gt;N$7),H955,#N/A)</f>
        <v>#N/A</v>
      </c>
      <c r="AF955">
        <f t="shared" si="15"/>
        <v>4</v>
      </c>
      <c r="AG955" t="e">
        <f t="array" ref="AG955">IF(OR(I955&lt;O$3,I955&gt;O$7),I955,#N/A)</f>
        <v>#N/A</v>
      </c>
    </row>
    <row r="956" spans="5:33" x14ac:dyDescent="0.25">
      <c r="E956">
        <v>953</v>
      </c>
      <c r="F956">
        <v>13.363636363636363</v>
      </c>
      <c r="G956">
        <v>14.2</v>
      </c>
      <c r="H956">
        <v>13.68</v>
      </c>
      <c r="I956">
        <v>14.13</v>
      </c>
      <c r="Z956">
        <v>1</v>
      </c>
      <c r="AA956" t="e">
        <f t="array" ref="AA956">IF(OR(F956&lt;L$3,F956&gt;L$7),F956,#N/A)</f>
        <v>#N/A</v>
      </c>
      <c r="AB956">
        <f t="shared" si="15"/>
        <v>2</v>
      </c>
      <c r="AC956" t="e">
        <f t="array" ref="AC956">IF(OR(G956&lt;M$3,G956&gt;M$7),G956,#N/A)</f>
        <v>#N/A</v>
      </c>
      <c r="AD956">
        <f t="shared" si="15"/>
        <v>3</v>
      </c>
      <c r="AE956" t="e">
        <f t="array" ref="AE956">IF(OR(H956&lt;N$3,H956&gt;N$7),H956,#N/A)</f>
        <v>#N/A</v>
      </c>
      <c r="AF956">
        <f t="shared" si="15"/>
        <v>4</v>
      </c>
      <c r="AG956" t="e">
        <f t="array" ref="AG956">IF(OR(I956&lt;O$3,I956&gt;O$7),I956,#N/A)</f>
        <v>#N/A</v>
      </c>
    </row>
    <row r="957" spans="5:33" x14ac:dyDescent="0.25">
      <c r="E957">
        <v>954</v>
      </c>
      <c r="F957">
        <v>15.454545454545455</v>
      </c>
      <c r="G957">
        <v>17.45</v>
      </c>
      <c r="H957">
        <v>15.94</v>
      </c>
      <c r="I957">
        <v>14.59</v>
      </c>
      <c r="Z957">
        <v>1</v>
      </c>
      <c r="AA957" t="e">
        <f t="array" ref="AA957">IF(OR(F957&lt;L$3,F957&gt;L$7),F957,#N/A)</f>
        <v>#N/A</v>
      </c>
      <c r="AB957">
        <f t="shared" si="15"/>
        <v>2</v>
      </c>
      <c r="AC957" t="e">
        <f t="array" ref="AC957">IF(OR(G957&lt;M$3,G957&gt;M$7),G957,#N/A)</f>
        <v>#N/A</v>
      </c>
      <c r="AD957">
        <f t="shared" si="15"/>
        <v>3</v>
      </c>
      <c r="AE957" t="e">
        <f t="array" ref="AE957">IF(OR(H957&lt;N$3,H957&gt;N$7),H957,#N/A)</f>
        <v>#N/A</v>
      </c>
      <c r="AF957">
        <f t="shared" si="15"/>
        <v>4</v>
      </c>
      <c r="AG957" t="e">
        <f t="array" ref="AG957">IF(OR(I957&lt;O$3,I957&gt;O$7),I957,#N/A)</f>
        <v>#N/A</v>
      </c>
    </row>
    <row r="958" spans="5:33" x14ac:dyDescent="0.25">
      <c r="E958">
        <v>955</v>
      </c>
      <c r="F958">
        <v>15.818181818181818</v>
      </c>
      <c r="G958">
        <v>13.9</v>
      </c>
      <c r="H958">
        <v>14.2</v>
      </c>
      <c r="I958">
        <v>14.55</v>
      </c>
      <c r="Z958">
        <v>1</v>
      </c>
      <c r="AA958" t="e">
        <f t="array" ref="AA958">IF(OR(F958&lt;L$3,F958&gt;L$7),F958,#N/A)</f>
        <v>#N/A</v>
      </c>
      <c r="AB958">
        <f t="shared" si="15"/>
        <v>2</v>
      </c>
      <c r="AC958" t="e">
        <f t="array" ref="AC958">IF(OR(G958&lt;M$3,G958&gt;M$7),G958,#N/A)</f>
        <v>#N/A</v>
      </c>
      <c r="AD958">
        <f t="shared" si="15"/>
        <v>3</v>
      </c>
      <c r="AE958" t="e">
        <f t="array" ref="AE958">IF(OR(H958&lt;N$3,H958&gt;N$7),H958,#N/A)</f>
        <v>#N/A</v>
      </c>
      <c r="AF958">
        <f t="shared" si="15"/>
        <v>4</v>
      </c>
      <c r="AG958" t="e">
        <f t="array" ref="AG958">IF(OR(I958&lt;O$3,I958&gt;O$7),I958,#N/A)</f>
        <v>#N/A</v>
      </c>
    </row>
    <row r="959" spans="5:33" x14ac:dyDescent="0.25">
      <c r="E959">
        <v>956</v>
      </c>
      <c r="F959">
        <v>13.545454545454545</v>
      </c>
      <c r="G959">
        <v>13.75</v>
      </c>
      <c r="H959">
        <v>14.82</v>
      </c>
      <c r="I959">
        <v>15.59</v>
      </c>
      <c r="Z959">
        <v>1</v>
      </c>
      <c r="AA959" t="e">
        <f t="array" ref="AA959">IF(OR(F959&lt;L$3,F959&gt;L$7),F959,#N/A)</f>
        <v>#N/A</v>
      </c>
      <c r="AB959">
        <f t="shared" si="15"/>
        <v>2</v>
      </c>
      <c r="AC959" t="e">
        <f t="array" ref="AC959">IF(OR(G959&lt;M$3,G959&gt;M$7),G959,#N/A)</f>
        <v>#N/A</v>
      </c>
      <c r="AD959">
        <f t="shared" si="15"/>
        <v>3</v>
      </c>
      <c r="AE959" t="e">
        <f t="array" ref="AE959">IF(OR(H959&lt;N$3,H959&gt;N$7),H959,#N/A)</f>
        <v>#N/A</v>
      </c>
      <c r="AF959">
        <f t="shared" si="15"/>
        <v>4</v>
      </c>
      <c r="AG959" t="e">
        <f t="array" ref="AG959">IF(OR(I959&lt;O$3,I959&gt;O$7),I959,#N/A)</f>
        <v>#N/A</v>
      </c>
    </row>
    <row r="960" spans="5:33" x14ac:dyDescent="0.25">
      <c r="E960">
        <v>957</v>
      </c>
      <c r="F960">
        <v>17.727272727272727</v>
      </c>
      <c r="G960">
        <v>14.65</v>
      </c>
      <c r="H960">
        <v>14</v>
      </c>
      <c r="I960">
        <v>13.93</v>
      </c>
      <c r="Z960">
        <v>1</v>
      </c>
      <c r="AA960" t="e">
        <f t="array" ref="AA960">IF(OR(F960&lt;L$3,F960&gt;L$7),F960,#N/A)</f>
        <v>#N/A</v>
      </c>
      <c r="AB960">
        <f t="shared" si="15"/>
        <v>2</v>
      </c>
      <c r="AC960" t="e">
        <f t="array" ref="AC960">IF(OR(G960&lt;M$3,G960&gt;M$7),G960,#N/A)</f>
        <v>#N/A</v>
      </c>
      <c r="AD960">
        <f t="shared" si="15"/>
        <v>3</v>
      </c>
      <c r="AE960" t="e">
        <f t="array" ref="AE960">IF(OR(H960&lt;N$3,H960&gt;N$7),H960,#N/A)</f>
        <v>#N/A</v>
      </c>
      <c r="AF960">
        <f t="shared" si="15"/>
        <v>4</v>
      </c>
      <c r="AG960" t="e">
        <f t="array" ref="AG960">IF(OR(I960&lt;O$3,I960&gt;O$7),I960,#N/A)</f>
        <v>#N/A</v>
      </c>
    </row>
    <row r="961" spans="5:33" x14ac:dyDescent="0.25">
      <c r="E961">
        <v>958</v>
      </c>
      <c r="F961">
        <v>15.363636363636363</v>
      </c>
      <c r="G961">
        <v>16.45</v>
      </c>
      <c r="H961">
        <v>14.06</v>
      </c>
      <c r="I961">
        <v>13.48</v>
      </c>
      <c r="Z961">
        <v>1</v>
      </c>
      <c r="AA961" t="e">
        <f t="array" ref="AA961">IF(OR(F961&lt;L$3,F961&gt;L$7),F961,#N/A)</f>
        <v>#N/A</v>
      </c>
      <c r="AB961">
        <f t="shared" si="15"/>
        <v>2</v>
      </c>
      <c r="AC961" t="e">
        <f t="array" ref="AC961">IF(OR(G961&lt;M$3,G961&gt;M$7),G961,#N/A)</f>
        <v>#N/A</v>
      </c>
      <c r="AD961">
        <f t="shared" si="15"/>
        <v>3</v>
      </c>
      <c r="AE961" t="e">
        <f t="array" ref="AE961">IF(OR(H961&lt;N$3,H961&gt;N$7),H961,#N/A)</f>
        <v>#N/A</v>
      </c>
      <c r="AF961">
        <f t="shared" si="15"/>
        <v>4</v>
      </c>
      <c r="AG961" t="e">
        <f t="array" ref="AG961">IF(OR(I961&lt;O$3,I961&gt;O$7),I961,#N/A)</f>
        <v>#N/A</v>
      </c>
    </row>
    <row r="962" spans="5:33" x14ac:dyDescent="0.25">
      <c r="E962">
        <v>959</v>
      </c>
      <c r="F962">
        <v>11.545454545454545</v>
      </c>
      <c r="G962">
        <v>12.75</v>
      </c>
      <c r="H962">
        <v>14.38</v>
      </c>
      <c r="I962">
        <v>14.11</v>
      </c>
      <c r="Z962">
        <v>1</v>
      </c>
      <c r="AA962" t="e">
        <f t="array" ref="AA962">IF(OR(F962&lt;L$3,F962&gt;L$7),F962,#N/A)</f>
        <v>#N/A</v>
      </c>
      <c r="AB962">
        <f t="shared" si="15"/>
        <v>2</v>
      </c>
      <c r="AC962" t="e">
        <f t="array" ref="AC962">IF(OR(G962&lt;M$3,G962&gt;M$7),G962,#N/A)</f>
        <v>#N/A</v>
      </c>
      <c r="AD962">
        <f t="shared" si="15"/>
        <v>3</v>
      </c>
      <c r="AE962" t="e">
        <f t="array" ref="AE962">IF(OR(H962&lt;N$3,H962&gt;N$7),H962,#N/A)</f>
        <v>#N/A</v>
      </c>
      <c r="AF962">
        <f t="shared" si="15"/>
        <v>4</v>
      </c>
      <c r="AG962" t="e">
        <f t="array" ref="AG962">IF(OR(I962&lt;O$3,I962&gt;O$7),I962,#N/A)</f>
        <v>#N/A</v>
      </c>
    </row>
    <row r="963" spans="5:33" x14ac:dyDescent="0.25">
      <c r="E963">
        <v>960</v>
      </c>
      <c r="F963">
        <v>12.181818181818182</v>
      </c>
      <c r="G963">
        <v>12.95</v>
      </c>
      <c r="H963">
        <v>15.6</v>
      </c>
      <c r="I963">
        <v>15.03</v>
      </c>
      <c r="Z963">
        <v>1</v>
      </c>
      <c r="AA963" t="e">
        <f t="array" ref="AA963">IF(OR(F963&lt;L$3,F963&gt;L$7),F963,#N/A)</f>
        <v>#N/A</v>
      </c>
      <c r="AB963">
        <f t="shared" si="15"/>
        <v>2</v>
      </c>
      <c r="AC963" t="e">
        <f t="array" ref="AC963">IF(OR(G963&lt;M$3,G963&gt;M$7),G963,#N/A)</f>
        <v>#N/A</v>
      </c>
      <c r="AD963">
        <f t="shared" si="15"/>
        <v>3</v>
      </c>
      <c r="AE963" t="e">
        <f t="array" ref="AE963">IF(OR(H963&lt;N$3,H963&gt;N$7),H963,#N/A)</f>
        <v>#N/A</v>
      </c>
      <c r="AF963">
        <f t="shared" si="15"/>
        <v>4</v>
      </c>
      <c r="AG963" t="e">
        <f t="array" ref="AG963">IF(OR(I963&lt;O$3,I963&gt;O$7),I963,#N/A)</f>
        <v>#N/A</v>
      </c>
    </row>
    <row r="964" spans="5:33" x14ac:dyDescent="0.25">
      <c r="E964">
        <v>961</v>
      </c>
      <c r="F964">
        <v>11.090909090909092</v>
      </c>
      <c r="G964">
        <v>12.3</v>
      </c>
      <c r="H964">
        <v>14.94</v>
      </c>
      <c r="I964">
        <v>14.7</v>
      </c>
      <c r="Z964">
        <v>1</v>
      </c>
      <c r="AA964" t="e">
        <f t="array" ref="AA964">IF(OR(F964&lt;L$3,F964&gt;L$7),F964,#N/A)</f>
        <v>#N/A</v>
      </c>
      <c r="AB964">
        <f t="shared" si="15"/>
        <v>2</v>
      </c>
      <c r="AC964" t="e">
        <f t="array" ref="AC964">IF(OR(G964&lt;M$3,G964&gt;M$7),G964,#N/A)</f>
        <v>#N/A</v>
      </c>
      <c r="AD964">
        <f t="shared" si="15"/>
        <v>3</v>
      </c>
      <c r="AE964" t="e">
        <f t="array" ref="AE964">IF(OR(H964&lt;N$3,H964&gt;N$7),H964,#N/A)</f>
        <v>#N/A</v>
      </c>
      <c r="AF964">
        <f t="shared" si="15"/>
        <v>4</v>
      </c>
      <c r="AG964" t="e">
        <f t="array" ref="AG964">IF(OR(I964&lt;O$3,I964&gt;O$7),I964,#N/A)</f>
        <v>#N/A</v>
      </c>
    </row>
    <row r="965" spans="5:33" x14ac:dyDescent="0.25">
      <c r="E965">
        <v>962</v>
      </c>
      <c r="F965">
        <v>17.363636363636363</v>
      </c>
      <c r="G965">
        <v>15.3</v>
      </c>
      <c r="H965">
        <v>15.56</v>
      </c>
      <c r="I965">
        <v>14</v>
      </c>
      <c r="Z965">
        <v>1</v>
      </c>
      <c r="AA965" t="e">
        <f t="array" ref="AA965">IF(OR(F965&lt;L$3,F965&gt;L$7),F965,#N/A)</f>
        <v>#N/A</v>
      </c>
      <c r="AB965">
        <f t="shared" ref="AB965:AF1003" si="16">Z965+1</f>
        <v>2</v>
      </c>
      <c r="AC965" t="e">
        <f t="array" ref="AC965">IF(OR(G965&lt;M$3,G965&gt;M$7),G965,#N/A)</f>
        <v>#N/A</v>
      </c>
      <c r="AD965">
        <f t="shared" si="16"/>
        <v>3</v>
      </c>
      <c r="AE965" t="e">
        <f t="array" ref="AE965">IF(OR(H965&lt;N$3,H965&gt;N$7),H965,#N/A)</f>
        <v>#N/A</v>
      </c>
      <c r="AF965">
        <f t="shared" si="16"/>
        <v>4</v>
      </c>
      <c r="AG965" t="e">
        <f t="array" ref="AG965">IF(OR(I965&lt;O$3,I965&gt;O$7),I965,#N/A)</f>
        <v>#N/A</v>
      </c>
    </row>
    <row r="966" spans="5:33" x14ac:dyDescent="0.25">
      <c r="E966">
        <v>963</v>
      </c>
      <c r="F966">
        <v>10.636363636363637</v>
      </c>
      <c r="G966">
        <v>13.85</v>
      </c>
      <c r="H966">
        <v>13.9</v>
      </c>
      <c r="I966">
        <v>14.17</v>
      </c>
      <c r="Z966">
        <v>1</v>
      </c>
      <c r="AA966" t="e">
        <f t="array" ref="AA966">IF(OR(F966&lt;L$3,F966&gt;L$7),F966,#N/A)</f>
        <v>#N/A</v>
      </c>
      <c r="AB966">
        <f t="shared" si="16"/>
        <v>2</v>
      </c>
      <c r="AC966" t="e">
        <f t="array" ref="AC966">IF(OR(G966&lt;M$3,G966&gt;M$7),G966,#N/A)</f>
        <v>#N/A</v>
      </c>
      <c r="AD966">
        <f t="shared" si="16"/>
        <v>3</v>
      </c>
      <c r="AE966" t="e">
        <f t="array" ref="AE966">IF(OR(H966&lt;N$3,H966&gt;N$7),H966,#N/A)</f>
        <v>#N/A</v>
      </c>
      <c r="AF966">
        <f t="shared" si="16"/>
        <v>4</v>
      </c>
      <c r="AG966" t="e">
        <f t="array" ref="AG966">IF(OR(I966&lt;O$3,I966&gt;O$7),I966,#N/A)</f>
        <v>#N/A</v>
      </c>
    </row>
    <row r="967" spans="5:33" x14ac:dyDescent="0.25">
      <c r="E967">
        <v>964</v>
      </c>
      <c r="F967">
        <v>13</v>
      </c>
      <c r="G967">
        <v>14.7</v>
      </c>
      <c r="H967">
        <v>14.22</v>
      </c>
      <c r="I967">
        <v>14.59</v>
      </c>
      <c r="Z967">
        <v>1</v>
      </c>
      <c r="AA967" t="e">
        <f t="array" ref="AA967">IF(OR(F967&lt;L$3,F967&gt;L$7),F967,#N/A)</f>
        <v>#N/A</v>
      </c>
      <c r="AB967">
        <f t="shared" si="16"/>
        <v>2</v>
      </c>
      <c r="AC967" t="e">
        <f t="array" ref="AC967">IF(OR(G967&lt;M$3,G967&gt;M$7),G967,#N/A)</f>
        <v>#N/A</v>
      </c>
      <c r="AD967">
        <f t="shared" si="16"/>
        <v>3</v>
      </c>
      <c r="AE967" t="e">
        <f t="array" ref="AE967">IF(OR(H967&lt;N$3,H967&gt;N$7),H967,#N/A)</f>
        <v>#N/A</v>
      </c>
      <c r="AF967">
        <f t="shared" si="16"/>
        <v>4</v>
      </c>
      <c r="AG967" t="e">
        <f t="array" ref="AG967">IF(OR(I967&lt;O$3,I967&gt;O$7),I967,#N/A)</f>
        <v>#N/A</v>
      </c>
    </row>
    <row r="968" spans="5:33" x14ac:dyDescent="0.25">
      <c r="E968">
        <v>965</v>
      </c>
      <c r="F968">
        <v>16.181818181818183</v>
      </c>
      <c r="G968">
        <v>13.65</v>
      </c>
      <c r="H968">
        <v>14.56</v>
      </c>
      <c r="I968">
        <v>14.13</v>
      </c>
      <c r="Z968">
        <v>1</v>
      </c>
      <c r="AA968" t="e">
        <f t="array" ref="AA968">IF(OR(F968&lt;L$3,F968&gt;L$7),F968,#N/A)</f>
        <v>#N/A</v>
      </c>
      <c r="AB968">
        <f t="shared" si="16"/>
        <v>2</v>
      </c>
      <c r="AC968" t="e">
        <f t="array" ref="AC968">IF(OR(G968&lt;M$3,G968&gt;M$7),G968,#N/A)</f>
        <v>#N/A</v>
      </c>
      <c r="AD968">
        <f t="shared" si="16"/>
        <v>3</v>
      </c>
      <c r="AE968" t="e">
        <f t="array" ref="AE968">IF(OR(H968&lt;N$3,H968&gt;N$7),H968,#N/A)</f>
        <v>#N/A</v>
      </c>
      <c r="AF968">
        <f t="shared" si="16"/>
        <v>4</v>
      </c>
      <c r="AG968" t="e">
        <f t="array" ref="AG968">IF(OR(I968&lt;O$3,I968&gt;O$7),I968,#N/A)</f>
        <v>#N/A</v>
      </c>
    </row>
    <row r="969" spans="5:33" x14ac:dyDescent="0.25">
      <c r="E969">
        <v>966</v>
      </c>
      <c r="F969">
        <v>13.727272727272727</v>
      </c>
      <c r="G969">
        <v>13</v>
      </c>
      <c r="H969">
        <v>12.92</v>
      </c>
      <c r="I969">
        <v>13.48</v>
      </c>
      <c r="Z969">
        <v>1</v>
      </c>
      <c r="AA969" t="e">
        <f t="array" ref="AA969">IF(OR(F969&lt;L$3,F969&gt;L$7),F969,#N/A)</f>
        <v>#N/A</v>
      </c>
      <c r="AB969">
        <f t="shared" si="16"/>
        <v>2</v>
      </c>
      <c r="AC969" t="e">
        <f t="array" ref="AC969">IF(OR(G969&lt;M$3,G969&gt;M$7),G969,#N/A)</f>
        <v>#N/A</v>
      </c>
      <c r="AD969">
        <f t="shared" si="16"/>
        <v>3</v>
      </c>
      <c r="AE969" t="e">
        <f t="array" ref="AE969">IF(OR(H969&lt;N$3,H969&gt;N$7),H969,#N/A)</f>
        <v>#N/A</v>
      </c>
      <c r="AF969">
        <f t="shared" si="16"/>
        <v>4</v>
      </c>
      <c r="AG969" t="e">
        <f t="array" ref="AG969">IF(OR(I969&lt;O$3,I969&gt;O$7),I969,#N/A)</f>
        <v>#N/A</v>
      </c>
    </row>
    <row r="970" spans="5:33" x14ac:dyDescent="0.25">
      <c r="E970">
        <v>967</v>
      </c>
      <c r="F970">
        <v>14.454545454545455</v>
      </c>
      <c r="G970">
        <v>14.9</v>
      </c>
      <c r="H970">
        <v>14.84</v>
      </c>
      <c r="I970">
        <v>14.35</v>
      </c>
      <c r="Z970">
        <v>1</v>
      </c>
      <c r="AA970" t="e">
        <f t="array" ref="AA970">IF(OR(F970&lt;L$3,F970&gt;L$7),F970,#N/A)</f>
        <v>#N/A</v>
      </c>
      <c r="AB970">
        <f t="shared" si="16"/>
        <v>2</v>
      </c>
      <c r="AC970" t="e">
        <f t="array" ref="AC970">IF(OR(G970&lt;M$3,G970&gt;M$7),G970,#N/A)</f>
        <v>#N/A</v>
      </c>
      <c r="AD970">
        <f t="shared" si="16"/>
        <v>3</v>
      </c>
      <c r="AE970" t="e">
        <f t="array" ref="AE970">IF(OR(H970&lt;N$3,H970&gt;N$7),H970,#N/A)</f>
        <v>#N/A</v>
      </c>
      <c r="AF970">
        <f t="shared" si="16"/>
        <v>4</v>
      </c>
      <c r="AG970" t="e">
        <f t="array" ref="AG970">IF(OR(I970&lt;O$3,I970&gt;O$7),I970,#N/A)</f>
        <v>#N/A</v>
      </c>
    </row>
    <row r="971" spans="5:33" x14ac:dyDescent="0.25">
      <c r="E971">
        <v>968</v>
      </c>
      <c r="F971">
        <v>17.636363636363637</v>
      </c>
      <c r="G971">
        <v>15.95</v>
      </c>
      <c r="H971">
        <v>13.62</v>
      </c>
      <c r="I971">
        <v>13.93</v>
      </c>
      <c r="Z971">
        <v>1</v>
      </c>
      <c r="AA971" t="e">
        <f t="array" ref="AA971">IF(OR(F971&lt;L$3,F971&gt;L$7),F971,#N/A)</f>
        <v>#N/A</v>
      </c>
      <c r="AB971">
        <f t="shared" si="16"/>
        <v>2</v>
      </c>
      <c r="AC971" t="e">
        <f t="array" ref="AC971">IF(OR(G971&lt;M$3,G971&gt;M$7),G971,#N/A)</f>
        <v>#N/A</v>
      </c>
      <c r="AD971">
        <f t="shared" si="16"/>
        <v>3</v>
      </c>
      <c r="AE971" t="e">
        <f t="array" ref="AE971">IF(OR(H971&lt;N$3,H971&gt;N$7),H971,#N/A)</f>
        <v>#N/A</v>
      </c>
      <c r="AF971">
        <f t="shared" si="16"/>
        <v>4</v>
      </c>
      <c r="AG971" t="e">
        <f t="array" ref="AG971">IF(OR(I971&lt;O$3,I971&gt;O$7),I971,#N/A)</f>
        <v>#N/A</v>
      </c>
    </row>
    <row r="972" spans="5:33" x14ac:dyDescent="0.25">
      <c r="E972">
        <v>969</v>
      </c>
      <c r="F972">
        <v>16.272727272727273</v>
      </c>
      <c r="G972">
        <v>14.7</v>
      </c>
      <c r="H972">
        <v>14.68</v>
      </c>
      <c r="I972">
        <v>14.94</v>
      </c>
      <c r="Z972">
        <v>1</v>
      </c>
      <c r="AA972" t="e">
        <f t="array" ref="AA972">IF(OR(F972&lt;L$3,F972&gt;L$7),F972,#N/A)</f>
        <v>#N/A</v>
      </c>
      <c r="AB972">
        <f t="shared" si="16"/>
        <v>2</v>
      </c>
      <c r="AC972" t="e">
        <f t="array" ref="AC972">IF(OR(G972&lt;M$3,G972&gt;M$7),G972,#N/A)</f>
        <v>#N/A</v>
      </c>
      <c r="AD972">
        <f t="shared" si="16"/>
        <v>3</v>
      </c>
      <c r="AE972" t="e">
        <f t="array" ref="AE972">IF(OR(H972&lt;N$3,H972&gt;N$7),H972,#N/A)</f>
        <v>#N/A</v>
      </c>
      <c r="AF972">
        <f t="shared" si="16"/>
        <v>4</v>
      </c>
      <c r="AG972" t="e">
        <f t="array" ref="AG972">IF(OR(I972&lt;O$3,I972&gt;O$7),I972,#N/A)</f>
        <v>#N/A</v>
      </c>
    </row>
    <row r="973" spans="5:33" x14ac:dyDescent="0.25">
      <c r="E973">
        <v>970</v>
      </c>
      <c r="F973">
        <v>12.636363636363637</v>
      </c>
      <c r="G973">
        <v>12.35</v>
      </c>
      <c r="H973">
        <v>13.94</v>
      </c>
      <c r="I973">
        <v>13.77</v>
      </c>
      <c r="Z973">
        <v>1</v>
      </c>
      <c r="AA973" t="e">
        <f t="array" ref="AA973">IF(OR(F973&lt;L$3,F973&gt;L$7),F973,#N/A)</f>
        <v>#N/A</v>
      </c>
      <c r="AB973">
        <f t="shared" si="16"/>
        <v>2</v>
      </c>
      <c r="AC973" t="e">
        <f t="array" ref="AC973">IF(OR(G973&lt;M$3,G973&gt;M$7),G973,#N/A)</f>
        <v>#N/A</v>
      </c>
      <c r="AD973">
        <f t="shared" si="16"/>
        <v>3</v>
      </c>
      <c r="AE973" t="e">
        <f t="array" ref="AE973">IF(OR(H973&lt;N$3,H973&gt;N$7),H973,#N/A)</f>
        <v>#N/A</v>
      </c>
      <c r="AF973">
        <f t="shared" si="16"/>
        <v>4</v>
      </c>
      <c r="AG973" t="e">
        <f t="array" ref="AG973">IF(OR(I973&lt;O$3,I973&gt;O$7),I973,#N/A)</f>
        <v>#N/A</v>
      </c>
    </row>
    <row r="974" spans="5:33" x14ac:dyDescent="0.25">
      <c r="E974">
        <v>971</v>
      </c>
      <c r="F974">
        <v>15</v>
      </c>
      <c r="G974">
        <v>17</v>
      </c>
      <c r="H974">
        <v>14.92</v>
      </c>
      <c r="I974">
        <v>13.98</v>
      </c>
      <c r="Z974">
        <v>1</v>
      </c>
      <c r="AA974" t="e">
        <f t="array" ref="AA974">IF(OR(F974&lt;L$3,F974&gt;L$7),F974,#N/A)</f>
        <v>#N/A</v>
      </c>
      <c r="AB974">
        <f t="shared" si="16"/>
        <v>2</v>
      </c>
      <c r="AC974" t="e">
        <f t="array" ref="AC974">IF(OR(G974&lt;M$3,G974&gt;M$7),G974,#N/A)</f>
        <v>#N/A</v>
      </c>
      <c r="AD974">
        <f t="shared" si="16"/>
        <v>3</v>
      </c>
      <c r="AE974" t="e">
        <f t="array" ref="AE974">IF(OR(H974&lt;N$3,H974&gt;N$7),H974,#N/A)</f>
        <v>#N/A</v>
      </c>
      <c r="AF974">
        <f t="shared" si="16"/>
        <v>4</v>
      </c>
      <c r="AG974" t="e">
        <f t="array" ref="AG974">IF(OR(I974&lt;O$3,I974&gt;O$7),I974,#N/A)</f>
        <v>#N/A</v>
      </c>
    </row>
    <row r="975" spans="5:33" x14ac:dyDescent="0.25">
      <c r="E975">
        <v>972</v>
      </c>
      <c r="F975">
        <v>15.454545454545455</v>
      </c>
      <c r="G975">
        <v>15.55</v>
      </c>
      <c r="H975">
        <v>14.54</v>
      </c>
      <c r="I975">
        <v>13.53</v>
      </c>
      <c r="Z975">
        <v>1</v>
      </c>
      <c r="AA975" t="e">
        <f t="array" ref="AA975">IF(OR(F975&lt;L$3,F975&gt;L$7),F975,#N/A)</f>
        <v>#N/A</v>
      </c>
      <c r="AB975">
        <f t="shared" si="16"/>
        <v>2</v>
      </c>
      <c r="AC975" t="e">
        <f t="array" ref="AC975">IF(OR(G975&lt;M$3,G975&gt;M$7),G975,#N/A)</f>
        <v>#N/A</v>
      </c>
      <c r="AD975">
        <f t="shared" si="16"/>
        <v>3</v>
      </c>
      <c r="AE975" t="e">
        <f t="array" ref="AE975">IF(OR(H975&lt;N$3,H975&gt;N$7),H975,#N/A)</f>
        <v>#N/A</v>
      </c>
      <c r="AF975">
        <f t="shared" si="16"/>
        <v>4</v>
      </c>
      <c r="AG975" t="e">
        <f t="array" ref="AG975">IF(OR(I975&lt;O$3,I975&gt;O$7),I975,#N/A)</f>
        <v>#N/A</v>
      </c>
    </row>
    <row r="976" spans="5:33" x14ac:dyDescent="0.25">
      <c r="E976">
        <v>973</v>
      </c>
      <c r="F976">
        <v>15.272727272727273</v>
      </c>
      <c r="G976">
        <v>14</v>
      </c>
      <c r="H976">
        <v>13.2</v>
      </c>
      <c r="I976">
        <v>14.12</v>
      </c>
      <c r="Z976">
        <v>1</v>
      </c>
      <c r="AA976" t="e">
        <f t="array" ref="AA976">IF(OR(F976&lt;L$3,F976&gt;L$7),F976,#N/A)</f>
        <v>#N/A</v>
      </c>
      <c r="AB976">
        <f t="shared" si="16"/>
        <v>2</v>
      </c>
      <c r="AC976" t="e">
        <f t="array" ref="AC976">IF(OR(G976&lt;M$3,G976&gt;M$7),G976,#N/A)</f>
        <v>#N/A</v>
      </c>
      <c r="AD976">
        <f t="shared" si="16"/>
        <v>3</v>
      </c>
      <c r="AE976" t="e">
        <f t="array" ref="AE976">IF(OR(H976&lt;N$3,H976&gt;N$7),H976,#N/A)</f>
        <v>#N/A</v>
      </c>
      <c r="AF976">
        <f t="shared" si="16"/>
        <v>4</v>
      </c>
      <c r="AG976" t="e">
        <f t="array" ref="AG976">IF(OR(I976&lt;O$3,I976&gt;O$7),I976,#N/A)</f>
        <v>#N/A</v>
      </c>
    </row>
    <row r="977" spans="5:33" x14ac:dyDescent="0.25">
      <c r="E977">
        <v>974</v>
      </c>
      <c r="F977">
        <v>13.727272727272727</v>
      </c>
      <c r="G977">
        <v>13.8</v>
      </c>
      <c r="H977">
        <v>14.34</v>
      </c>
      <c r="I977">
        <v>14.45</v>
      </c>
      <c r="Z977">
        <v>1</v>
      </c>
      <c r="AA977" t="e">
        <f t="array" ref="AA977">IF(OR(F977&lt;L$3,F977&gt;L$7),F977,#N/A)</f>
        <v>#N/A</v>
      </c>
      <c r="AB977">
        <f t="shared" si="16"/>
        <v>2</v>
      </c>
      <c r="AC977" t="e">
        <f t="array" ref="AC977">IF(OR(G977&lt;M$3,G977&gt;M$7),G977,#N/A)</f>
        <v>#N/A</v>
      </c>
      <c r="AD977">
        <f t="shared" si="16"/>
        <v>3</v>
      </c>
      <c r="AE977" t="e">
        <f t="array" ref="AE977">IF(OR(H977&lt;N$3,H977&gt;N$7),H977,#N/A)</f>
        <v>#N/A</v>
      </c>
      <c r="AF977">
        <f t="shared" si="16"/>
        <v>4</v>
      </c>
      <c r="AG977" t="e">
        <f t="array" ref="AG977">IF(OR(I977&lt;O$3,I977&gt;O$7),I977,#N/A)</f>
        <v>#N/A</v>
      </c>
    </row>
    <row r="978" spans="5:33" x14ac:dyDescent="0.25">
      <c r="E978">
        <v>975</v>
      </c>
      <c r="F978">
        <v>12.727272727272727</v>
      </c>
      <c r="G978">
        <v>13.4</v>
      </c>
      <c r="H978">
        <v>13.94</v>
      </c>
      <c r="I978">
        <v>15.07</v>
      </c>
      <c r="Z978">
        <v>1</v>
      </c>
      <c r="AA978" t="e">
        <f t="array" ref="AA978">IF(OR(F978&lt;L$3,F978&gt;L$7),F978,#N/A)</f>
        <v>#N/A</v>
      </c>
      <c r="AB978">
        <f t="shared" si="16"/>
        <v>2</v>
      </c>
      <c r="AC978" t="e">
        <f t="array" ref="AC978">IF(OR(G978&lt;M$3,G978&gt;M$7),G978,#N/A)</f>
        <v>#N/A</v>
      </c>
      <c r="AD978">
        <f t="shared" si="16"/>
        <v>3</v>
      </c>
      <c r="AE978" t="e">
        <f t="array" ref="AE978">IF(OR(H978&lt;N$3,H978&gt;N$7),H978,#N/A)</f>
        <v>#N/A</v>
      </c>
      <c r="AF978">
        <f t="shared" si="16"/>
        <v>4</v>
      </c>
      <c r="AG978" t="e">
        <f t="array" ref="AG978">IF(OR(I978&lt;O$3,I978&gt;O$7),I978,#N/A)</f>
        <v>#N/A</v>
      </c>
    </row>
    <row r="979" spans="5:33" x14ac:dyDescent="0.25">
      <c r="E979">
        <v>976</v>
      </c>
      <c r="F979">
        <v>10.818181818181818</v>
      </c>
      <c r="G979">
        <v>10.85</v>
      </c>
      <c r="H979">
        <v>12.7</v>
      </c>
      <c r="I979">
        <v>13.87</v>
      </c>
      <c r="Z979">
        <v>1</v>
      </c>
      <c r="AA979" t="e">
        <f t="array" ref="AA979">IF(OR(F979&lt;L$3,F979&gt;L$7),F979,#N/A)</f>
        <v>#N/A</v>
      </c>
      <c r="AB979">
        <f t="shared" si="16"/>
        <v>2</v>
      </c>
      <c r="AC979" t="e">
        <f t="array" ref="AC979">IF(OR(G979&lt;M$3,G979&gt;M$7),G979,#N/A)</f>
        <v>#N/A</v>
      </c>
      <c r="AD979">
        <f t="shared" si="16"/>
        <v>3</v>
      </c>
      <c r="AE979" t="e">
        <f t="array" ref="AE979">IF(OR(H979&lt;N$3,H979&gt;N$7),H979,#N/A)</f>
        <v>#N/A</v>
      </c>
      <c r="AF979">
        <f t="shared" si="16"/>
        <v>4</v>
      </c>
      <c r="AG979" t="e">
        <f t="array" ref="AG979">IF(OR(I979&lt;O$3,I979&gt;O$7),I979,#N/A)</f>
        <v>#N/A</v>
      </c>
    </row>
    <row r="980" spans="5:33" x14ac:dyDescent="0.25">
      <c r="E980">
        <v>977</v>
      </c>
      <c r="F980">
        <v>14.272727272727273</v>
      </c>
      <c r="G980">
        <v>14.75</v>
      </c>
      <c r="H980">
        <v>12.86</v>
      </c>
      <c r="I980">
        <v>13.49</v>
      </c>
      <c r="Z980">
        <v>1</v>
      </c>
      <c r="AA980" t="e">
        <f t="array" ref="AA980">IF(OR(F980&lt;L$3,F980&gt;L$7),F980,#N/A)</f>
        <v>#N/A</v>
      </c>
      <c r="AB980">
        <f t="shared" si="16"/>
        <v>2</v>
      </c>
      <c r="AC980" t="e">
        <f t="array" ref="AC980">IF(OR(G980&lt;M$3,G980&gt;M$7),G980,#N/A)</f>
        <v>#N/A</v>
      </c>
      <c r="AD980">
        <f t="shared" si="16"/>
        <v>3</v>
      </c>
      <c r="AE980" t="e">
        <f t="array" ref="AE980">IF(OR(H980&lt;N$3,H980&gt;N$7),H980,#N/A)</f>
        <v>#N/A</v>
      </c>
      <c r="AF980">
        <f t="shared" si="16"/>
        <v>4</v>
      </c>
      <c r="AG980" t="e">
        <f t="array" ref="AG980">IF(OR(I980&lt;O$3,I980&gt;O$7),I980,#N/A)</f>
        <v>#N/A</v>
      </c>
    </row>
    <row r="981" spans="5:33" x14ac:dyDescent="0.25">
      <c r="E981">
        <v>978</v>
      </c>
      <c r="F981">
        <v>15.363636363636363</v>
      </c>
      <c r="G981">
        <v>14.35</v>
      </c>
      <c r="H981">
        <v>14.14</v>
      </c>
      <c r="I981">
        <v>14.06</v>
      </c>
      <c r="Z981">
        <v>1</v>
      </c>
      <c r="AA981" t="e">
        <f t="array" ref="AA981">IF(OR(F981&lt;L$3,F981&gt;L$7),F981,#N/A)</f>
        <v>#N/A</v>
      </c>
      <c r="AB981">
        <f t="shared" si="16"/>
        <v>2</v>
      </c>
      <c r="AC981" t="e">
        <f t="array" ref="AC981">IF(OR(G981&lt;M$3,G981&gt;M$7),G981,#N/A)</f>
        <v>#N/A</v>
      </c>
      <c r="AD981">
        <f t="shared" si="16"/>
        <v>3</v>
      </c>
      <c r="AE981" t="e">
        <f t="array" ref="AE981">IF(OR(H981&lt;N$3,H981&gt;N$7),H981,#N/A)</f>
        <v>#N/A</v>
      </c>
      <c r="AF981">
        <f t="shared" si="16"/>
        <v>4</v>
      </c>
      <c r="AG981" t="e">
        <f t="array" ref="AG981">IF(OR(I981&lt;O$3,I981&gt;O$7),I981,#N/A)</f>
        <v>#N/A</v>
      </c>
    </row>
    <row r="982" spans="5:33" x14ac:dyDescent="0.25">
      <c r="E982">
        <v>979</v>
      </c>
      <c r="F982">
        <v>19.363636363636363</v>
      </c>
      <c r="G982">
        <v>18.25</v>
      </c>
      <c r="H982">
        <v>16.600000000000001</v>
      </c>
      <c r="I982">
        <v>15.75</v>
      </c>
      <c r="Z982">
        <v>1</v>
      </c>
      <c r="AA982" t="e">
        <f t="array" ref="AA982">IF(OR(F982&lt;L$3,F982&gt;L$7),F982,#N/A)</f>
        <v>#N/A</v>
      </c>
      <c r="AB982">
        <f t="shared" si="16"/>
        <v>2</v>
      </c>
      <c r="AC982" t="e">
        <f t="array" ref="AC982">IF(OR(G982&lt;M$3,G982&gt;M$7),G982,#N/A)</f>
        <v>#N/A</v>
      </c>
      <c r="AD982">
        <f t="shared" si="16"/>
        <v>3</v>
      </c>
      <c r="AE982" t="e">
        <f t="array" ref="AE982">IF(OR(H982&lt;N$3,H982&gt;N$7),H982,#N/A)</f>
        <v>#N/A</v>
      </c>
      <c r="AF982">
        <f t="shared" si="16"/>
        <v>4</v>
      </c>
      <c r="AG982" t="e">
        <f t="array" ref="AG982">IF(OR(I982&lt;O$3,I982&gt;O$7),I982,#N/A)</f>
        <v>#N/A</v>
      </c>
    </row>
    <row r="983" spans="5:33" x14ac:dyDescent="0.25">
      <c r="E983">
        <v>980</v>
      </c>
      <c r="F983">
        <v>11.181818181818182</v>
      </c>
      <c r="G983">
        <v>14.45</v>
      </c>
      <c r="H983">
        <v>14.88</v>
      </c>
      <c r="I983">
        <v>14.08</v>
      </c>
      <c r="Z983">
        <v>1</v>
      </c>
      <c r="AA983" t="e">
        <f t="array" ref="AA983">IF(OR(F983&lt;L$3,F983&gt;L$7),F983,#N/A)</f>
        <v>#N/A</v>
      </c>
      <c r="AB983">
        <f t="shared" si="16"/>
        <v>2</v>
      </c>
      <c r="AC983" t="e">
        <f t="array" ref="AC983">IF(OR(G983&lt;M$3,G983&gt;M$7),G983,#N/A)</f>
        <v>#N/A</v>
      </c>
      <c r="AD983">
        <f t="shared" si="16"/>
        <v>3</v>
      </c>
      <c r="AE983" t="e">
        <f t="array" ref="AE983">IF(OR(H983&lt;N$3,H983&gt;N$7),H983,#N/A)</f>
        <v>#N/A</v>
      </c>
      <c r="AF983">
        <f t="shared" si="16"/>
        <v>4</v>
      </c>
      <c r="AG983" t="e">
        <f t="array" ref="AG983">IF(OR(I983&lt;O$3,I983&gt;O$7),I983,#N/A)</f>
        <v>#N/A</v>
      </c>
    </row>
    <row r="984" spans="5:33" x14ac:dyDescent="0.25">
      <c r="E984">
        <v>981</v>
      </c>
      <c r="F984">
        <v>12.545454545454545</v>
      </c>
      <c r="G984">
        <v>12.1</v>
      </c>
      <c r="H984">
        <v>14.04</v>
      </c>
      <c r="I984">
        <v>15.03</v>
      </c>
      <c r="Z984">
        <v>1</v>
      </c>
      <c r="AA984" t="e">
        <f t="array" ref="AA984">IF(OR(F984&lt;L$3,F984&gt;L$7),F984,#N/A)</f>
        <v>#N/A</v>
      </c>
      <c r="AB984">
        <f t="shared" si="16"/>
        <v>2</v>
      </c>
      <c r="AC984" t="e">
        <f t="array" ref="AC984">IF(OR(G984&lt;M$3,G984&gt;M$7),G984,#N/A)</f>
        <v>#N/A</v>
      </c>
      <c r="AD984">
        <f t="shared" si="16"/>
        <v>3</v>
      </c>
      <c r="AE984" t="e">
        <f t="array" ref="AE984">IF(OR(H984&lt;N$3,H984&gt;N$7),H984,#N/A)</f>
        <v>#N/A</v>
      </c>
      <c r="AF984">
        <f t="shared" si="16"/>
        <v>4</v>
      </c>
      <c r="AG984" t="e">
        <f t="array" ref="AG984">IF(OR(I984&lt;O$3,I984&gt;O$7),I984,#N/A)</f>
        <v>#N/A</v>
      </c>
    </row>
    <row r="985" spans="5:33" x14ac:dyDescent="0.25">
      <c r="E985">
        <v>982</v>
      </c>
      <c r="F985">
        <v>17.181818181818183</v>
      </c>
      <c r="G985">
        <v>16.5</v>
      </c>
      <c r="H985">
        <v>15.84</v>
      </c>
      <c r="I985">
        <v>15.57</v>
      </c>
      <c r="Z985">
        <v>1</v>
      </c>
      <c r="AA985" t="e">
        <f t="array" ref="AA985">IF(OR(F985&lt;L$3,F985&gt;L$7),F985,#N/A)</f>
        <v>#N/A</v>
      </c>
      <c r="AB985">
        <f t="shared" si="16"/>
        <v>2</v>
      </c>
      <c r="AC985" t="e">
        <f t="array" ref="AC985">IF(OR(G985&lt;M$3,G985&gt;M$7),G985,#N/A)</f>
        <v>#N/A</v>
      </c>
      <c r="AD985">
        <f t="shared" si="16"/>
        <v>3</v>
      </c>
      <c r="AE985" t="e">
        <f t="array" ref="AE985">IF(OR(H985&lt;N$3,H985&gt;N$7),H985,#N/A)</f>
        <v>#N/A</v>
      </c>
      <c r="AF985">
        <f t="shared" si="16"/>
        <v>4</v>
      </c>
      <c r="AG985" t="e">
        <f t="array" ref="AG985">IF(OR(I985&lt;O$3,I985&gt;O$7),I985,#N/A)</f>
        <v>#N/A</v>
      </c>
    </row>
    <row r="986" spans="5:33" x14ac:dyDescent="0.25">
      <c r="E986">
        <v>983</v>
      </c>
      <c r="F986">
        <v>14.181818181818182</v>
      </c>
      <c r="G986">
        <v>12</v>
      </c>
      <c r="H986">
        <v>12.74</v>
      </c>
      <c r="I986">
        <v>13.17</v>
      </c>
      <c r="Z986">
        <v>1</v>
      </c>
      <c r="AA986" t="e">
        <f t="array" ref="AA986">IF(OR(F986&lt;L$3,F986&gt;L$7),F986,#N/A)</f>
        <v>#N/A</v>
      </c>
      <c r="AB986">
        <f t="shared" si="16"/>
        <v>2</v>
      </c>
      <c r="AC986" t="e">
        <f t="array" ref="AC986">IF(OR(G986&lt;M$3,G986&gt;M$7),G986,#N/A)</f>
        <v>#N/A</v>
      </c>
      <c r="AD986">
        <f t="shared" si="16"/>
        <v>3</v>
      </c>
      <c r="AE986" t="e">
        <f t="array" ref="AE986">IF(OR(H986&lt;N$3,H986&gt;N$7),H986,#N/A)</f>
        <v>#N/A</v>
      </c>
      <c r="AF986">
        <f t="shared" si="16"/>
        <v>4</v>
      </c>
      <c r="AG986" t="e">
        <f t="array" ref="AG986">IF(OR(I986&lt;O$3,I986&gt;O$7),I986,#N/A)</f>
        <v>#N/A</v>
      </c>
    </row>
    <row r="987" spans="5:33" x14ac:dyDescent="0.25">
      <c r="E987">
        <v>984</v>
      </c>
      <c r="F987">
        <v>14.909090909090908</v>
      </c>
      <c r="G987">
        <v>12.7</v>
      </c>
      <c r="H987">
        <v>14.26</v>
      </c>
      <c r="I987">
        <v>13.49</v>
      </c>
      <c r="Z987">
        <v>1</v>
      </c>
      <c r="AA987" t="e">
        <f t="array" ref="AA987">IF(OR(F987&lt;L$3,F987&gt;L$7),F987,#N/A)</f>
        <v>#N/A</v>
      </c>
      <c r="AB987">
        <f t="shared" si="16"/>
        <v>2</v>
      </c>
      <c r="AC987" t="e">
        <f t="array" ref="AC987">IF(OR(G987&lt;M$3,G987&gt;M$7),G987,#N/A)</f>
        <v>#N/A</v>
      </c>
      <c r="AD987">
        <f t="shared" si="16"/>
        <v>3</v>
      </c>
      <c r="AE987" t="e">
        <f t="array" ref="AE987">IF(OR(H987&lt;N$3,H987&gt;N$7),H987,#N/A)</f>
        <v>#N/A</v>
      </c>
      <c r="AF987">
        <f t="shared" si="16"/>
        <v>4</v>
      </c>
      <c r="AG987" t="e">
        <f t="array" ref="AG987">IF(OR(I987&lt;O$3,I987&gt;O$7),I987,#N/A)</f>
        <v>#N/A</v>
      </c>
    </row>
    <row r="988" spans="5:33" x14ac:dyDescent="0.25">
      <c r="E988">
        <v>985</v>
      </c>
      <c r="F988">
        <v>17.454545454545453</v>
      </c>
      <c r="G988">
        <v>14.5</v>
      </c>
      <c r="H988">
        <v>14.04</v>
      </c>
      <c r="I988">
        <v>13.23</v>
      </c>
      <c r="Z988">
        <v>1</v>
      </c>
      <c r="AA988" t="e">
        <f t="array" ref="AA988">IF(OR(F988&lt;L$3,F988&gt;L$7),F988,#N/A)</f>
        <v>#N/A</v>
      </c>
      <c r="AB988">
        <f t="shared" si="16"/>
        <v>2</v>
      </c>
      <c r="AC988" t="e">
        <f t="array" ref="AC988">IF(OR(G988&lt;M$3,G988&gt;M$7),G988,#N/A)</f>
        <v>#N/A</v>
      </c>
      <c r="AD988">
        <f t="shared" si="16"/>
        <v>3</v>
      </c>
      <c r="AE988" t="e">
        <f t="array" ref="AE988">IF(OR(H988&lt;N$3,H988&gt;N$7),H988,#N/A)</f>
        <v>#N/A</v>
      </c>
      <c r="AF988">
        <f t="shared" si="16"/>
        <v>4</v>
      </c>
      <c r="AG988" t="e">
        <f t="array" ref="AG988">IF(OR(I988&lt;O$3,I988&gt;O$7),I988,#N/A)</f>
        <v>#N/A</v>
      </c>
    </row>
    <row r="989" spans="5:33" x14ac:dyDescent="0.25">
      <c r="E989">
        <v>986</v>
      </c>
      <c r="F989">
        <v>12</v>
      </c>
      <c r="G989">
        <v>12.1</v>
      </c>
      <c r="H989">
        <v>13.98</v>
      </c>
      <c r="I989">
        <v>14.22</v>
      </c>
      <c r="Z989">
        <v>1</v>
      </c>
      <c r="AA989" t="e">
        <f t="array" ref="AA989">IF(OR(F989&lt;L$3,F989&gt;L$7),F989,#N/A)</f>
        <v>#N/A</v>
      </c>
      <c r="AB989">
        <f t="shared" si="16"/>
        <v>2</v>
      </c>
      <c r="AC989" t="e">
        <f t="array" ref="AC989">IF(OR(G989&lt;M$3,G989&gt;M$7),G989,#N/A)</f>
        <v>#N/A</v>
      </c>
      <c r="AD989">
        <f t="shared" si="16"/>
        <v>3</v>
      </c>
      <c r="AE989" t="e">
        <f t="array" ref="AE989">IF(OR(H989&lt;N$3,H989&gt;N$7),H989,#N/A)</f>
        <v>#N/A</v>
      </c>
      <c r="AF989">
        <f t="shared" si="16"/>
        <v>4</v>
      </c>
      <c r="AG989" t="e">
        <f t="array" ref="AG989">IF(OR(I989&lt;O$3,I989&gt;O$7),I989,#N/A)</f>
        <v>#N/A</v>
      </c>
    </row>
    <row r="990" spans="5:33" x14ac:dyDescent="0.25">
      <c r="E990">
        <v>987</v>
      </c>
      <c r="F990">
        <v>15.909090909090908</v>
      </c>
      <c r="G990">
        <v>14.75</v>
      </c>
      <c r="H990">
        <v>14.52</v>
      </c>
      <c r="I990">
        <v>14.31</v>
      </c>
      <c r="Z990">
        <v>1</v>
      </c>
      <c r="AA990" t="e">
        <f t="array" ref="AA990">IF(OR(F990&lt;L$3,F990&gt;L$7),F990,#N/A)</f>
        <v>#N/A</v>
      </c>
      <c r="AB990">
        <f t="shared" si="16"/>
        <v>2</v>
      </c>
      <c r="AC990" t="e">
        <f t="array" ref="AC990">IF(OR(G990&lt;M$3,G990&gt;M$7),G990,#N/A)</f>
        <v>#N/A</v>
      </c>
      <c r="AD990">
        <f t="shared" si="16"/>
        <v>3</v>
      </c>
      <c r="AE990" t="e">
        <f t="array" ref="AE990">IF(OR(H990&lt;N$3,H990&gt;N$7),H990,#N/A)</f>
        <v>#N/A</v>
      </c>
      <c r="AF990">
        <f t="shared" si="16"/>
        <v>4</v>
      </c>
      <c r="AG990" t="e">
        <f t="array" ref="AG990">IF(OR(I990&lt;O$3,I990&gt;O$7),I990,#N/A)</f>
        <v>#N/A</v>
      </c>
    </row>
    <row r="991" spans="5:33" x14ac:dyDescent="0.25">
      <c r="E991">
        <v>988</v>
      </c>
      <c r="F991">
        <v>12.181818181818182</v>
      </c>
      <c r="G991">
        <v>12.1</v>
      </c>
      <c r="H991">
        <v>13.6</v>
      </c>
      <c r="I991">
        <v>13.99</v>
      </c>
      <c r="Z991">
        <v>1</v>
      </c>
      <c r="AA991" t="e">
        <f t="array" ref="AA991">IF(OR(F991&lt;L$3,F991&gt;L$7),F991,#N/A)</f>
        <v>#N/A</v>
      </c>
      <c r="AB991">
        <f t="shared" si="16"/>
        <v>2</v>
      </c>
      <c r="AC991" t="e">
        <f t="array" ref="AC991">IF(OR(G991&lt;M$3,G991&gt;M$7),G991,#N/A)</f>
        <v>#N/A</v>
      </c>
      <c r="AD991">
        <f t="shared" si="16"/>
        <v>3</v>
      </c>
      <c r="AE991" t="e">
        <f t="array" ref="AE991">IF(OR(H991&lt;N$3,H991&gt;N$7),H991,#N/A)</f>
        <v>#N/A</v>
      </c>
      <c r="AF991">
        <f t="shared" si="16"/>
        <v>4</v>
      </c>
      <c r="AG991" t="e">
        <f t="array" ref="AG991">IF(OR(I991&lt;O$3,I991&gt;O$7),I991,#N/A)</f>
        <v>#N/A</v>
      </c>
    </row>
    <row r="992" spans="5:33" x14ac:dyDescent="0.25">
      <c r="E992">
        <v>989</v>
      </c>
      <c r="F992">
        <v>14.545454545454545</v>
      </c>
      <c r="G992">
        <v>14.8</v>
      </c>
      <c r="H992">
        <v>13.9</v>
      </c>
      <c r="I992">
        <v>13.2</v>
      </c>
      <c r="Z992">
        <v>1</v>
      </c>
      <c r="AA992" t="e">
        <f t="array" ref="AA992">IF(OR(F992&lt;L$3,F992&gt;L$7),F992,#N/A)</f>
        <v>#N/A</v>
      </c>
      <c r="AB992">
        <f t="shared" si="16"/>
        <v>2</v>
      </c>
      <c r="AC992" t="e">
        <f t="array" ref="AC992">IF(OR(G992&lt;M$3,G992&gt;M$7),G992,#N/A)</f>
        <v>#N/A</v>
      </c>
      <c r="AD992">
        <f t="shared" si="16"/>
        <v>3</v>
      </c>
      <c r="AE992" t="e">
        <f t="array" ref="AE992">IF(OR(H992&lt;N$3,H992&gt;N$7),H992,#N/A)</f>
        <v>#N/A</v>
      </c>
      <c r="AF992">
        <f t="shared" si="16"/>
        <v>4</v>
      </c>
      <c r="AG992" t="e">
        <f t="array" ref="AG992">IF(OR(I992&lt;O$3,I992&gt;O$7),I992,#N/A)</f>
        <v>#N/A</v>
      </c>
    </row>
    <row r="993" spans="5:33" x14ac:dyDescent="0.25">
      <c r="E993">
        <v>990</v>
      </c>
      <c r="F993">
        <v>11.636363636363637</v>
      </c>
      <c r="G993">
        <v>11.7</v>
      </c>
      <c r="H993">
        <v>14.14</v>
      </c>
      <c r="I993">
        <v>13.5</v>
      </c>
      <c r="Z993">
        <v>1</v>
      </c>
      <c r="AA993" t="e">
        <f t="array" ref="AA993">IF(OR(F993&lt;L$3,F993&gt;L$7),F993,#N/A)</f>
        <v>#N/A</v>
      </c>
      <c r="AB993">
        <f t="shared" si="16"/>
        <v>2</v>
      </c>
      <c r="AC993" t="e">
        <f t="array" ref="AC993">IF(OR(G993&lt;M$3,G993&gt;M$7),G993,#N/A)</f>
        <v>#N/A</v>
      </c>
      <c r="AD993">
        <f t="shared" si="16"/>
        <v>3</v>
      </c>
      <c r="AE993" t="e">
        <f t="array" ref="AE993">IF(OR(H993&lt;N$3,H993&gt;N$7),H993,#N/A)</f>
        <v>#N/A</v>
      </c>
      <c r="AF993">
        <f t="shared" si="16"/>
        <v>4</v>
      </c>
      <c r="AG993" t="e">
        <f t="array" ref="AG993">IF(OR(I993&lt;O$3,I993&gt;O$7),I993,#N/A)</f>
        <v>#N/A</v>
      </c>
    </row>
    <row r="994" spans="5:33" x14ac:dyDescent="0.25">
      <c r="E994">
        <v>991</v>
      </c>
      <c r="F994">
        <v>16.181818181818183</v>
      </c>
      <c r="G994">
        <v>14.45</v>
      </c>
      <c r="H994">
        <v>12.94</v>
      </c>
      <c r="I994">
        <v>14.93</v>
      </c>
      <c r="Z994">
        <v>1</v>
      </c>
      <c r="AA994" t="e">
        <f t="array" ref="AA994">IF(OR(F994&lt;L$3,F994&gt;L$7),F994,#N/A)</f>
        <v>#N/A</v>
      </c>
      <c r="AB994">
        <f t="shared" si="16"/>
        <v>2</v>
      </c>
      <c r="AC994" t="e">
        <f t="array" ref="AC994">IF(OR(G994&lt;M$3,G994&gt;M$7),G994,#N/A)</f>
        <v>#N/A</v>
      </c>
      <c r="AD994">
        <f t="shared" si="16"/>
        <v>3</v>
      </c>
      <c r="AE994" t="e">
        <f t="array" ref="AE994">IF(OR(H994&lt;N$3,H994&gt;N$7),H994,#N/A)</f>
        <v>#N/A</v>
      </c>
      <c r="AF994">
        <f t="shared" si="16"/>
        <v>4</v>
      </c>
      <c r="AG994" t="e">
        <f t="array" ref="AG994">IF(OR(I994&lt;O$3,I994&gt;O$7),I994,#N/A)</f>
        <v>#N/A</v>
      </c>
    </row>
    <row r="995" spans="5:33" x14ac:dyDescent="0.25">
      <c r="E995">
        <v>992</v>
      </c>
      <c r="F995">
        <v>17.454545454545453</v>
      </c>
      <c r="G995">
        <v>14.7</v>
      </c>
      <c r="H995">
        <v>13.92</v>
      </c>
      <c r="I995">
        <v>13.99</v>
      </c>
      <c r="Z995">
        <v>1</v>
      </c>
      <c r="AA995" t="e">
        <f t="array" ref="AA995">IF(OR(F995&lt;L$3,F995&gt;L$7),F995,#N/A)</f>
        <v>#N/A</v>
      </c>
      <c r="AB995">
        <f t="shared" si="16"/>
        <v>2</v>
      </c>
      <c r="AC995" t="e">
        <f t="array" ref="AC995">IF(OR(G995&lt;M$3,G995&gt;M$7),G995,#N/A)</f>
        <v>#N/A</v>
      </c>
      <c r="AD995">
        <f t="shared" si="16"/>
        <v>3</v>
      </c>
      <c r="AE995" t="e">
        <f t="array" ref="AE995">IF(OR(H995&lt;N$3,H995&gt;N$7),H995,#N/A)</f>
        <v>#N/A</v>
      </c>
      <c r="AF995">
        <f t="shared" si="16"/>
        <v>4</v>
      </c>
      <c r="AG995" t="e">
        <f t="array" ref="AG995">IF(OR(I995&lt;O$3,I995&gt;O$7),I995,#N/A)</f>
        <v>#N/A</v>
      </c>
    </row>
    <row r="996" spans="5:33" x14ac:dyDescent="0.25">
      <c r="E996">
        <v>993</v>
      </c>
      <c r="F996">
        <v>17.727272727272727</v>
      </c>
      <c r="G996">
        <v>18.149999999999999</v>
      </c>
      <c r="H996">
        <v>15.42</v>
      </c>
      <c r="I996">
        <v>14.95</v>
      </c>
      <c r="Z996">
        <v>1</v>
      </c>
      <c r="AA996" t="e">
        <f t="array" ref="AA996">IF(OR(F996&lt;L$3,F996&gt;L$7),F996,#N/A)</f>
        <v>#N/A</v>
      </c>
      <c r="AB996">
        <f t="shared" si="16"/>
        <v>2</v>
      </c>
      <c r="AC996" t="e">
        <f t="array" ref="AC996">IF(OR(G996&lt;M$3,G996&gt;M$7),G996,#N/A)</f>
        <v>#N/A</v>
      </c>
      <c r="AD996">
        <f t="shared" si="16"/>
        <v>3</v>
      </c>
      <c r="AE996" t="e">
        <f t="array" ref="AE996">IF(OR(H996&lt;N$3,H996&gt;N$7),H996,#N/A)</f>
        <v>#N/A</v>
      </c>
      <c r="AF996">
        <f t="shared" si="16"/>
        <v>4</v>
      </c>
      <c r="AG996" t="e">
        <f t="array" ref="AG996">IF(OR(I996&lt;O$3,I996&gt;O$7),I996,#N/A)</f>
        <v>#N/A</v>
      </c>
    </row>
    <row r="997" spans="5:33" x14ac:dyDescent="0.25">
      <c r="E997">
        <v>994</v>
      </c>
      <c r="F997">
        <v>13.181818181818182</v>
      </c>
      <c r="G997">
        <v>15.3</v>
      </c>
      <c r="H997">
        <v>15.16</v>
      </c>
      <c r="I997">
        <v>14.97</v>
      </c>
      <c r="Z997">
        <v>1</v>
      </c>
      <c r="AA997" t="e">
        <f t="array" ref="AA997">IF(OR(F997&lt;L$3,F997&gt;L$7),F997,#N/A)</f>
        <v>#N/A</v>
      </c>
      <c r="AB997">
        <f t="shared" si="16"/>
        <v>2</v>
      </c>
      <c r="AC997" t="e">
        <f t="array" ref="AC997">IF(OR(G997&lt;M$3,G997&gt;M$7),G997,#N/A)</f>
        <v>#N/A</v>
      </c>
      <c r="AD997">
        <f t="shared" si="16"/>
        <v>3</v>
      </c>
      <c r="AE997" t="e">
        <f t="array" ref="AE997">IF(OR(H997&lt;N$3,H997&gt;N$7),H997,#N/A)</f>
        <v>#N/A</v>
      </c>
      <c r="AF997">
        <f t="shared" si="16"/>
        <v>4</v>
      </c>
      <c r="AG997" t="e">
        <f t="array" ref="AG997">IF(OR(I997&lt;O$3,I997&gt;O$7),I997,#N/A)</f>
        <v>#N/A</v>
      </c>
    </row>
    <row r="998" spans="5:33" x14ac:dyDescent="0.25">
      <c r="E998">
        <v>995</v>
      </c>
      <c r="F998">
        <v>12.727272727272727</v>
      </c>
      <c r="G998">
        <v>14</v>
      </c>
      <c r="H998">
        <v>12.88</v>
      </c>
      <c r="I998">
        <v>13.14</v>
      </c>
      <c r="Z998">
        <v>1</v>
      </c>
      <c r="AA998" t="e">
        <f t="array" ref="AA998">IF(OR(F998&lt;L$3,F998&gt;L$7),F998,#N/A)</f>
        <v>#N/A</v>
      </c>
      <c r="AB998">
        <f t="shared" si="16"/>
        <v>2</v>
      </c>
      <c r="AC998" t="e">
        <f t="array" ref="AC998">IF(OR(G998&lt;M$3,G998&gt;M$7),G998,#N/A)</f>
        <v>#N/A</v>
      </c>
      <c r="AD998">
        <f t="shared" si="16"/>
        <v>3</v>
      </c>
      <c r="AE998" t="e">
        <f t="array" ref="AE998">IF(OR(H998&lt;N$3,H998&gt;N$7),H998,#N/A)</f>
        <v>#N/A</v>
      </c>
      <c r="AF998">
        <f t="shared" si="16"/>
        <v>4</v>
      </c>
      <c r="AG998" t="e">
        <f t="array" ref="AG998">IF(OR(I998&lt;O$3,I998&gt;O$7),I998,#N/A)</f>
        <v>#N/A</v>
      </c>
    </row>
    <row r="999" spans="5:33" x14ac:dyDescent="0.25">
      <c r="E999">
        <v>996</v>
      </c>
      <c r="F999">
        <v>13</v>
      </c>
      <c r="G999">
        <v>13</v>
      </c>
      <c r="H999">
        <v>12.26</v>
      </c>
      <c r="I999">
        <v>12.44</v>
      </c>
      <c r="Z999">
        <v>1</v>
      </c>
      <c r="AA999" t="e">
        <f t="array" ref="AA999">IF(OR(F999&lt;L$3,F999&gt;L$7),F999,#N/A)</f>
        <v>#N/A</v>
      </c>
      <c r="AB999">
        <f t="shared" si="16"/>
        <v>2</v>
      </c>
      <c r="AC999" t="e">
        <f t="array" ref="AC999">IF(OR(G999&lt;M$3,G999&gt;M$7),G999,#N/A)</f>
        <v>#N/A</v>
      </c>
      <c r="AD999">
        <f t="shared" si="16"/>
        <v>3</v>
      </c>
      <c r="AE999" t="e">
        <f t="array" ref="AE999">IF(OR(H999&lt;N$3,H999&gt;N$7),H999,#N/A)</f>
        <v>#N/A</v>
      </c>
      <c r="AF999">
        <f t="shared" si="16"/>
        <v>4</v>
      </c>
      <c r="AG999" t="e">
        <f t="array" ref="AG999">IF(OR(I999&lt;O$3,I999&gt;O$7),I999,#N/A)</f>
        <v>#N/A</v>
      </c>
    </row>
    <row r="1000" spans="5:33" x14ac:dyDescent="0.25">
      <c r="E1000">
        <v>997</v>
      </c>
      <c r="F1000">
        <v>16.09090909090909</v>
      </c>
      <c r="G1000">
        <v>13.1</v>
      </c>
      <c r="H1000">
        <v>12.9</v>
      </c>
      <c r="I1000">
        <v>13.84</v>
      </c>
      <c r="Z1000">
        <v>1</v>
      </c>
      <c r="AA1000" t="e">
        <f t="array" ref="AA1000">IF(OR(F1000&lt;L$3,F1000&gt;L$7),F1000,#N/A)</f>
        <v>#N/A</v>
      </c>
      <c r="AB1000">
        <f t="shared" si="16"/>
        <v>2</v>
      </c>
      <c r="AC1000" t="e">
        <f t="array" ref="AC1000">IF(OR(G1000&lt;M$3,G1000&gt;M$7),G1000,#N/A)</f>
        <v>#N/A</v>
      </c>
      <c r="AD1000">
        <f t="shared" si="16"/>
        <v>3</v>
      </c>
      <c r="AE1000" t="e">
        <f t="array" ref="AE1000">IF(OR(H1000&lt;N$3,H1000&gt;N$7),H1000,#N/A)</f>
        <v>#N/A</v>
      </c>
      <c r="AF1000">
        <f t="shared" si="16"/>
        <v>4</v>
      </c>
      <c r="AG1000" t="e">
        <f t="array" ref="AG1000">IF(OR(I1000&lt;O$3,I1000&gt;O$7),I1000,#N/A)</f>
        <v>#N/A</v>
      </c>
    </row>
    <row r="1001" spans="5:33" x14ac:dyDescent="0.25">
      <c r="E1001">
        <v>998</v>
      </c>
      <c r="F1001">
        <v>14.636363636363637</v>
      </c>
      <c r="G1001">
        <v>16.649999999999999</v>
      </c>
      <c r="H1001">
        <v>16.600000000000001</v>
      </c>
      <c r="I1001">
        <v>14.58</v>
      </c>
      <c r="Z1001">
        <v>1</v>
      </c>
      <c r="AA1001" t="e">
        <f t="array" ref="AA1001">IF(OR(F1001&lt;L$3,F1001&gt;L$7),F1001,#N/A)</f>
        <v>#N/A</v>
      </c>
      <c r="AB1001">
        <f t="shared" si="16"/>
        <v>2</v>
      </c>
      <c r="AC1001" t="e">
        <f t="array" ref="AC1001">IF(OR(G1001&lt;M$3,G1001&gt;M$7),G1001,#N/A)</f>
        <v>#N/A</v>
      </c>
      <c r="AD1001">
        <f t="shared" si="16"/>
        <v>3</v>
      </c>
      <c r="AE1001" t="e">
        <f t="array" ref="AE1001">IF(OR(H1001&lt;N$3,H1001&gt;N$7),H1001,#N/A)</f>
        <v>#N/A</v>
      </c>
      <c r="AF1001">
        <f t="shared" si="16"/>
        <v>4</v>
      </c>
      <c r="AG1001" t="e">
        <f t="array" ref="AG1001">IF(OR(I1001&lt;O$3,I1001&gt;O$7),I1001,#N/A)</f>
        <v>#N/A</v>
      </c>
    </row>
    <row r="1002" spans="5:33" x14ac:dyDescent="0.25">
      <c r="E1002">
        <v>999</v>
      </c>
      <c r="F1002">
        <v>12.818181818181818</v>
      </c>
      <c r="G1002">
        <v>13.45</v>
      </c>
      <c r="H1002">
        <v>12.68</v>
      </c>
      <c r="I1002">
        <v>13.65</v>
      </c>
      <c r="Z1002">
        <v>1</v>
      </c>
      <c r="AA1002" t="e">
        <f t="array" ref="AA1002">IF(OR(F1002&lt;L$3,F1002&gt;L$7),F1002,#N/A)</f>
        <v>#N/A</v>
      </c>
      <c r="AB1002">
        <f t="shared" si="16"/>
        <v>2</v>
      </c>
      <c r="AC1002" t="e">
        <f t="array" ref="AC1002">IF(OR(G1002&lt;M$3,G1002&gt;M$7),G1002,#N/A)</f>
        <v>#N/A</v>
      </c>
      <c r="AD1002">
        <f t="shared" si="16"/>
        <v>3</v>
      </c>
      <c r="AE1002" t="e">
        <f t="array" ref="AE1002">IF(OR(H1002&lt;N$3,H1002&gt;N$7),H1002,#N/A)</f>
        <v>#N/A</v>
      </c>
      <c r="AF1002">
        <f t="shared" si="16"/>
        <v>4</v>
      </c>
      <c r="AG1002" t="e">
        <f t="array" ref="AG1002">IF(OR(I1002&lt;O$3,I1002&gt;O$7),I1002,#N/A)</f>
        <v>#N/A</v>
      </c>
    </row>
    <row r="1003" spans="5:33" x14ac:dyDescent="0.25">
      <c r="E1003">
        <v>1000</v>
      </c>
      <c r="F1003">
        <v>19.272727272727273</v>
      </c>
      <c r="G1003">
        <v>15.85</v>
      </c>
      <c r="H1003">
        <v>14.88</v>
      </c>
      <c r="I1003">
        <v>13.75</v>
      </c>
      <c r="Z1003">
        <v>1</v>
      </c>
      <c r="AA1003" t="e">
        <f t="array" ref="AA1003">IF(OR(F1003&lt;L$3,F1003&gt;L$7),F1003,#N/A)</f>
        <v>#N/A</v>
      </c>
      <c r="AB1003">
        <f t="shared" si="16"/>
        <v>2</v>
      </c>
      <c r="AC1003" t="e">
        <f t="array" ref="AC1003">IF(OR(G1003&lt;M$3,G1003&gt;M$7),G1003,#N/A)</f>
        <v>#N/A</v>
      </c>
      <c r="AD1003">
        <f t="shared" si="16"/>
        <v>3</v>
      </c>
      <c r="AE1003" t="e">
        <f t="array" ref="AE1003">IF(OR(H1003&lt;N$3,H1003&gt;N$7),H1003,#N/A)</f>
        <v>#N/A</v>
      </c>
      <c r="AF1003">
        <f t="shared" si="16"/>
        <v>4</v>
      </c>
      <c r="AG1003" t="e">
        <f t="array" ref="AG1003">IF(OR(I1003&lt;O$3,I1003&gt;O$7),I1003,#N/A)</f>
        <v>#N/A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003"/>
  <sheetViews>
    <sheetView workbookViewId="0"/>
  </sheetViews>
  <sheetFormatPr defaultRowHeight="15" x14ac:dyDescent="0.25"/>
  <cols>
    <col min="2" max="3" width="2.5703125" customWidth="1"/>
    <col min="4" max="4" width="7.85546875" customWidth="1"/>
    <col min="5" max="7" width="3.5703125" customWidth="1"/>
  </cols>
  <sheetData>
    <row r="1" spans="1:55" x14ac:dyDescent="0.25">
      <c r="D1" t="s">
        <v>4</v>
      </c>
      <c r="E1" t="s">
        <v>24</v>
      </c>
      <c r="F1" t="s">
        <v>25</v>
      </c>
      <c r="G1" t="s">
        <v>26</v>
      </c>
      <c r="J1" t="s">
        <v>3</v>
      </c>
      <c r="M1" s="3" t="s">
        <v>6</v>
      </c>
      <c r="N1" s="4"/>
      <c r="O1" s="5" t="s">
        <v>7</v>
      </c>
      <c r="P1" s="6">
        <f>dados!AR5</f>
        <v>14.0275</v>
      </c>
      <c r="X1" t="s">
        <v>14</v>
      </c>
      <c r="AG1" t="s">
        <v>13</v>
      </c>
      <c r="AP1" s="3" t="s">
        <v>20</v>
      </c>
      <c r="AQ1" s="4"/>
      <c r="AR1" s="5" t="s">
        <v>7</v>
      </c>
      <c r="AS1" s="6">
        <f>dados!AR2</f>
        <v>9.9825783972125439</v>
      </c>
      <c r="AU1" s="3" t="s">
        <v>21</v>
      </c>
      <c r="AV1" s="4"/>
      <c r="AW1" s="5" t="s">
        <v>7</v>
      </c>
      <c r="AX1" s="6">
        <f>dados!AR3</f>
        <v>21.098591549295776</v>
      </c>
      <c r="AZ1" s="3" t="s">
        <v>22</v>
      </c>
      <c r="BA1" s="4"/>
      <c r="BB1" s="5" t="s">
        <v>7</v>
      </c>
      <c r="BC1" s="6">
        <f>dados!AR4</f>
        <v>29.714285714285715</v>
      </c>
    </row>
    <row r="2" spans="1:55" x14ac:dyDescent="0.25">
      <c r="A2">
        <v>1</v>
      </c>
      <c r="B2">
        <f ca="1">SMALL(dados!A$23:A$422,A2)</f>
        <v>5.1027568262385081E-4</v>
      </c>
      <c r="C2">
        <f ca="1">VLOOKUP(B2,dados!A$23:E$422,4,0)</f>
        <v>1</v>
      </c>
      <c r="D2">
        <f ca="1">VLOOKUP(B2,dados!A$23:E$422,5,0)</f>
        <v>9</v>
      </c>
      <c r="E2">
        <f ca="1">COUNTIF(C$2:C2,1)</f>
        <v>1</v>
      </c>
      <c r="F2">
        <f ca="1">COUNTIF(C$2:C2,2)</f>
        <v>0</v>
      </c>
      <c r="G2">
        <f ca="1">COUNTIF(C$2:C2,3)</f>
        <v>0</v>
      </c>
      <c r="I2">
        <v>1</v>
      </c>
      <c r="J2">
        <f>COUNTIF(dados!$A$1:$T$20,I2)</f>
        <v>287</v>
      </c>
      <c r="M2" s="7" t="s">
        <v>23</v>
      </c>
      <c r="N2" s="8" t="s">
        <v>15</v>
      </c>
      <c r="O2" s="8" t="s">
        <v>16</v>
      </c>
      <c r="P2" s="9" t="s">
        <v>27</v>
      </c>
      <c r="S2" t="str">
        <f>M2</f>
        <v>#11</v>
      </c>
      <c r="T2" t="str">
        <f>N2</f>
        <v>#20</v>
      </c>
      <c r="U2" t="str">
        <f>O2</f>
        <v>#50</v>
      </c>
      <c r="V2" t="str">
        <f>P2</f>
        <v>#100</v>
      </c>
      <c r="X2" t="str">
        <f>S2</f>
        <v>#11</v>
      </c>
      <c r="Z2" t="str">
        <f>T2</f>
        <v>#20</v>
      </c>
      <c r="AB2" t="str">
        <f>U2</f>
        <v>#50</v>
      </c>
      <c r="AD2" t="str">
        <f>V2</f>
        <v>#100</v>
      </c>
      <c r="AG2" t="str">
        <f>S2</f>
        <v>#11</v>
      </c>
      <c r="AI2" t="str">
        <f>T2</f>
        <v>#20</v>
      </c>
      <c r="AK2" t="str">
        <f>U2</f>
        <v>#50</v>
      </c>
      <c r="AM2" t="str">
        <f>V2</f>
        <v>#100</v>
      </c>
      <c r="AP2" s="7" t="s">
        <v>23</v>
      </c>
      <c r="AQ2" s="8" t="s">
        <v>15</v>
      </c>
      <c r="AR2" s="8" t="s">
        <v>16</v>
      </c>
      <c r="AS2" s="9" t="s">
        <v>27</v>
      </c>
      <c r="AU2" s="7" t="s">
        <v>23</v>
      </c>
      <c r="AV2" s="8" t="s">
        <v>15</v>
      </c>
      <c r="AW2" s="8" t="s">
        <v>16</v>
      </c>
      <c r="AX2" s="9" t="s">
        <v>27</v>
      </c>
      <c r="AZ2" s="7" t="s">
        <v>5</v>
      </c>
      <c r="BA2" s="8" t="s">
        <v>15</v>
      </c>
      <c r="BB2" s="8" t="s">
        <v>16</v>
      </c>
      <c r="BC2" s="9" t="s">
        <v>27</v>
      </c>
    </row>
    <row r="3" spans="1:55" x14ac:dyDescent="0.25">
      <c r="A3">
        <v>2</v>
      </c>
      <c r="B3">
        <f ca="1">SMALL(dados!A$23:A$422,A3)</f>
        <v>2.4449350312553131E-3</v>
      </c>
      <c r="C3">
        <f ca="1">VLOOKUP(B3,dados!A$23:E$422,4,0)</f>
        <v>1</v>
      </c>
      <c r="D3">
        <f ca="1">VLOOKUP(B3,dados!A$23:E$422,5,0)</f>
        <v>9</v>
      </c>
      <c r="E3">
        <f ca="1">COUNTIF(C$2:C3,1)</f>
        <v>2</v>
      </c>
      <c r="F3">
        <f ca="1">COUNTIF(C$2:C3,2)</f>
        <v>0</v>
      </c>
      <c r="G3">
        <f ca="1">COUNTIF(C$2:C3,3)</f>
        <v>0</v>
      </c>
      <c r="I3">
        <v>2</v>
      </c>
      <c r="J3">
        <f>COUNTIF(dados!$A$1:$T$20,I3)</f>
        <v>71</v>
      </c>
      <c r="M3">
        <f ca="1">(AP3*$J2+AU3*$J3+AZ3*$J4)/SUM($J2:$J4)</f>
        <v>13.797499999999999</v>
      </c>
      <c r="N3">
        <f ca="1">(AQ3*$J2+AV3*$J3+BA3*$J4)/SUM($J2:$J4)</f>
        <v>14.085000000000001</v>
      </c>
      <c r="O3">
        <f ca="1">(AR3*$J2+AW3*$J3+BB3*$J4)/SUM($J2:$J4)</f>
        <v>14.590472222222223</v>
      </c>
      <c r="P3">
        <f ca="1">(AS3*$J2+AX3*$J3+BC3*$J4)/SUM($J2:$J4)</f>
        <v>14.54790972222222</v>
      </c>
      <c r="R3" t="s">
        <v>8</v>
      </c>
      <c r="S3">
        <f t="array" ref="S3">MIN(IF(M4:M1003&gt;(S4-1.5*(S6-S4)),M4:M1003,S4))</f>
        <v>11.248749999999999</v>
      </c>
      <c r="T3">
        <f t="array" ref="T3">MIN(IF(N4:N1003&gt;(T4-1.5*(T6-T4)),N4:N1003,T4))</f>
        <v>12.19375</v>
      </c>
      <c r="U3">
        <f t="array" ref="U3">MIN(IF(O4:O1003&gt;(U4-1.5*(U6-U4)),O4:O1003,U4))</f>
        <v>12.609097222222221</v>
      </c>
      <c r="V3">
        <f t="array" ref="V3">MIN(IF(P4:P1003&gt;(V4-1.5*(V6-V4)),P4:P1003,V4))</f>
        <v>13.131840277777778</v>
      </c>
      <c r="X3">
        <v>0.75</v>
      </c>
      <c r="Y3">
        <f>S7</f>
        <v>16.953749999999999</v>
      </c>
      <c r="Z3">
        <f>X3+1</f>
        <v>1.75</v>
      </c>
      <c r="AA3">
        <f>T7</f>
        <v>15.90625</v>
      </c>
      <c r="AB3">
        <f>Z3+1</f>
        <v>2.75</v>
      </c>
      <c r="AC3">
        <f>U7</f>
        <v>15.309458333333334</v>
      </c>
      <c r="AD3">
        <f>AB3+1</f>
        <v>3.75</v>
      </c>
      <c r="AE3">
        <f>V7</f>
        <v>14.873909722222223</v>
      </c>
      <c r="AP3">
        <f ca="1">AVERAGEIFS(D:D,C:C,"1",E:E,CONCATENATE("&lt;=",J7))</f>
        <v>8.8571428571428577</v>
      </c>
      <c r="AQ3">
        <f ca="1">AVERAGEIFS(D:D,C:C,"1",E:E,CONCATENATE("&lt;=",J12))</f>
        <v>10</v>
      </c>
      <c r="AR3">
        <f ca="1">AVERAGEIFS(D:D,C:C,"1",E:E,CONCATENATE("&lt;=",J17))</f>
        <v>10.388888888888889</v>
      </c>
      <c r="AS3">
        <f ca="1">AVERAGEIFS(D:D,C:C,"1",E:E,CONCATENATE("&lt;=",J22))</f>
        <v>10.180555555555555</v>
      </c>
      <c r="AU3">
        <f ca="1">AVERAGEIFS(D:D,C:C,"2",F:F,CONCATENATE("&lt;=",J8))</f>
        <v>23</v>
      </c>
      <c r="AV3">
        <f ca="1">AVERAGEIFS(D:D,C:C,"2",F:F,CONCATENATE("&lt;=",J13))</f>
        <v>20</v>
      </c>
      <c r="AW3">
        <f ca="1">AVERAGEIFS(D:D,C:C,"2",F:F,CONCATENATE("&lt;=",J18))</f>
        <v>22.222222222222221</v>
      </c>
      <c r="AX3">
        <f ca="1">AVERAGEIFS(D:D,C:C,"2",F:F,CONCATENATE("&lt;=",J23))</f>
        <v>22.055555555555557</v>
      </c>
      <c r="AZ3">
        <f ca="1">AVERAGEIFS(D:D,C:C,"3",G:G,CONCATENATE("&lt;=",J9))</f>
        <v>32</v>
      </c>
      <c r="BA3">
        <f ca="1">AVERAGEIFS(D:D,C:C,"3",G:G,CONCATENATE("&lt;=",J14))</f>
        <v>32</v>
      </c>
      <c r="BB3">
        <f ca="1">AVERAGEIFS(D:D,C:C,"3",G:G,CONCATENATE("&lt;=",J19))</f>
        <v>30.4</v>
      </c>
      <c r="BC3">
        <f ca="1">AVERAGEIFS(D:D,C:C,"3",G:G,CONCATENATE("&lt;=",J24))</f>
        <v>31.7</v>
      </c>
    </row>
    <row r="4" spans="1:55" x14ac:dyDescent="0.25">
      <c r="A4">
        <v>3</v>
      </c>
      <c r="B4">
        <f ca="1">SMALL(dados!A$23:A$422,A4)</f>
        <v>4.0107504641352376E-3</v>
      </c>
      <c r="C4">
        <f ca="1">VLOOKUP(B4,dados!A$23:E$422,4,0)</f>
        <v>1</v>
      </c>
      <c r="D4">
        <f ca="1">VLOOKUP(B4,dados!A$23:E$422,5,0)</f>
        <v>6</v>
      </c>
      <c r="E4">
        <f ca="1">COUNTIF(C$2:C4,1)</f>
        <v>3</v>
      </c>
      <c r="F4">
        <f ca="1">COUNTIF(C$2:C4,2)</f>
        <v>0</v>
      </c>
      <c r="G4">
        <f ca="1">COUNTIF(C$2:C4,3)</f>
        <v>0</v>
      </c>
      <c r="I4">
        <v>3</v>
      </c>
      <c r="J4">
        <f>COUNTIF(dados!$A$1:$T$20,I4)</f>
        <v>42</v>
      </c>
      <c r="L4">
        <v>1</v>
      </c>
      <c r="M4">
        <v>14.717499999999999</v>
      </c>
      <c r="N4">
        <v>13.891249999999999</v>
      </c>
      <c r="O4">
        <v>14.524000000000001</v>
      </c>
      <c r="P4">
        <v>14.315729166666666</v>
      </c>
      <c r="R4" t="s">
        <v>9</v>
      </c>
      <c r="S4">
        <f>_xlfn.QUARTILE.INC(M4:M1003,1)</f>
        <v>13.299687500000001</v>
      </c>
      <c r="T4">
        <f>_xlfn.QUARTILE.INC(N4:N1003,1)</f>
        <v>13.55859375</v>
      </c>
      <c r="U4">
        <f>_xlfn.QUARTILE.INC(O4:O1003,1)</f>
        <v>13.651034722222221</v>
      </c>
      <c r="V4">
        <f>_xlfn.QUARTILE.INC(P4:P1003,1)</f>
        <v>13.78565451388889</v>
      </c>
      <c r="X4">
        <v>1</v>
      </c>
      <c r="Y4">
        <f>Y3</f>
        <v>16.953749999999999</v>
      </c>
      <c r="Z4">
        <f t="shared" ref="Z4:AD22" si="0">X4+1</f>
        <v>2</v>
      </c>
      <c r="AA4">
        <f>AA3</f>
        <v>15.90625</v>
      </c>
      <c r="AB4">
        <f t="shared" si="0"/>
        <v>3</v>
      </c>
      <c r="AC4">
        <f>AC3</f>
        <v>15.309458333333334</v>
      </c>
      <c r="AD4">
        <f t="shared" si="0"/>
        <v>4</v>
      </c>
      <c r="AE4">
        <f>AE3</f>
        <v>14.873909722222223</v>
      </c>
      <c r="AG4">
        <v>1</v>
      </c>
      <c r="AH4" t="e">
        <f t="shared" ref="AH4:AH67" si="1">IF(OR(M4&lt;S$3,M4&gt;S$7),M4,#N/A)</f>
        <v>#N/A</v>
      </c>
      <c r="AI4">
        <f>AG4+1</f>
        <v>2</v>
      </c>
      <c r="AJ4" t="e">
        <f t="shared" ref="AJ4:AJ67" si="2">IF(OR(N4&lt;T$3,N4&gt;T$7),N4,#N/A)</f>
        <v>#N/A</v>
      </c>
      <c r="AK4">
        <f>AI4+1</f>
        <v>3</v>
      </c>
      <c r="AL4" t="e">
        <f t="shared" ref="AL4:AL67" si="3">IF(OR(O4&lt;U$3,O4&gt;U$7),O4,#N/A)</f>
        <v>#N/A</v>
      </c>
      <c r="AM4">
        <f>AK4+1</f>
        <v>4</v>
      </c>
      <c r="AN4" t="e">
        <f t="shared" ref="AN4:AN67" si="4">IF(OR(P4&lt;V$3,P4&gt;V$7),P4,#N/A)</f>
        <v>#N/A</v>
      </c>
    </row>
    <row r="5" spans="1:55" x14ac:dyDescent="0.25">
      <c r="A5">
        <v>4</v>
      </c>
      <c r="B5">
        <f ca="1">SMALL(dados!A$23:A$422,A5)</f>
        <v>8.2381268001290309E-3</v>
      </c>
      <c r="C5">
        <f ca="1">VLOOKUP(B5,dados!A$23:E$422,4,0)</f>
        <v>1</v>
      </c>
      <c r="D5">
        <f ca="1">VLOOKUP(B5,dados!A$23:E$422,5,0)</f>
        <v>15</v>
      </c>
      <c r="E5">
        <f ca="1">COUNTIF(C$2:C5,1)</f>
        <v>4</v>
      </c>
      <c r="F5">
        <f ca="1">COUNTIF(C$2:C5,2)</f>
        <v>0</v>
      </c>
      <c r="G5">
        <f ca="1">COUNTIF(C$2:C5,3)</f>
        <v>0</v>
      </c>
      <c r="L5">
        <v>2</v>
      </c>
      <c r="M5">
        <v>13.06</v>
      </c>
      <c r="N5">
        <v>13.756875000000001</v>
      </c>
      <c r="O5">
        <v>13.635055555555555</v>
      </c>
      <c r="P5">
        <v>14.110090277777779</v>
      </c>
      <c r="R5" t="s">
        <v>10</v>
      </c>
      <c r="S5">
        <f>MEDIAN(M4:M1003)</f>
        <v>14.011875</v>
      </c>
      <c r="T5">
        <f>MEDIAN(N4:N1003)</f>
        <v>14.0296875</v>
      </c>
      <c r="U5">
        <f>MEDIAN(O4:O1003)</f>
        <v>14.037590277777777</v>
      </c>
      <c r="V5">
        <f>MEDIAN(P4:P1003)</f>
        <v>14.021572916666667</v>
      </c>
      <c r="X5">
        <v>1</v>
      </c>
      <c r="Y5">
        <f>S6</f>
        <v>14.798125000000001</v>
      </c>
      <c r="Z5">
        <f t="shared" si="0"/>
        <v>2</v>
      </c>
      <c r="AA5">
        <f>T6</f>
        <v>14.5034375</v>
      </c>
      <c r="AB5">
        <f t="shared" si="0"/>
        <v>3</v>
      </c>
      <c r="AC5">
        <f>U6</f>
        <v>14.363538194444445</v>
      </c>
      <c r="AD5">
        <f t="shared" si="0"/>
        <v>4</v>
      </c>
      <c r="AE5">
        <f>V6</f>
        <v>14.2440625</v>
      </c>
      <c r="AG5">
        <v>1</v>
      </c>
      <c r="AH5" t="e">
        <f t="shared" si="1"/>
        <v>#N/A</v>
      </c>
      <c r="AI5">
        <f t="shared" ref="AI5:AI68" si="5">AG5+1</f>
        <v>2</v>
      </c>
      <c r="AJ5" t="e">
        <f t="shared" si="2"/>
        <v>#N/A</v>
      </c>
      <c r="AK5">
        <f t="shared" ref="AK5:AK68" si="6">AI5+1</f>
        <v>3</v>
      </c>
      <c r="AL5" t="e">
        <f t="shared" si="3"/>
        <v>#N/A</v>
      </c>
      <c r="AM5">
        <f t="shared" ref="AM5:AM68" si="7">AK5+1</f>
        <v>4</v>
      </c>
      <c r="AN5" t="e">
        <f t="shared" si="4"/>
        <v>#N/A</v>
      </c>
    </row>
    <row r="6" spans="1:55" x14ac:dyDescent="0.25">
      <c r="A6">
        <v>5</v>
      </c>
      <c r="B6">
        <f ca="1">SMALL(dados!A$23:A$422,A6)</f>
        <v>9.2508416430395757E-3</v>
      </c>
      <c r="C6">
        <f ca="1">VLOOKUP(B6,dados!A$23:E$422,4,0)</f>
        <v>3</v>
      </c>
      <c r="D6">
        <f ca="1">VLOOKUP(B6,dados!A$23:E$422,5,0)</f>
        <v>28</v>
      </c>
      <c r="E6">
        <f ca="1">COUNTIF(C$2:C6,1)</f>
        <v>4</v>
      </c>
      <c r="F6">
        <f ca="1">COUNTIF(C$2:C6,2)</f>
        <v>0</v>
      </c>
      <c r="G6">
        <f ca="1">COUNTIF(C$2:C6,3)</f>
        <v>1</v>
      </c>
      <c r="J6" t="s">
        <v>23</v>
      </c>
      <c r="L6">
        <v>3</v>
      </c>
      <c r="M6">
        <v>13.18125</v>
      </c>
      <c r="N6">
        <v>13.376250000000001</v>
      </c>
      <c r="O6">
        <v>14.270930555555555</v>
      </c>
      <c r="P6">
        <v>14.019409722222221</v>
      </c>
      <c r="R6" t="s">
        <v>11</v>
      </c>
      <c r="S6">
        <f>_xlfn.QUARTILE.INC(M4:M1003,3)</f>
        <v>14.798125000000001</v>
      </c>
      <c r="T6">
        <f>_xlfn.QUARTILE.INC(N4:N1003,3)</f>
        <v>14.5034375</v>
      </c>
      <c r="U6">
        <f>_xlfn.QUARTILE.INC(O4:O1003,3)</f>
        <v>14.363538194444445</v>
      </c>
      <c r="V6">
        <f>_xlfn.QUARTILE.INC(P4:P1003,3)</f>
        <v>14.2440625</v>
      </c>
      <c r="X6">
        <v>0.75</v>
      </c>
      <c r="Y6">
        <f>Y5</f>
        <v>14.798125000000001</v>
      </c>
      <c r="Z6">
        <f t="shared" si="0"/>
        <v>1.75</v>
      </c>
      <c r="AA6">
        <f>AA5</f>
        <v>14.5034375</v>
      </c>
      <c r="AB6">
        <f t="shared" si="0"/>
        <v>2.75</v>
      </c>
      <c r="AC6">
        <f>AC5</f>
        <v>14.363538194444445</v>
      </c>
      <c r="AD6">
        <f t="shared" si="0"/>
        <v>3.75</v>
      </c>
      <c r="AE6">
        <f>AE5</f>
        <v>14.2440625</v>
      </c>
      <c r="AG6">
        <v>1</v>
      </c>
      <c r="AH6" t="e">
        <f t="shared" si="1"/>
        <v>#N/A</v>
      </c>
      <c r="AI6">
        <f t="shared" si="5"/>
        <v>2</v>
      </c>
      <c r="AJ6" t="e">
        <f t="shared" si="2"/>
        <v>#N/A</v>
      </c>
      <c r="AK6">
        <f t="shared" si="6"/>
        <v>3</v>
      </c>
      <c r="AL6" t="e">
        <f t="shared" si="3"/>
        <v>#N/A</v>
      </c>
      <c r="AM6">
        <f t="shared" si="7"/>
        <v>4</v>
      </c>
      <c r="AN6" t="e">
        <f t="shared" si="4"/>
        <v>#N/A</v>
      </c>
    </row>
    <row r="7" spans="1:55" x14ac:dyDescent="0.25">
      <c r="A7">
        <v>6</v>
      </c>
      <c r="B7">
        <f ca="1">SMALL(dados!A$23:A$422,A7)</f>
        <v>1.438782357087165E-2</v>
      </c>
      <c r="C7">
        <f ca="1">VLOOKUP(B7,dados!A$23:E$422,4,0)</f>
        <v>2</v>
      </c>
      <c r="D7">
        <f ca="1">VLOOKUP(B7,dados!A$23:E$422,5,0)</f>
        <v>26</v>
      </c>
      <c r="E7">
        <f ca="1">COUNTIF(C$2:C7,1)</f>
        <v>4</v>
      </c>
      <c r="F7">
        <f ca="1">COUNTIF(C$2:C7,2)</f>
        <v>1</v>
      </c>
      <c r="G7">
        <f ca="1">COUNTIF(C$2:C7,3)</f>
        <v>1</v>
      </c>
      <c r="I7">
        <v>1</v>
      </c>
      <c r="J7">
        <v>7</v>
      </c>
      <c r="L7">
        <v>4</v>
      </c>
      <c r="M7">
        <v>12.8925</v>
      </c>
      <c r="N7">
        <v>12.834375</v>
      </c>
      <c r="O7">
        <v>13.935791666666665</v>
      </c>
      <c r="P7">
        <v>13.636763888888886</v>
      </c>
      <c r="R7" t="s">
        <v>12</v>
      </c>
      <c r="S7">
        <f t="array" ref="S7">MAX(IF(M4:M1003&lt;(S6+1.5*(S6-S4)),M4:M1003,S6))</f>
        <v>16.953749999999999</v>
      </c>
      <c r="T7">
        <f t="array" ref="T7">MAX(IF(N4:N1003&lt;(T6+1.5*(T6-T4)),N4:N1003,T6))</f>
        <v>15.90625</v>
      </c>
      <c r="U7">
        <f t="array" ref="U7">MAX(IF(O4:O1003&lt;(U6+1.5*(U6-U4)),O4:O1003,U6))</f>
        <v>15.309458333333334</v>
      </c>
      <c r="V7">
        <f t="array" ref="V7">MAX(IF(P4:P1003&lt;(V6+1.5*(V6-V4)),P4:P1003,V6))</f>
        <v>14.873909722222223</v>
      </c>
      <c r="X7">
        <v>0.75</v>
      </c>
      <c r="Y7">
        <f>S5</f>
        <v>14.011875</v>
      </c>
      <c r="Z7">
        <f t="shared" si="0"/>
        <v>1.75</v>
      </c>
      <c r="AA7">
        <f>T5</f>
        <v>14.0296875</v>
      </c>
      <c r="AB7">
        <f t="shared" si="0"/>
        <v>2.75</v>
      </c>
      <c r="AC7">
        <f>U5</f>
        <v>14.037590277777777</v>
      </c>
      <c r="AD7">
        <f t="shared" si="0"/>
        <v>3.75</v>
      </c>
      <c r="AE7">
        <f>V5</f>
        <v>14.021572916666667</v>
      </c>
      <c r="AG7">
        <v>1</v>
      </c>
      <c r="AH7" t="e">
        <f t="shared" si="1"/>
        <v>#N/A</v>
      </c>
      <c r="AI7">
        <f t="shared" si="5"/>
        <v>2</v>
      </c>
      <c r="AJ7" t="e">
        <f t="shared" si="2"/>
        <v>#N/A</v>
      </c>
      <c r="AK7">
        <f t="shared" si="6"/>
        <v>3</v>
      </c>
      <c r="AL7" t="e">
        <f t="shared" si="3"/>
        <v>#N/A</v>
      </c>
      <c r="AM7">
        <f t="shared" si="7"/>
        <v>4</v>
      </c>
      <c r="AN7" t="e">
        <f t="shared" si="4"/>
        <v>#N/A</v>
      </c>
    </row>
    <row r="8" spans="1:55" x14ac:dyDescent="0.25">
      <c r="A8">
        <v>7</v>
      </c>
      <c r="B8">
        <f ca="1">SMALL(dados!A$23:A$422,A8)</f>
        <v>1.5141544265767526E-2</v>
      </c>
      <c r="C8">
        <f ca="1">VLOOKUP(B8,dados!A$23:E$422,4,0)</f>
        <v>1</v>
      </c>
      <c r="D8">
        <f ca="1">VLOOKUP(B8,dados!A$23:E$422,5,0)</f>
        <v>7</v>
      </c>
      <c r="E8">
        <f ca="1">COUNTIF(C$2:C8,1)</f>
        <v>5</v>
      </c>
      <c r="F8">
        <f ca="1">COUNTIF(C$2:C8,2)</f>
        <v>1</v>
      </c>
      <c r="G8">
        <f ca="1">COUNTIF(C$2:C8,3)</f>
        <v>1</v>
      </c>
      <c r="I8">
        <v>2</v>
      </c>
      <c r="J8">
        <v>2</v>
      </c>
      <c r="L8">
        <v>5</v>
      </c>
      <c r="M8">
        <v>15.22625</v>
      </c>
      <c r="N8">
        <v>14.2525</v>
      </c>
      <c r="O8">
        <v>13.950972222222221</v>
      </c>
      <c r="P8">
        <v>14.021291666666668</v>
      </c>
      <c r="X8">
        <v>1.25</v>
      </c>
      <c r="Y8">
        <f>Y7</f>
        <v>14.011875</v>
      </c>
      <c r="Z8">
        <f t="shared" si="0"/>
        <v>2.25</v>
      </c>
      <c r="AA8">
        <f>AA7</f>
        <v>14.0296875</v>
      </c>
      <c r="AB8">
        <f t="shared" si="0"/>
        <v>3.25</v>
      </c>
      <c r="AC8">
        <f>AC7</f>
        <v>14.037590277777777</v>
      </c>
      <c r="AD8">
        <f t="shared" si="0"/>
        <v>4.25</v>
      </c>
      <c r="AE8">
        <f>AE7</f>
        <v>14.021572916666667</v>
      </c>
      <c r="AG8">
        <v>1</v>
      </c>
      <c r="AH8" t="e">
        <f t="shared" si="1"/>
        <v>#N/A</v>
      </c>
      <c r="AI8">
        <f t="shared" si="5"/>
        <v>2</v>
      </c>
      <c r="AJ8" t="e">
        <f t="shared" si="2"/>
        <v>#N/A</v>
      </c>
      <c r="AK8">
        <f t="shared" si="6"/>
        <v>3</v>
      </c>
      <c r="AL8" t="e">
        <f t="shared" si="3"/>
        <v>#N/A</v>
      </c>
      <c r="AM8">
        <f t="shared" si="7"/>
        <v>4</v>
      </c>
      <c r="AN8" t="e">
        <f t="shared" si="4"/>
        <v>#N/A</v>
      </c>
    </row>
    <row r="9" spans="1:55" x14ac:dyDescent="0.25">
      <c r="A9">
        <v>8</v>
      </c>
      <c r="B9">
        <f ca="1">SMALL(dados!A$23:A$422,A9)</f>
        <v>1.6365066334816714E-2</v>
      </c>
      <c r="C9">
        <f ca="1">VLOOKUP(B9,dados!A$23:E$422,4,0)</f>
        <v>1</v>
      </c>
      <c r="D9">
        <f ca="1">VLOOKUP(B9,dados!A$23:E$422,5,0)</f>
        <v>11</v>
      </c>
      <c r="E9">
        <f ca="1">COUNTIF(C$2:C9,1)</f>
        <v>6</v>
      </c>
      <c r="F9">
        <f ca="1">COUNTIF(C$2:C9,2)</f>
        <v>1</v>
      </c>
      <c r="G9">
        <f ca="1">COUNTIF(C$2:C9,3)</f>
        <v>1</v>
      </c>
      <c r="I9">
        <v>3</v>
      </c>
      <c r="J9">
        <v>2</v>
      </c>
      <c r="L9">
        <v>6</v>
      </c>
      <c r="M9">
        <v>15.126250000000001</v>
      </c>
      <c r="N9">
        <v>14.05</v>
      </c>
      <c r="O9">
        <v>13.991013888888888</v>
      </c>
      <c r="P9">
        <v>14.52425</v>
      </c>
      <c r="X9">
        <v>1.25</v>
      </c>
      <c r="Y9">
        <f>S4</f>
        <v>13.299687500000001</v>
      </c>
      <c r="Z9">
        <f t="shared" si="0"/>
        <v>2.25</v>
      </c>
      <c r="AA9">
        <f>T4</f>
        <v>13.55859375</v>
      </c>
      <c r="AB9">
        <f t="shared" si="0"/>
        <v>3.25</v>
      </c>
      <c r="AC9">
        <f>U4</f>
        <v>13.651034722222221</v>
      </c>
      <c r="AD9">
        <f t="shared" si="0"/>
        <v>4.25</v>
      </c>
      <c r="AE9">
        <f>V4</f>
        <v>13.78565451388889</v>
      </c>
      <c r="AG9">
        <v>1</v>
      </c>
      <c r="AH9" t="e">
        <f t="shared" si="1"/>
        <v>#N/A</v>
      </c>
      <c r="AI9">
        <f t="shared" si="5"/>
        <v>2</v>
      </c>
      <c r="AJ9" t="e">
        <f t="shared" si="2"/>
        <v>#N/A</v>
      </c>
      <c r="AK9">
        <f t="shared" si="6"/>
        <v>3</v>
      </c>
      <c r="AL9" t="e">
        <f t="shared" si="3"/>
        <v>#N/A</v>
      </c>
      <c r="AM9">
        <f t="shared" si="7"/>
        <v>4</v>
      </c>
      <c r="AN9" t="e">
        <f t="shared" si="4"/>
        <v>#N/A</v>
      </c>
    </row>
    <row r="10" spans="1:55" x14ac:dyDescent="0.25">
      <c r="A10">
        <v>9</v>
      </c>
      <c r="B10">
        <f ca="1">SMALL(dados!A$23:A$422,A10)</f>
        <v>2.4876855188646352E-2</v>
      </c>
      <c r="C10">
        <f ca="1">VLOOKUP(B10,dados!A$23:E$422,4,0)</f>
        <v>1</v>
      </c>
      <c r="D10">
        <f ca="1">VLOOKUP(B10,dados!A$23:E$422,5,0)</f>
        <v>5</v>
      </c>
      <c r="E10">
        <f ca="1">COUNTIF(C$2:C10,1)</f>
        <v>7</v>
      </c>
      <c r="F10">
        <f ca="1">COUNTIF(C$2:C10,2)</f>
        <v>1</v>
      </c>
      <c r="G10">
        <f ca="1">COUNTIF(C$2:C10,3)</f>
        <v>1</v>
      </c>
      <c r="L10">
        <v>7</v>
      </c>
      <c r="M10">
        <v>14.647500000000001</v>
      </c>
      <c r="N10">
        <v>14.695625</v>
      </c>
      <c r="O10">
        <v>14.241083333333336</v>
      </c>
      <c r="P10">
        <v>14.325145833333336</v>
      </c>
      <c r="X10">
        <v>1</v>
      </c>
      <c r="Y10">
        <f>Y9</f>
        <v>13.299687500000001</v>
      </c>
      <c r="Z10">
        <f t="shared" si="0"/>
        <v>2</v>
      </c>
      <c r="AA10">
        <f>AA9</f>
        <v>13.55859375</v>
      </c>
      <c r="AB10">
        <f t="shared" si="0"/>
        <v>3</v>
      </c>
      <c r="AC10">
        <f>AC9</f>
        <v>13.651034722222221</v>
      </c>
      <c r="AD10">
        <f t="shared" si="0"/>
        <v>4</v>
      </c>
      <c r="AE10">
        <f>AE9</f>
        <v>13.78565451388889</v>
      </c>
      <c r="AG10">
        <v>1</v>
      </c>
      <c r="AH10" t="e">
        <f t="shared" si="1"/>
        <v>#N/A</v>
      </c>
      <c r="AI10">
        <f t="shared" si="5"/>
        <v>2</v>
      </c>
      <c r="AJ10" t="e">
        <f t="shared" si="2"/>
        <v>#N/A</v>
      </c>
      <c r="AK10">
        <f t="shared" si="6"/>
        <v>3</v>
      </c>
      <c r="AL10" t="e">
        <f t="shared" si="3"/>
        <v>#N/A</v>
      </c>
      <c r="AM10">
        <f t="shared" si="7"/>
        <v>4</v>
      </c>
      <c r="AN10" t="e">
        <f t="shared" si="4"/>
        <v>#N/A</v>
      </c>
    </row>
    <row r="11" spans="1:55" x14ac:dyDescent="0.25">
      <c r="A11">
        <v>10</v>
      </c>
      <c r="B11">
        <f ca="1">SMALL(dados!A$23:A$422,A11)</f>
        <v>2.8372084230214978E-2</v>
      </c>
      <c r="C11">
        <f ca="1">VLOOKUP(B11,dados!A$23:E$422,4,0)</f>
        <v>2</v>
      </c>
      <c r="D11">
        <f ca="1">VLOOKUP(B11,dados!A$23:E$422,5,0)</f>
        <v>20</v>
      </c>
      <c r="E11">
        <f ca="1">COUNTIF(C$2:C11,1)</f>
        <v>7</v>
      </c>
      <c r="F11">
        <f ca="1">COUNTIF(C$2:C11,2)</f>
        <v>2</v>
      </c>
      <c r="G11">
        <f ca="1">COUNTIF(C$2:C11,3)</f>
        <v>1</v>
      </c>
      <c r="J11" t="s">
        <v>15</v>
      </c>
      <c r="L11">
        <v>8</v>
      </c>
      <c r="M11">
        <v>14.81</v>
      </c>
      <c r="N11">
        <v>14.618124999999999</v>
      </c>
      <c r="O11">
        <v>15.151875</v>
      </c>
      <c r="P11">
        <v>14.164875</v>
      </c>
      <c r="X11">
        <v>1</v>
      </c>
      <c r="Y11">
        <f>S3</f>
        <v>11.248749999999999</v>
      </c>
      <c r="Z11">
        <f t="shared" si="0"/>
        <v>2</v>
      </c>
      <c r="AA11">
        <f>T3</f>
        <v>12.19375</v>
      </c>
      <c r="AB11">
        <f t="shared" si="0"/>
        <v>3</v>
      </c>
      <c r="AC11">
        <f>U3</f>
        <v>12.609097222222221</v>
      </c>
      <c r="AD11">
        <f t="shared" si="0"/>
        <v>4</v>
      </c>
      <c r="AE11">
        <f>V3</f>
        <v>13.131840277777778</v>
      </c>
      <c r="AG11">
        <v>1</v>
      </c>
      <c r="AH11" t="e">
        <f t="shared" si="1"/>
        <v>#N/A</v>
      </c>
      <c r="AI11">
        <f t="shared" si="5"/>
        <v>2</v>
      </c>
      <c r="AJ11" t="e">
        <f t="shared" si="2"/>
        <v>#N/A</v>
      </c>
      <c r="AK11">
        <f t="shared" si="6"/>
        <v>3</v>
      </c>
      <c r="AL11" t="e">
        <f t="shared" si="3"/>
        <v>#N/A</v>
      </c>
      <c r="AM11">
        <f t="shared" si="7"/>
        <v>4</v>
      </c>
      <c r="AN11" t="e">
        <f t="shared" si="4"/>
        <v>#N/A</v>
      </c>
    </row>
    <row r="12" spans="1:55" x14ac:dyDescent="0.25">
      <c r="A12">
        <v>11</v>
      </c>
      <c r="B12">
        <f ca="1">SMALL(dados!A$23:A$422,A12)</f>
        <v>3.0016192295491129E-2</v>
      </c>
      <c r="C12">
        <f ca="1">VLOOKUP(B12,dados!A$23:E$422,4,0)</f>
        <v>1</v>
      </c>
      <c r="D12">
        <f ca="1">VLOOKUP(B12,dados!A$23:E$422,5,0)</f>
        <v>10</v>
      </c>
      <c r="E12">
        <f ca="1">COUNTIF(C$2:C12,1)</f>
        <v>8</v>
      </c>
      <c r="F12">
        <f ca="1">COUNTIF(C$2:C12,2)</f>
        <v>2</v>
      </c>
      <c r="G12">
        <f ca="1">COUNTIF(C$2:C12,3)</f>
        <v>1</v>
      </c>
      <c r="I12">
        <v>1</v>
      </c>
      <c r="J12">
        <v>14</v>
      </c>
      <c r="L12">
        <v>9</v>
      </c>
      <c r="M12">
        <v>13.67375</v>
      </c>
      <c r="N12">
        <v>14.370625</v>
      </c>
      <c r="O12">
        <v>14.610166666666665</v>
      </c>
      <c r="P12">
        <v>14.642736111111113</v>
      </c>
      <c r="X12">
        <v>1.25</v>
      </c>
      <c r="Y12">
        <f>Y11</f>
        <v>11.248749999999999</v>
      </c>
      <c r="Z12">
        <f t="shared" si="0"/>
        <v>2.25</v>
      </c>
      <c r="AA12">
        <f>AA11</f>
        <v>12.19375</v>
      </c>
      <c r="AB12">
        <f t="shared" si="0"/>
        <v>3.25</v>
      </c>
      <c r="AC12">
        <f>AC11</f>
        <v>12.609097222222221</v>
      </c>
      <c r="AD12">
        <f t="shared" si="0"/>
        <v>4.25</v>
      </c>
      <c r="AE12">
        <f>AE11</f>
        <v>13.131840277777778</v>
      </c>
      <c r="AG12">
        <v>1</v>
      </c>
      <c r="AH12" t="e">
        <f t="shared" si="1"/>
        <v>#N/A</v>
      </c>
      <c r="AI12">
        <f t="shared" si="5"/>
        <v>2</v>
      </c>
      <c r="AJ12" t="e">
        <f t="shared" si="2"/>
        <v>#N/A</v>
      </c>
      <c r="AK12">
        <f t="shared" si="6"/>
        <v>3</v>
      </c>
      <c r="AL12" t="e">
        <f t="shared" si="3"/>
        <v>#N/A</v>
      </c>
      <c r="AM12">
        <f t="shared" si="7"/>
        <v>4</v>
      </c>
      <c r="AN12" t="e">
        <f t="shared" si="4"/>
        <v>#N/A</v>
      </c>
    </row>
    <row r="13" spans="1:55" x14ac:dyDescent="0.25">
      <c r="A13">
        <v>12</v>
      </c>
      <c r="B13">
        <f ca="1">SMALL(dados!A$23:A$422,A13)</f>
        <v>3.0558104913123274E-2</v>
      </c>
      <c r="C13">
        <f ca="1">VLOOKUP(B13,dados!A$23:E$422,4,0)</f>
        <v>1</v>
      </c>
      <c r="D13">
        <f ca="1">VLOOKUP(B13,dados!A$23:E$422,5,0)</f>
        <v>9</v>
      </c>
      <c r="E13">
        <f ca="1">COUNTIF(C$2:C13,1)</f>
        <v>9</v>
      </c>
      <c r="F13">
        <f ca="1">COUNTIF(C$2:C13,2)</f>
        <v>2</v>
      </c>
      <c r="G13">
        <f ca="1">COUNTIF(C$2:C13,3)</f>
        <v>1</v>
      </c>
      <c r="I13">
        <v>2</v>
      </c>
      <c r="J13">
        <v>4</v>
      </c>
      <c r="L13">
        <v>10</v>
      </c>
      <c r="M13">
        <v>15.168749999999999</v>
      </c>
      <c r="N13">
        <v>15.278124999999999</v>
      </c>
      <c r="O13">
        <v>14.465694444444443</v>
      </c>
      <c r="P13">
        <v>14.630645833333332</v>
      </c>
      <c r="X13">
        <v>0.75</v>
      </c>
      <c r="Y13">
        <f>Y11</f>
        <v>11.248749999999999</v>
      </c>
      <c r="Z13">
        <f t="shared" si="0"/>
        <v>1.75</v>
      </c>
      <c r="AA13">
        <f>AA11</f>
        <v>12.19375</v>
      </c>
      <c r="AB13">
        <f t="shared" si="0"/>
        <v>2.75</v>
      </c>
      <c r="AC13">
        <f>AC11</f>
        <v>12.609097222222221</v>
      </c>
      <c r="AD13">
        <f t="shared" si="0"/>
        <v>3.75</v>
      </c>
      <c r="AE13">
        <f>AE11</f>
        <v>13.131840277777778</v>
      </c>
      <c r="AG13">
        <v>1</v>
      </c>
      <c r="AH13" t="e">
        <f t="shared" si="1"/>
        <v>#N/A</v>
      </c>
      <c r="AI13">
        <f t="shared" si="5"/>
        <v>2</v>
      </c>
      <c r="AJ13" t="e">
        <f t="shared" si="2"/>
        <v>#N/A</v>
      </c>
      <c r="AK13">
        <f t="shared" si="6"/>
        <v>3</v>
      </c>
      <c r="AL13" t="e">
        <f t="shared" si="3"/>
        <v>#N/A</v>
      </c>
      <c r="AM13">
        <f t="shared" si="7"/>
        <v>4</v>
      </c>
      <c r="AN13" t="e">
        <f t="shared" si="4"/>
        <v>#N/A</v>
      </c>
    </row>
    <row r="14" spans="1:55" x14ac:dyDescent="0.25">
      <c r="A14">
        <v>13</v>
      </c>
      <c r="B14">
        <f ca="1">SMALL(dados!A$23:A$422,A14)</f>
        <v>3.2498108814583371E-2</v>
      </c>
      <c r="C14">
        <f ca="1">VLOOKUP(B14,dados!A$23:E$422,4,0)</f>
        <v>2</v>
      </c>
      <c r="D14">
        <f ca="1">VLOOKUP(B14,dados!A$23:E$422,5,0)</f>
        <v>13</v>
      </c>
      <c r="E14">
        <f ca="1">COUNTIF(C$2:C14,1)</f>
        <v>9</v>
      </c>
      <c r="F14">
        <f ca="1">COUNTIF(C$2:C14,2)</f>
        <v>3</v>
      </c>
      <c r="G14">
        <f ca="1">COUNTIF(C$2:C14,3)</f>
        <v>1</v>
      </c>
      <c r="I14">
        <v>3</v>
      </c>
      <c r="J14">
        <v>2</v>
      </c>
      <c r="L14">
        <v>11</v>
      </c>
      <c r="M14">
        <v>16.258749999999999</v>
      </c>
      <c r="N14">
        <v>14.342499999999999</v>
      </c>
      <c r="O14">
        <v>14.14302777777778</v>
      </c>
      <c r="P14">
        <v>14.022854166666667</v>
      </c>
      <c r="X14">
        <v>1</v>
      </c>
      <c r="Y14">
        <f>Y13</f>
        <v>11.248749999999999</v>
      </c>
      <c r="Z14">
        <f t="shared" si="0"/>
        <v>2</v>
      </c>
      <c r="AA14">
        <f>AA13</f>
        <v>12.19375</v>
      </c>
      <c r="AB14">
        <f t="shared" si="0"/>
        <v>3</v>
      </c>
      <c r="AC14">
        <f>AC13</f>
        <v>12.609097222222221</v>
      </c>
      <c r="AD14">
        <f t="shared" si="0"/>
        <v>4</v>
      </c>
      <c r="AE14">
        <f>AE13</f>
        <v>13.131840277777778</v>
      </c>
      <c r="AG14">
        <v>1</v>
      </c>
      <c r="AH14" t="e">
        <f t="shared" si="1"/>
        <v>#N/A</v>
      </c>
      <c r="AI14">
        <f t="shared" si="5"/>
        <v>2</v>
      </c>
      <c r="AJ14" t="e">
        <f t="shared" si="2"/>
        <v>#N/A</v>
      </c>
      <c r="AK14">
        <f t="shared" si="6"/>
        <v>3</v>
      </c>
      <c r="AL14" t="e">
        <f t="shared" si="3"/>
        <v>#N/A</v>
      </c>
      <c r="AM14">
        <f t="shared" si="7"/>
        <v>4</v>
      </c>
      <c r="AN14" t="e">
        <f t="shared" si="4"/>
        <v>#N/A</v>
      </c>
    </row>
    <row r="15" spans="1:55" x14ac:dyDescent="0.25">
      <c r="A15">
        <v>14</v>
      </c>
      <c r="B15">
        <f ca="1">SMALL(dados!A$23:A$422,A15)</f>
        <v>3.344296675338021E-2</v>
      </c>
      <c r="C15">
        <f ca="1">VLOOKUP(B15,dados!A$23:E$422,4,0)</f>
        <v>3</v>
      </c>
      <c r="D15">
        <f ca="1">VLOOKUP(B15,dados!A$23:E$422,5,0)</f>
        <v>36</v>
      </c>
      <c r="E15">
        <f ca="1">COUNTIF(C$2:C15,1)</f>
        <v>9</v>
      </c>
      <c r="F15">
        <f ca="1">COUNTIF(C$2:C15,2)</f>
        <v>3</v>
      </c>
      <c r="G15">
        <f ca="1">COUNTIF(C$2:C15,3)</f>
        <v>2</v>
      </c>
      <c r="L15">
        <v>12</v>
      </c>
      <c r="M15">
        <v>13.817500000000001</v>
      </c>
      <c r="N15">
        <v>13.845000000000001</v>
      </c>
      <c r="O15">
        <v>13.971027777777779</v>
      </c>
      <c r="P15">
        <v>14.4315625</v>
      </c>
      <c r="X15">
        <v>1</v>
      </c>
      <c r="Y15">
        <f>Y9</f>
        <v>13.299687500000001</v>
      </c>
      <c r="Z15">
        <f t="shared" si="0"/>
        <v>2</v>
      </c>
      <c r="AA15">
        <f>AA9</f>
        <v>13.55859375</v>
      </c>
      <c r="AB15">
        <f t="shared" si="0"/>
        <v>3</v>
      </c>
      <c r="AC15">
        <f>AC9</f>
        <v>13.651034722222221</v>
      </c>
      <c r="AD15">
        <f t="shared" si="0"/>
        <v>4</v>
      </c>
      <c r="AE15">
        <f>AE9</f>
        <v>13.78565451388889</v>
      </c>
      <c r="AG15">
        <v>1</v>
      </c>
      <c r="AH15" t="e">
        <f t="shared" si="1"/>
        <v>#N/A</v>
      </c>
      <c r="AI15">
        <f t="shared" si="5"/>
        <v>2</v>
      </c>
      <c r="AJ15" t="e">
        <f t="shared" si="2"/>
        <v>#N/A</v>
      </c>
      <c r="AK15">
        <f t="shared" si="6"/>
        <v>3</v>
      </c>
      <c r="AL15" t="e">
        <f t="shared" si="3"/>
        <v>#N/A</v>
      </c>
      <c r="AM15">
        <f t="shared" si="7"/>
        <v>4</v>
      </c>
      <c r="AN15" t="e">
        <f t="shared" si="4"/>
        <v>#N/A</v>
      </c>
    </row>
    <row r="16" spans="1:55" x14ac:dyDescent="0.25">
      <c r="A16">
        <v>15</v>
      </c>
      <c r="B16">
        <f ca="1">SMALL(dados!A$23:A$422,A16)</f>
        <v>4.0481215974306539E-2</v>
      </c>
      <c r="C16">
        <f ca="1">VLOOKUP(B16,dados!A$23:E$422,4,0)</f>
        <v>1</v>
      </c>
      <c r="D16">
        <f ca="1">VLOOKUP(B16,dados!A$23:E$422,5,0)</f>
        <v>14</v>
      </c>
      <c r="E16">
        <f ca="1">COUNTIF(C$2:C16,1)</f>
        <v>10</v>
      </c>
      <c r="F16">
        <f ca="1">COUNTIF(C$2:C16,2)</f>
        <v>3</v>
      </c>
      <c r="G16">
        <f ca="1">COUNTIF(C$2:C16,3)</f>
        <v>2</v>
      </c>
      <c r="J16" t="s">
        <v>16</v>
      </c>
      <c r="L16">
        <v>13</v>
      </c>
      <c r="M16">
        <v>14.0875</v>
      </c>
      <c r="N16">
        <v>14.938124999999999</v>
      </c>
      <c r="O16">
        <v>13.980736111111112</v>
      </c>
      <c r="P16">
        <v>14.286972222222222</v>
      </c>
      <c r="X16">
        <v>0.75</v>
      </c>
      <c r="Y16">
        <f>Y15</f>
        <v>13.299687500000001</v>
      </c>
      <c r="Z16">
        <f t="shared" si="0"/>
        <v>1.75</v>
      </c>
      <c r="AA16">
        <f>AA15</f>
        <v>13.55859375</v>
      </c>
      <c r="AB16">
        <f t="shared" si="0"/>
        <v>2.75</v>
      </c>
      <c r="AC16">
        <f>AC15</f>
        <v>13.651034722222221</v>
      </c>
      <c r="AD16">
        <f t="shared" si="0"/>
        <v>3.75</v>
      </c>
      <c r="AE16">
        <f>AE15</f>
        <v>13.78565451388889</v>
      </c>
      <c r="AG16">
        <v>1</v>
      </c>
      <c r="AH16" t="e">
        <f t="shared" si="1"/>
        <v>#N/A</v>
      </c>
      <c r="AI16">
        <f t="shared" si="5"/>
        <v>2</v>
      </c>
      <c r="AJ16" t="e">
        <f t="shared" si="2"/>
        <v>#N/A</v>
      </c>
      <c r="AK16">
        <f t="shared" si="6"/>
        <v>3</v>
      </c>
      <c r="AL16" t="e">
        <f t="shared" si="3"/>
        <v>#N/A</v>
      </c>
      <c r="AM16">
        <f t="shared" si="7"/>
        <v>4</v>
      </c>
      <c r="AN16" t="e">
        <f t="shared" si="4"/>
        <v>#N/A</v>
      </c>
    </row>
    <row r="17" spans="1:40" x14ac:dyDescent="0.25">
      <c r="A17">
        <v>16</v>
      </c>
      <c r="B17">
        <f ca="1">SMALL(dados!A$23:A$422,A17)</f>
        <v>4.3259559378235335E-2</v>
      </c>
      <c r="C17">
        <f ca="1">VLOOKUP(B17,dados!A$23:E$422,4,0)</f>
        <v>2</v>
      </c>
      <c r="D17">
        <f ca="1">VLOOKUP(B17,dados!A$23:E$422,5,0)</f>
        <v>21</v>
      </c>
      <c r="E17">
        <f ca="1">COUNTIF(C$2:C17,1)</f>
        <v>10</v>
      </c>
      <c r="F17">
        <f ca="1">COUNTIF(C$2:C17,2)</f>
        <v>4</v>
      </c>
      <c r="G17">
        <f ca="1">COUNTIF(C$2:C17,3)</f>
        <v>2</v>
      </c>
      <c r="I17">
        <v>1</v>
      </c>
      <c r="J17">
        <v>36</v>
      </c>
      <c r="L17">
        <v>14</v>
      </c>
      <c r="M17">
        <v>14.456250000000001</v>
      </c>
      <c r="N17">
        <v>14.008749999999999</v>
      </c>
      <c r="O17">
        <v>13.426180555555556</v>
      </c>
      <c r="P17">
        <v>13.714701388888887</v>
      </c>
      <c r="X17">
        <v>0.75</v>
      </c>
      <c r="Y17">
        <f>Y7</f>
        <v>14.011875</v>
      </c>
      <c r="Z17">
        <f t="shared" si="0"/>
        <v>1.75</v>
      </c>
      <c r="AA17">
        <f>AA7</f>
        <v>14.0296875</v>
      </c>
      <c r="AB17">
        <f t="shared" si="0"/>
        <v>2.75</v>
      </c>
      <c r="AC17">
        <f>AC7</f>
        <v>14.037590277777777</v>
      </c>
      <c r="AD17">
        <f t="shared" si="0"/>
        <v>3.75</v>
      </c>
      <c r="AE17">
        <f>AE7</f>
        <v>14.021572916666667</v>
      </c>
      <c r="AG17">
        <v>1</v>
      </c>
      <c r="AH17" t="e">
        <f t="shared" si="1"/>
        <v>#N/A</v>
      </c>
      <c r="AI17">
        <f t="shared" si="5"/>
        <v>2</v>
      </c>
      <c r="AJ17" t="e">
        <f t="shared" si="2"/>
        <v>#N/A</v>
      </c>
      <c r="AK17">
        <f t="shared" si="6"/>
        <v>3</v>
      </c>
      <c r="AL17" t="e">
        <f t="shared" si="3"/>
        <v>#N/A</v>
      </c>
      <c r="AM17">
        <f t="shared" si="7"/>
        <v>4</v>
      </c>
      <c r="AN17" t="e">
        <f t="shared" si="4"/>
        <v>#N/A</v>
      </c>
    </row>
    <row r="18" spans="1:40" x14ac:dyDescent="0.25">
      <c r="A18">
        <v>17</v>
      </c>
      <c r="B18">
        <f ca="1">SMALL(dados!A$23:A$422,A18)</f>
        <v>4.329939580710207E-2</v>
      </c>
      <c r="C18">
        <f ca="1">VLOOKUP(B18,dados!A$23:E$422,4,0)</f>
        <v>3</v>
      </c>
      <c r="D18">
        <f ca="1">VLOOKUP(B18,dados!A$23:E$422,5,0)</f>
        <v>20</v>
      </c>
      <c r="E18">
        <f ca="1">COUNTIF(C$2:C18,1)</f>
        <v>10</v>
      </c>
      <c r="F18">
        <f ca="1">COUNTIF(C$2:C18,2)</f>
        <v>4</v>
      </c>
      <c r="G18">
        <f ca="1">COUNTIF(C$2:C18,3)</f>
        <v>3</v>
      </c>
      <c r="I18">
        <v>2</v>
      </c>
      <c r="J18">
        <v>9</v>
      </c>
      <c r="L18">
        <v>15</v>
      </c>
      <c r="M18">
        <v>14.86</v>
      </c>
      <c r="N18">
        <v>14.811875000000001</v>
      </c>
      <c r="O18">
        <v>14.298180555555557</v>
      </c>
      <c r="P18">
        <v>14.327506944444444</v>
      </c>
      <c r="X18">
        <v>1.25</v>
      </c>
      <c r="Y18">
        <f>Y17</f>
        <v>14.011875</v>
      </c>
      <c r="Z18">
        <f t="shared" si="0"/>
        <v>2.25</v>
      </c>
      <c r="AA18">
        <f>AA17</f>
        <v>14.0296875</v>
      </c>
      <c r="AB18">
        <f t="shared" si="0"/>
        <v>3.25</v>
      </c>
      <c r="AC18">
        <f>AC17</f>
        <v>14.037590277777777</v>
      </c>
      <c r="AD18">
        <f t="shared" si="0"/>
        <v>4.25</v>
      </c>
      <c r="AE18">
        <f>AE17</f>
        <v>14.021572916666667</v>
      </c>
      <c r="AG18">
        <v>1</v>
      </c>
      <c r="AH18" t="e">
        <f t="shared" si="1"/>
        <v>#N/A</v>
      </c>
      <c r="AI18">
        <f t="shared" si="5"/>
        <v>2</v>
      </c>
      <c r="AJ18" t="e">
        <f t="shared" si="2"/>
        <v>#N/A</v>
      </c>
      <c r="AK18">
        <f t="shared" si="6"/>
        <v>3</v>
      </c>
      <c r="AL18" t="e">
        <f t="shared" si="3"/>
        <v>#N/A</v>
      </c>
      <c r="AM18">
        <f t="shared" si="7"/>
        <v>4</v>
      </c>
      <c r="AN18" t="e">
        <f t="shared" si="4"/>
        <v>#N/A</v>
      </c>
    </row>
    <row r="19" spans="1:40" x14ac:dyDescent="0.25">
      <c r="A19">
        <v>18</v>
      </c>
      <c r="B19">
        <f ca="1">SMALL(dados!A$23:A$422,A19)</f>
        <v>4.711443708104579E-2</v>
      </c>
      <c r="C19">
        <f ca="1">VLOOKUP(B19,dados!A$23:E$422,4,0)</f>
        <v>1</v>
      </c>
      <c r="D19">
        <f ca="1">VLOOKUP(B19,dados!A$23:E$422,5,0)</f>
        <v>11</v>
      </c>
      <c r="E19">
        <f ca="1">COUNTIF(C$2:C19,1)</f>
        <v>11</v>
      </c>
      <c r="F19">
        <f ca="1">COUNTIF(C$2:C19,2)</f>
        <v>4</v>
      </c>
      <c r="G19">
        <f ca="1">COUNTIF(C$2:C19,3)</f>
        <v>3</v>
      </c>
      <c r="I19">
        <v>3</v>
      </c>
      <c r="J19">
        <v>5</v>
      </c>
      <c r="L19">
        <v>16</v>
      </c>
      <c r="M19">
        <v>14.317500000000001</v>
      </c>
      <c r="N19">
        <v>14.22875</v>
      </c>
      <c r="O19">
        <v>14.419055555555556</v>
      </c>
      <c r="P19">
        <v>14.304347222222223</v>
      </c>
      <c r="X19">
        <v>1.25</v>
      </c>
      <c r="Y19">
        <f>Y5</f>
        <v>14.798125000000001</v>
      </c>
      <c r="Z19">
        <f t="shared" si="0"/>
        <v>2.25</v>
      </c>
      <c r="AA19">
        <f>AA5</f>
        <v>14.5034375</v>
      </c>
      <c r="AB19">
        <f t="shared" si="0"/>
        <v>3.25</v>
      </c>
      <c r="AC19">
        <f>AC5</f>
        <v>14.363538194444445</v>
      </c>
      <c r="AD19">
        <f t="shared" si="0"/>
        <v>4.25</v>
      </c>
      <c r="AE19">
        <f>AE5</f>
        <v>14.2440625</v>
      </c>
      <c r="AG19">
        <v>1</v>
      </c>
      <c r="AH19" t="e">
        <f t="shared" si="1"/>
        <v>#N/A</v>
      </c>
      <c r="AI19">
        <f t="shared" si="5"/>
        <v>2</v>
      </c>
      <c r="AJ19" t="e">
        <f t="shared" si="2"/>
        <v>#N/A</v>
      </c>
      <c r="AK19">
        <f t="shared" si="6"/>
        <v>3</v>
      </c>
      <c r="AL19" t="e">
        <f t="shared" si="3"/>
        <v>#N/A</v>
      </c>
      <c r="AM19">
        <f t="shared" si="7"/>
        <v>4</v>
      </c>
      <c r="AN19" t="e">
        <f t="shared" si="4"/>
        <v>#N/A</v>
      </c>
    </row>
    <row r="20" spans="1:40" x14ac:dyDescent="0.25">
      <c r="A20">
        <v>19</v>
      </c>
      <c r="B20">
        <f ca="1">SMALL(dados!A$23:A$422,A20)</f>
        <v>4.8803967634105661E-2</v>
      </c>
      <c r="C20">
        <f ca="1">VLOOKUP(B20,dados!A$23:E$422,4,0)</f>
        <v>1</v>
      </c>
      <c r="D20">
        <f ca="1">VLOOKUP(B20,dados!A$23:E$422,5,0)</f>
        <v>15</v>
      </c>
      <c r="E20">
        <f ca="1">COUNTIF(C$2:C20,1)</f>
        <v>12</v>
      </c>
      <c r="F20">
        <f ca="1">COUNTIF(C$2:C20,2)</f>
        <v>4</v>
      </c>
      <c r="G20">
        <f ca="1">COUNTIF(C$2:C20,3)</f>
        <v>3</v>
      </c>
      <c r="L20">
        <v>17</v>
      </c>
      <c r="M20">
        <v>14.42375</v>
      </c>
      <c r="N20">
        <v>14.6525</v>
      </c>
      <c r="O20">
        <v>14.340194444444446</v>
      </c>
      <c r="P20">
        <v>14.029361111111111</v>
      </c>
      <c r="X20">
        <v>1</v>
      </c>
      <c r="Y20">
        <f>Y19</f>
        <v>14.798125000000001</v>
      </c>
      <c r="Z20">
        <f t="shared" si="0"/>
        <v>2</v>
      </c>
      <c r="AA20">
        <f>AA19</f>
        <v>14.5034375</v>
      </c>
      <c r="AB20">
        <f t="shared" si="0"/>
        <v>3</v>
      </c>
      <c r="AC20">
        <f>AC19</f>
        <v>14.363538194444445</v>
      </c>
      <c r="AD20">
        <f t="shared" si="0"/>
        <v>4</v>
      </c>
      <c r="AE20">
        <f>AE19</f>
        <v>14.2440625</v>
      </c>
      <c r="AG20">
        <v>1</v>
      </c>
      <c r="AH20" t="e">
        <f t="shared" si="1"/>
        <v>#N/A</v>
      </c>
      <c r="AI20">
        <f t="shared" si="5"/>
        <v>2</v>
      </c>
      <c r="AJ20" t="e">
        <f t="shared" si="2"/>
        <v>#N/A</v>
      </c>
      <c r="AK20">
        <f t="shared" si="6"/>
        <v>3</v>
      </c>
      <c r="AL20" t="e">
        <f t="shared" si="3"/>
        <v>#N/A</v>
      </c>
      <c r="AM20">
        <f t="shared" si="7"/>
        <v>4</v>
      </c>
      <c r="AN20" t="e">
        <f t="shared" si="4"/>
        <v>#N/A</v>
      </c>
    </row>
    <row r="21" spans="1:40" x14ac:dyDescent="0.25">
      <c r="A21">
        <v>20</v>
      </c>
      <c r="B21">
        <f ca="1">SMALL(dados!A$23:A$422,A21)</f>
        <v>4.9208211335303842E-2</v>
      </c>
      <c r="C21">
        <f ca="1">VLOOKUP(B21,dados!A$23:E$422,4,0)</f>
        <v>1</v>
      </c>
      <c r="D21">
        <f ca="1">VLOOKUP(B21,dados!A$23:E$422,5,0)</f>
        <v>5</v>
      </c>
      <c r="E21">
        <f ca="1">COUNTIF(C$2:C21,1)</f>
        <v>13</v>
      </c>
      <c r="F21">
        <f ca="1">COUNTIF(C$2:C21,2)</f>
        <v>4</v>
      </c>
      <c r="G21">
        <f ca="1">COUNTIF(C$2:C21,3)</f>
        <v>3</v>
      </c>
      <c r="J21" t="s">
        <v>27</v>
      </c>
      <c r="L21">
        <v>18</v>
      </c>
      <c r="M21">
        <v>13.741250000000001</v>
      </c>
      <c r="N21">
        <v>13.914999999999999</v>
      </c>
      <c r="O21">
        <v>14.514819444444443</v>
      </c>
      <c r="P21">
        <v>13.932354166666666</v>
      </c>
      <c r="X21">
        <v>1</v>
      </c>
      <c r="Y21">
        <f>Y3</f>
        <v>16.953749999999999</v>
      </c>
      <c r="Z21">
        <f t="shared" si="0"/>
        <v>2</v>
      </c>
      <c r="AA21">
        <f>AA3</f>
        <v>15.90625</v>
      </c>
      <c r="AB21">
        <f t="shared" si="0"/>
        <v>3</v>
      </c>
      <c r="AC21">
        <f>AC3</f>
        <v>15.309458333333334</v>
      </c>
      <c r="AD21">
        <f t="shared" si="0"/>
        <v>4</v>
      </c>
      <c r="AE21">
        <f>AE3</f>
        <v>14.873909722222223</v>
      </c>
      <c r="AG21">
        <v>1</v>
      </c>
      <c r="AH21" t="e">
        <f t="shared" si="1"/>
        <v>#N/A</v>
      </c>
      <c r="AI21">
        <f t="shared" si="5"/>
        <v>2</v>
      </c>
      <c r="AJ21" t="e">
        <f t="shared" si="2"/>
        <v>#N/A</v>
      </c>
      <c r="AK21">
        <f t="shared" si="6"/>
        <v>3</v>
      </c>
      <c r="AL21" t="e">
        <f t="shared" si="3"/>
        <v>#N/A</v>
      </c>
      <c r="AM21">
        <f t="shared" si="7"/>
        <v>4</v>
      </c>
      <c r="AN21" t="e">
        <f t="shared" si="4"/>
        <v>#N/A</v>
      </c>
    </row>
    <row r="22" spans="1:40" x14ac:dyDescent="0.25">
      <c r="A22">
        <v>21</v>
      </c>
      <c r="B22">
        <f ca="1">SMALL(dados!A$23:A$422,A22)</f>
        <v>5.6803862496040636E-2</v>
      </c>
      <c r="C22">
        <f ca="1">VLOOKUP(B22,dados!A$23:E$422,4,0)</f>
        <v>2</v>
      </c>
      <c r="D22">
        <f ca="1">VLOOKUP(B22,dados!A$23:E$422,5,0)</f>
        <v>17</v>
      </c>
      <c r="E22">
        <f ca="1">COUNTIF(C$2:C22,1)</f>
        <v>13</v>
      </c>
      <c r="F22">
        <f ca="1">COUNTIF(C$2:C22,2)</f>
        <v>5</v>
      </c>
      <c r="G22">
        <f ca="1">COUNTIF(C$2:C22,3)</f>
        <v>3</v>
      </c>
      <c r="I22">
        <v>1</v>
      </c>
      <c r="J22">
        <v>72</v>
      </c>
      <c r="L22">
        <v>19</v>
      </c>
      <c r="M22">
        <v>14.522500000000001</v>
      </c>
      <c r="N22">
        <v>14.365625</v>
      </c>
      <c r="O22">
        <v>14.717569444444443</v>
      </c>
      <c r="P22">
        <v>14.563604166666666</v>
      </c>
      <c r="X22">
        <v>1.25</v>
      </c>
      <c r="Y22">
        <f>Y3</f>
        <v>16.953749999999999</v>
      </c>
      <c r="Z22">
        <f t="shared" si="0"/>
        <v>2.25</v>
      </c>
      <c r="AA22">
        <f>AA3</f>
        <v>15.90625</v>
      </c>
      <c r="AB22">
        <f t="shared" si="0"/>
        <v>3.25</v>
      </c>
      <c r="AC22">
        <f>AC3</f>
        <v>15.309458333333334</v>
      </c>
      <c r="AD22">
        <f t="shared" si="0"/>
        <v>4.25</v>
      </c>
      <c r="AE22">
        <f>AE3</f>
        <v>14.873909722222223</v>
      </c>
      <c r="AG22">
        <v>1</v>
      </c>
      <c r="AH22" t="e">
        <f t="shared" si="1"/>
        <v>#N/A</v>
      </c>
      <c r="AI22">
        <f t="shared" si="5"/>
        <v>2</v>
      </c>
      <c r="AJ22" t="e">
        <f t="shared" si="2"/>
        <v>#N/A</v>
      </c>
      <c r="AK22">
        <f t="shared" si="6"/>
        <v>3</v>
      </c>
      <c r="AL22" t="e">
        <f t="shared" si="3"/>
        <v>#N/A</v>
      </c>
      <c r="AM22">
        <f t="shared" si="7"/>
        <v>4</v>
      </c>
      <c r="AN22" t="e">
        <f t="shared" si="4"/>
        <v>#N/A</v>
      </c>
    </row>
    <row r="23" spans="1:40" x14ac:dyDescent="0.25">
      <c r="A23">
        <v>22</v>
      </c>
      <c r="B23">
        <f ca="1">SMALL(dados!A$23:A$422,A23)</f>
        <v>6.09724811828396E-2</v>
      </c>
      <c r="C23">
        <f ca="1">VLOOKUP(B23,dados!A$23:E$422,4,0)</f>
        <v>3</v>
      </c>
      <c r="D23">
        <f ca="1">VLOOKUP(B23,dados!A$23:E$422,5,0)</f>
        <v>35</v>
      </c>
      <c r="E23">
        <f ca="1">COUNTIF(C$2:C23,1)</f>
        <v>13</v>
      </c>
      <c r="F23">
        <f ca="1">COUNTIF(C$2:C23,2)</f>
        <v>5</v>
      </c>
      <c r="G23">
        <f ca="1">COUNTIF(C$2:C23,3)</f>
        <v>4</v>
      </c>
      <c r="I23">
        <v>2</v>
      </c>
      <c r="J23">
        <v>18</v>
      </c>
      <c r="L23">
        <v>20</v>
      </c>
      <c r="M23">
        <v>13.95875</v>
      </c>
      <c r="N23">
        <v>14.303750000000001</v>
      </c>
      <c r="O23">
        <v>13.43884722222222</v>
      </c>
      <c r="P23">
        <v>13.838402777777778</v>
      </c>
      <c r="AG23">
        <v>1</v>
      </c>
      <c r="AH23" t="e">
        <f t="shared" si="1"/>
        <v>#N/A</v>
      </c>
      <c r="AI23">
        <f t="shared" si="5"/>
        <v>2</v>
      </c>
      <c r="AJ23" t="e">
        <f t="shared" si="2"/>
        <v>#N/A</v>
      </c>
      <c r="AK23">
        <f t="shared" si="6"/>
        <v>3</v>
      </c>
      <c r="AL23" t="e">
        <f t="shared" si="3"/>
        <v>#N/A</v>
      </c>
      <c r="AM23">
        <f t="shared" si="7"/>
        <v>4</v>
      </c>
      <c r="AN23" t="e">
        <f t="shared" si="4"/>
        <v>#N/A</v>
      </c>
    </row>
    <row r="24" spans="1:40" x14ac:dyDescent="0.25">
      <c r="A24">
        <v>23</v>
      </c>
      <c r="B24">
        <f ca="1">SMALL(dados!A$23:A$422,A24)</f>
        <v>6.6785324289067027E-2</v>
      </c>
      <c r="C24">
        <f ca="1">VLOOKUP(B24,dados!A$23:E$422,4,0)</f>
        <v>1</v>
      </c>
      <c r="D24">
        <f ca="1">VLOOKUP(B24,dados!A$23:E$422,5,0)</f>
        <v>14</v>
      </c>
      <c r="E24">
        <f ca="1">COUNTIF(C$2:C24,1)</f>
        <v>14</v>
      </c>
      <c r="F24">
        <f ca="1">COUNTIF(C$2:C24,2)</f>
        <v>5</v>
      </c>
      <c r="G24">
        <f ca="1">COUNTIF(C$2:C24,3)</f>
        <v>4</v>
      </c>
      <c r="I24">
        <v>3</v>
      </c>
      <c r="J24">
        <v>10</v>
      </c>
      <c r="L24">
        <v>21</v>
      </c>
      <c r="M24">
        <v>15.456250000000001</v>
      </c>
      <c r="N24">
        <v>15.797499999999999</v>
      </c>
      <c r="O24">
        <v>14.700013888888886</v>
      </c>
      <c r="P24">
        <v>14.140118055555556</v>
      </c>
      <c r="AG24">
        <v>1</v>
      </c>
      <c r="AH24" t="e">
        <f t="shared" si="1"/>
        <v>#N/A</v>
      </c>
      <c r="AI24">
        <f t="shared" si="5"/>
        <v>2</v>
      </c>
      <c r="AJ24" t="e">
        <f t="shared" si="2"/>
        <v>#N/A</v>
      </c>
      <c r="AK24">
        <f t="shared" si="6"/>
        <v>3</v>
      </c>
      <c r="AL24" t="e">
        <f t="shared" si="3"/>
        <v>#N/A</v>
      </c>
      <c r="AM24">
        <f t="shared" si="7"/>
        <v>4</v>
      </c>
      <c r="AN24" t="e">
        <f t="shared" si="4"/>
        <v>#N/A</v>
      </c>
    </row>
    <row r="25" spans="1:40" x14ac:dyDescent="0.25">
      <c r="A25">
        <v>24</v>
      </c>
      <c r="B25">
        <f ca="1">SMALL(dados!A$23:A$422,A25)</f>
        <v>6.6839327607306598E-2</v>
      </c>
      <c r="C25">
        <f ca="1">VLOOKUP(B25,dados!A$23:E$422,4,0)</f>
        <v>1</v>
      </c>
      <c r="D25">
        <f ca="1">VLOOKUP(B25,dados!A$23:E$422,5,0)</f>
        <v>16</v>
      </c>
      <c r="E25">
        <f ca="1">COUNTIF(C$2:C25,1)</f>
        <v>15</v>
      </c>
      <c r="F25">
        <f ca="1">COUNTIF(C$2:C25,2)</f>
        <v>5</v>
      </c>
      <c r="G25">
        <f ca="1">COUNTIF(C$2:C25,3)</f>
        <v>4</v>
      </c>
      <c r="L25">
        <v>22</v>
      </c>
      <c r="M25">
        <v>15.72</v>
      </c>
      <c r="N25">
        <v>14.115</v>
      </c>
      <c r="O25">
        <v>14.161305555555558</v>
      </c>
      <c r="P25">
        <v>13.837097222222221</v>
      </c>
      <c r="AG25">
        <v>1</v>
      </c>
      <c r="AH25" t="e">
        <f t="shared" si="1"/>
        <v>#N/A</v>
      </c>
      <c r="AI25">
        <f t="shared" si="5"/>
        <v>2</v>
      </c>
      <c r="AJ25" t="e">
        <f t="shared" si="2"/>
        <v>#N/A</v>
      </c>
      <c r="AK25">
        <f t="shared" si="6"/>
        <v>3</v>
      </c>
      <c r="AL25" t="e">
        <f t="shared" si="3"/>
        <v>#N/A</v>
      </c>
      <c r="AM25">
        <f t="shared" si="7"/>
        <v>4</v>
      </c>
      <c r="AN25" t="e">
        <f t="shared" si="4"/>
        <v>#N/A</v>
      </c>
    </row>
    <row r="26" spans="1:40" x14ac:dyDescent="0.25">
      <c r="A26">
        <v>25</v>
      </c>
      <c r="B26">
        <f ca="1">SMALL(dados!A$23:A$422,A26)</f>
        <v>6.7138792485729182E-2</v>
      </c>
      <c r="C26">
        <f ca="1">VLOOKUP(B26,dados!A$23:E$422,4,0)</f>
        <v>1</v>
      </c>
      <c r="D26">
        <f ca="1">VLOOKUP(B26,dados!A$23:E$422,5,0)</f>
        <v>13</v>
      </c>
      <c r="E26">
        <f ca="1">COUNTIF(C$2:C26,1)</f>
        <v>16</v>
      </c>
      <c r="F26">
        <f ca="1">COUNTIF(C$2:C26,2)</f>
        <v>5</v>
      </c>
      <c r="G26">
        <f ca="1">COUNTIF(C$2:C26,3)</f>
        <v>4</v>
      </c>
      <c r="L26">
        <v>23</v>
      </c>
      <c r="M26">
        <v>15.03</v>
      </c>
      <c r="N26">
        <v>14.97875</v>
      </c>
      <c r="O26">
        <v>14.293444444444445</v>
      </c>
      <c r="P26">
        <v>14.391319444444445</v>
      </c>
      <c r="AG26">
        <v>1</v>
      </c>
      <c r="AH26" t="e">
        <f t="shared" si="1"/>
        <v>#N/A</v>
      </c>
      <c r="AI26">
        <f t="shared" si="5"/>
        <v>2</v>
      </c>
      <c r="AJ26" t="e">
        <f t="shared" si="2"/>
        <v>#N/A</v>
      </c>
      <c r="AK26">
        <f t="shared" si="6"/>
        <v>3</v>
      </c>
      <c r="AL26" t="e">
        <f t="shared" si="3"/>
        <v>#N/A</v>
      </c>
      <c r="AM26">
        <f t="shared" si="7"/>
        <v>4</v>
      </c>
      <c r="AN26" t="e">
        <f t="shared" si="4"/>
        <v>#N/A</v>
      </c>
    </row>
    <row r="27" spans="1:40" x14ac:dyDescent="0.25">
      <c r="A27">
        <v>26</v>
      </c>
      <c r="B27">
        <f ca="1">SMALL(dados!A$23:A$422,A27)</f>
        <v>6.7823811135879319E-2</v>
      </c>
      <c r="C27">
        <f ca="1">VLOOKUP(B27,dados!A$23:E$422,4,0)</f>
        <v>1</v>
      </c>
      <c r="D27">
        <f ca="1">VLOOKUP(B27,dados!A$23:E$422,5,0)</f>
        <v>13</v>
      </c>
      <c r="E27">
        <f ca="1">COUNTIF(C$2:C27,1)</f>
        <v>17</v>
      </c>
      <c r="F27">
        <f ca="1">COUNTIF(C$2:C27,2)</f>
        <v>5</v>
      </c>
      <c r="G27">
        <f ca="1">COUNTIF(C$2:C27,3)</f>
        <v>4</v>
      </c>
      <c r="L27">
        <v>24</v>
      </c>
      <c r="M27">
        <v>13.935</v>
      </c>
      <c r="N27">
        <v>13.72625</v>
      </c>
      <c r="O27">
        <v>14.076763888888886</v>
      </c>
      <c r="P27">
        <v>14.371027777777778</v>
      </c>
      <c r="AG27">
        <v>1</v>
      </c>
      <c r="AH27" t="e">
        <f t="shared" si="1"/>
        <v>#N/A</v>
      </c>
      <c r="AI27">
        <f t="shared" si="5"/>
        <v>2</v>
      </c>
      <c r="AJ27" t="e">
        <f t="shared" si="2"/>
        <v>#N/A</v>
      </c>
      <c r="AK27">
        <f t="shared" si="6"/>
        <v>3</v>
      </c>
      <c r="AL27" t="e">
        <f t="shared" si="3"/>
        <v>#N/A</v>
      </c>
      <c r="AM27">
        <f t="shared" si="7"/>
        <v>4</v>
      </c>
      <c r="AN27" t="e">
        <f t="shared" si="4"/>
        <v>#N/A</v>
      </c>
    </row>
    <row r="28" spans="1:40" x14ac:dyDescent="0.25">
      <c r="A28">
        <v>27</v>
      </c>
      <c r="B28">
        <f ca="1">SMALL(dados!A$23:A$422,A28)</f>
        <v>6.8090290212815763E-2</v>
      </c>
      <c r="C28">
        <f ca="1">VLOOKUP(B28,dados!A$23:E$422,4,0)</f>
        <v>1</v>
      </c>
      <c r="D28">
        <f ca="1">VLOOKUP(B28,dados!A$23:E$422,5,0)</f>
        <v>14</v>
      </c>
      <c r="E28">
        <f ca="1">COUNTIF(C$2:C28,1)</f>
        <v>18</v>
      </c>
      <c r="F28">
        <f ca="1">COUNTIF(C$2:C28,2)</f>
        <v>5</v>
      </c>
      <c r="G28">
        <f ca="1">COUNTIF(C$2:C28,3)</f>
        <v>4</v>
      </c>
      <c r="L28">
        <v>25</v>
      </c>
      <c r="M28">
        <v>15.355</v>
      </c>
      <c r="N28">
        <v>14.163125000000001</v>
      </c>
      <c r="O28">
        <v>13.984861111111108</v>
      </c>
      <c r="P28">
        <v>14.128569444444443</v>
      </c>
      <c r="AG28">
        <v>1</v>
      </c>
      <c r="AH28" t="e">
        <f t="shared" si="1"/>
        <v>#N/A</v>
      </c>
      <c r="AI28">
        <f t="shared" si="5"/>
        <v>2</v>
      </c>
      <c r="AJ28" t="e">
        <f t="shared" si="2"/>
        <v>#N/A</v>
      </c>
      <c r="AK28">
        <f t="shared" si="6"/>
        <v>3</v>
      </c>
      <c r="AL28" t="e">
        <f t="shared" si="3"/>
        <v>#N/A</v>
      </c>
      <c r="AM28">
        <f t="shared" si="7"/>
        <v>4</v>
      </c>
      <c r="AN28" t="e">
        <f t="shared" si="4"/>
        <v>#N/A</v>
      </c>
    </row>
    <row r="29" spans="1:40" x14ac:dyDescent="0.25">
      <c r="A29">
        <v>28</v>
      </c>
      <c r="B29">
        <f ca="1">SMALL(dados!A$23:A$422,A29)</f>
        <v>6.9020493680385098E-2</v>
      </c>
      <c r="C29">
        <f ca="1">VLOOKUP(B29,dados!A$23:E$422,4,0)</f>
        <v>1</v>
      </c>
      <c r="D29">
        <f ca="1">VLOOKUP(B29,dados!A$23:E$422,5,0)</f>
        <v>9</v>
      </c>
      <c r="E29">
        <f ca="1">COUNTIF(C$2:C29,1)</f>
        <v>19</v>
      </c>
      <c r="F29">
        <f ca="1">COUNTIF(C$2:C29,2)</f>
        <v>5</v>
      </c>
      <c r="G29">
        <f ca="1">COUNTIF(C$2:C29,3)</f>
        <v>4</v>
      </c>
      <c r="L29">
        <v>26</v>
      </c>
      <c r="M29">
        <v>14.796250000000001</v>
      </c>
      <c r="N29">
        <v>14.420624999999999</v>
      </c>
      <c r="O29">
        <v>13.96211111111111</v>
      </c>
      <c r="P29">
        <v>13.464652777777779</v>
      </c>
      <c r="AG29">
        <v>1</v>
      </c>
      <c r="AH29" t="e">
        <f t="shared" si="1"/>
        <v>#N/A</v>
      </c>
      <c r="AI29">
        <f t="shared" si="5"/>
        <v>2</v>
      </c>
      <c r="AJ29" t="e">
        <f t="shared" si="2"/>
        <v>#N/A</v>
      </c>
      <c r="AK29">
        <f t="shared" si="6"/>
        <v>3</v>
      </c>
      <c r="AL29" t="e">
        <f t="shared" si="3"/>
        <v>#N/A</v>
      </c>
      <c r="AM29">
        <f t="shared" si="7"/>
        <v>4</v>
      </c>
      <c r="AN29" t="e">
        <f t="shared" si="4"/>
        <v>#N/A</v>
      </c>
    </row>
    <row r="30" spans="1:40" x14ac:dyDescent="0.25">
      <c r="A30">
        <v>29</v>
      </c>
      <c r="B30">
        <f ca="1">SMALL(dados!A$23:A$422,A30)</f>
        <v>7.1655917376807099E-2</v>
      </c>
      <c r="C30">
        <f ca="1">VLOOKUP(B30,dados!A$23:E$422,4,0)</f>
        <v>1</v>
      </c>
      <c r="D30">
        <f ca="1">VLOOKUP(B30,dados!A$23:E$422,5,0)</f>
        <v>8</v>
      </c>
      <c r="E30">
        <f ca="1">COUNTIF(C$2:C30,1)</f>
        <v>20</v>
      </c>
      <c r="F30">
        <f ca="1">COUNTIF(C$2:C30,2)</f>
        <v>5</v>
      </c>
      <c r="G30">
        <f ca="1">COUNTIF(C$2:C30,3)</f>
        <v>4</v>
      </c>
      <c r="L30">
        <v>27</v>
      </c>
      <c r="M30">
        <v>14.092499999999999</v>
      </c>
      <c r="N30">
        <v>14.297499999999999</v>
      </c>
      <c r="O30">
        <v>14.501305555555557</v>
      </c>
      <c r="P30">
        <v>14.244854166666666</v>
      </c>
      <c r="AG30">
        <v>1</v>
      </c>
      <c r="AH30" t="e">
        <f t="shared" si="1"/>
        <v>#N/A</v>
      </c>
      <c r="AI30">
        <f t="shared" si="5"/>
        <v>2</v>
      </c>
      <c r="AJ30" t="e">
        <f t="shared" si="2"/>
        <v>#N/A</v>
      </c>
      <c r="AK30">
        <f t="shared" si="6"/>
        <v>3</v>
      </c>
      <c r="AL30" t="e">
        <f t="shared" si="3"/>
        <v>#N/A</v>
      </c>
      <c r="AM30">
        <f t="shared" si="7"/>
        <v>4</v>
      </c>
      <c r="AN30" t="e">
        <f t="shared" si="4"/>
        <v>#N/A</v>
      </c>
    </row>
    <row r="31" spans="1:40" x14ac:dyDescent="0.25">
      <c r="A31">
        <v>30</v>
      </c>
      <c r="B31">
        <f ca="1">SMALL(dados!A$23:A$422,A31)</f>
        <v>7.2901778148769303E-2</v>
      </c>
      <c r="C31">
        <f ca="1">VLOOKUP(B31,dados!A$23:E$422,4,0)</f>
        <v>1</v>
      </c>
      <c r="D31">
        <f ca="1">VLOOKUP(B31,dados!A$23:E$422,5,0)</f>
        <v>13</v>
      </c>
      <c r="E31">
        <f ca="1">COUNTIF(C$2:C31,1)</f>
        <v>21</v>
      </c>
      <c r="F31">
        <f ca="1">COUNTIF(C$2:C31,2)</f>
        <v>5</v>
      </c>
      <c r="G31">
        <f ca="1">COUNTIF(C$2:C31,3)</f>
        <v>4</v>
      </c>
      <c r="L31">
        <v>28</v>
      </c>
      <c r="M31">
        <v>13.637499999999999</v>
      </c>
      <c r="N31">
        <v>12.776249999999999</v>
      </c>
      <c r="O31">
        <v>13.639125</v>
      </c>
      <c r="P31">
        <v>13.757687499999999</v>
      </c>
      <c r="AG31">
        <v>1</v>
      </c>
      <c r="AH31" t="e">
        <f t="shared" si="1"/>
        <v>#N/A</v>
      </c>
      <c r="AI31">
        <f t="shared" si="5"/>
        <v>2</v>
      </c>
      <c r="AJ31" t="e">
        <f t="shared" si="2"/>
        <v>#N/A</v>
      </c>
      <c r="AK31">
        <f t="shared" si="6"/>
        <v>3</v>
      </c>
      <c r="AL31" t="e">
        <f t="shared" si="3"/>
        <v>#N/A</v>
      </c>
      <c r="AM31">
        <f t="shared" si="7"/>
        <v>4</v>
      </c>
      <c r="AN31" t="e">
        <f t="shared" si="4"/>
        <v>#N/A</v>
      </c>
    </row>
    <row r="32" spans="1:40" x14ac:dyDescent="0.25">
      <c r="A32">
        <v>31</v>
      </c>
      <c r="B32">
        <f ca="1">SMALL(dados!A$23:A$422,A32)</f>
        <v>7.5074353149789608E-2</v>
      </c>
      <c r="C32">
        <f ca="1">VLOOKUP(B32,dados!A$23:E$422,4,0)</f>
        <v>1</v>
      </c>
      <c r="D32">
        <f ca="1">VLOOKUP(B32,dados!A$23:E$422,5,0)</f>
        <v>9</v>
      </c>
      <c r="E32">
        <f ca="1">COUNTIF(C$2:C32,1)</f>
        <v>22</v>
      </c>
      <c r="F32">
        <f ca="1">COUNTIF(C$2:C32,2)</f>
        <v>5</v>
      </c>
      <c r="G32">
        <f ca="1">COUNTIF(C$2:C32,3)</f>
        <v>4</v>
      </c>
      <c r="L32">
        <v>29</v>
      </c>
      <c r="M32">
        <v>12.82625</v>
      </c>
      <c r="N32">
        <v>13.147500000000001</v>
      </c>
      <c r="O32">
        <v>13.621375</v>
      </c>
      <c r="P32">
        <v>13.787034722222222</v>
      </c>
      <c r="AG32">
        <v>1</v>
      </c>
      <c r="AH32" t="e">
        <f t="shared" si="1"/>
        <v>#N/A</v>
      </c>
      <c r="AI32">
        <f t="shared" si="5"/>
        <v>2</v>
      </c>
      <c r="AJ32" t="e">
        <f t="shared" si="2"/>
        <v>#N/A</v>
      </c>
      <c r="AK32">
        <f t="shared" si="6"/>
        <v>3</v>
      </c>
      <c r="AL32" t="e">
        <f t="shared" si="3"/>
        <v>#N/A</v>
      </c>
      <c r="AM32">
        <f t="shared" si="7"/>
        <v>4</v>
      </c>
      <c r="AN32" t="e">
        <f t="shared" si="4"/>
        <v>#N/A</v>
      </c>
    </row>
    <row r="33" spans="1:40" x14ac:dyDescent="0.25">
      <c r="A33">
        <v>32</v>
      </c>
      <c r="B33">
        <f ca="1">SMALL(dados!A$23:A$422,A33)</f>
        <v>7.7291017004511797E-2</v>
      </c>
      <c r="C33">
        <f ca="1">VLOOKUP(B33,dados!A$23:E$422,4,0)</f>
        <v>1</v>
      </c>
      <c r="D33">
        <f ca="1">VLOOKUP(B33,dados!A$23:E$422,5,0)</f>
        <v>7</v>
      </c>
      <c r="E33">
        <f ca="1">COUNTIF(C$2:C33,1)</f>
        <v>23</v>
      </c>
      <c r="F33">
        <f ca="1">COUNTIF(C$2:C33,2)</f>
        <v>5</v>
      </c>
      <c r="G33">
        <f ca="1">COUNTIF(C$2:C33,3)</f>
        <v>4</v>
      </c>
      <c r="L33">
        <v>30</v>
      </c>
      <c r="M33">
        <v>14.418749999999999</v>
      </c>
      <c r="N33">
        <v>13.31875</v>
      </c>
      <c r="O33">
        <v>13.687041666666664</v>
      </c>
      <c r="P33">
        <v>14.207208333333336</v>
      </c>
      <c r="AG33">
        <v>1</v>
      </c>
      <c r="AH33" t="e">
        <f t="shared" si="1"/>
        <v>#N/A</v>
      </c>
      <c r="AI33">
        <f t="shared" si="5"/>
        <v>2</v>
      </c>
      <c r="AJ33" t="e">
        <f t="shared" si="2"/>
        <v>#N/A</v>
      </c>
      <c r="AK33">
        <f t="shared" si="6"/>
        <v>3</v>
      </c>
      <c r="AL33" t="e">
        <f t="shared" si="3"/>
        <v>#N/A</v>
      </c>
      <c r="AM33">
        <f t="shared" si="7"/>
        <v>4</v>
      </c>
      <c r="AN33" t="e">
        <f t="shared" si="4"/>
        <v>#N/A</v>
      </c>
    </row>
    <row r="34" spans="1:40" x14ac:dyDescent="0.25">
      <c r="A34">
        <v>33</v>
      </c>
      <c r="B34">
        <f ca="1">SMALL(dados!A$23:A$422,A34)</f>
        <v>7.8838512235822389E-2</v>
      </c>
      <c r="C34">
        <f ca="1">VLOOKUP(B34,dados!A$23:E$422,4,0)</f>
        <v>2</v>
      </c>
      <c r="D34">
        <f ca="1">VLOOKUP(B34,dados!A$23:E$422,5,0)</f>
        <v>22</v>
      </c>
      <c r="E34">
        <f ca="1">COUNTIF(C$2:C34,1)</f>
        <v>23</v>
      </c>
      <c r="F34">
        <f ca="1">COUNTIF(C$2:C34,2)</f>
        <v>6</v>
      </c>
      <c r="G34">
        <f ca="1">COUNTIF(C$2:C34,3)</f>
        <v>4</v>
      </c>
      <c r="L34">
        <v>31</v>
      </c>
      <c r="M34">
        <v>14.58375</v>
      </c>
      <c r="N34">
        <v>14.716875</v>
      </c>
      <c r="O34">
        <v>14.314652777777779</v>
      </c>
      <c r="P34">
        <v>13.867583333333334</v>
      </c>
      <c r="AG34">
        <v>1</v>
      </c>
      <c r="AH34" t="e">
        <f t="shared" si="1"/>
        <v>#N/A</v>
      </c>
      <c r="AI34">
        <f t="shared" si="5"/>
        <v>2</v>
      </c>
      <c r="AJ34" t="e">
        <f t="shared" si="2"/>
        <v>#N/A</v>
      </c>
      <c r="AK34">
        <f t="shared" si="6"/>
        <v>3</v>
      </c>
      <c r="AL34" t="e">
        <f t="shared" si="3"/>
        <v>#N/A</v>
      </c>
      <c r="AM34">
        <f t="shared" si="7"/>
        <v>4</v>
      </c>
      <c r="AN34" t="e">
        <f t="shared" si="4"/>
        <v>#N/A</v>
      </c>
    </row>
    <row r="35" spans="1:40" x14ac:dyDescent="0.25">
      <c r="A35">
        <v>34</v>
      </c>
      <c r="B35">
        <f ca="1">SMALL(dados!A$23:A$422,A35)</f>
        <v>7.9938653416331107E-2</v>
      </c>
      <c r="C35">
        <f ca="1">VLOOKUP(B35,dados!A$23:E$422,4,0)</f>
        <v>2</v>
      </c>
      <c r="D35">
        <f ca="1">VLOOKUP(B35,dados!A$23:E$422,5,0)</f>
        <v>26</v>
      </c>
      <c r="E35">
        <f ca="1">COUNTIF(C$2:C35,1)</f>
        <v>23</v>
      </c>
      <c r="F35">
        <f ca="1">COUNTIF(C$2:C35,2)</f>
        <v>7</v>
      </c>
      <c r="G35">
        <f ca="1">COUNTIF(C$2:C35,3)</f>
        <v>4</v>
      </c>
      <c r="L35">
        <v>32</v>
      </c>
      <c r="M35">
        <v>14.168749999999999</v>
      </c>
      <c r="N35">
        <v>13.239375000000001</v>
      </c>
      <c r="O35">
        <v>14.013972222222222</v>
      </c>
      <c r="P35">
        <v>14.514312500000001</v>
      </c>
      <c r="AG35">
        <v>1</v>
      </c>
      <c r="AH35" t="e">
        <f t="shared" si="1"/>
        <v>#N/A</v>
      </c>
      <c r="AI35">
        <f t="shared" si="5"/>
        <v>2</v>
      </c>
      <c r="AJ35" t="e">
        <f t="shared" si="2"/>
        <v>#N/A</v>
      </c>
      <c r="AK35">
        <f t="shared" si="6"/>
        <v>3</v>
      </c>
      <c r="AL35" t="e">
        <f t="shared" si="3"/>
        <v>#N/A</v>
      </c>
      <c r="AM35">
        <f t="shared" si="7"/>
        <v>4</v>
      </c>
      <c r="AN35" t="e">
        <f t="shared" si="4"/>
        <v>#N/A</v>
      </c>
    </row>
    <row r="36" spans="1:40" x14ac:dyDescent="0.25">
      <c r="A36">
        <v>35</v>
      </c>
      <c r="B36">
        <f ca="1">SMALL(dados!A$23:A$422,A36)</f>
        <v>8.0958210448473622E-2</v>
      </c>
      <c r="C36">
        <f ca="1">VLOOKUP(B36,dados!A$23:E$422,4,0)</f>
        <v>2</v>
      </c>
      <c r="D36">
        <f ca="1">VLOOKUP(B36,dados!A$23:E$422,5,0)</f>
        <v>26</v>
      </c>
      <c r="E36">
        <f ca="1">COUNTIF(C$2:C36,1)</f>
        <v>23</v>
      </c>
      <c r="F36">
        <f ca="1">COUNTIF(C$2:C36,2)</f>
        <v>8</v>
      </c>
      <c r="G36">
        <f ca="1">COUNTIF(C$2:C36,3)</f>
        <v>4</v>
      </c>
      <c r="L36">
        <v>33</v>
      </c>
      <c r="M36">
        <v>13.9825</v>
      </c>
      <c r="N36">
        <v>14.525625</v>
      </c>
      <c r="O36">
        <v>13.827625000000001</v>
      </c>
      <c r="P36">
        <v>14.231458333333334</v>
      </c>
      <c r="AG36">
        <v>1</v>
      </c>
      <c r="AH36" t="e">
        <f t="shared" si="1"/>
        <v>#N/A</v>
      </c>
      <c r="AI36">
        <f t="shared" si="5"/>
        <v>2</v>
      </c>
      <c r="AJ36" t="e">
        <f t="shared" si="2"/>
        <v>#N/A</v>
      </c>
      <c r="AK36">
        <f t="shared" si="6"/>
        <v>3</v>
      </c>
      <c r="AL36" t="e">
        <f t="shared" si="3"/>
        <v>#N/A</v>
      </c>
      <c r="AM36">
        <f t="shared" si="7"/>
        <v>4</v>
      </c>
      <c r="AN36" t="e">
        <f t="shared" si="4"/>
        <v>#N/A</v>
      </c>
    </row>
    <row r="37" spans="1:40" x14ac:dyDescent="0.25">
      <c r="A37">
        <v>36</v>
      </c>
      <c r="B37">
        <f ca="1">SMALL(dados!A$23:A$422,A37)</f>
        <v>8.1405685658715865E-2</v>
      </c>
      <c r="C37">
        <f ca="1">VLOOKUP(B37,dados!A$23:E$422,4,0)</f>
        <v>1</v>
      </c>
      <c r="D37">
        <f ca="1">VLOOKUP(B37,dados!A$23:E$422,5,0)</f>
        <v>7</v>
      </c>
      <c r="E37">
        <f ca="1">COUNTIF(C$2:C37,1)</f>
        <v>24</v>
      </c>
      <c r="F37">
        <f ca="1">COUNTIF(C$2:C37,2)</f>
        <v>8</v>
      </c>
      <c r="G37">
        <f ca="1">COUNTIF(C$2:C37,3)</f>
        <v>4</v>
      </c>
      <c r="L37">
        <v>34</v>
      </c>
      <c r="M37">
        <v>16.515000000000001</v>
      </c>
      <c r="N37">
        <v>14.889374999999999</v>
      </c>
      <c r="O37">
        <v>14.410625</v>
      </c>
      <c r="P37">
        <v>14.449375</v>
      </c>
      <c r="AG37">
        <v>1</v>
      </c>
      <c r="AH37" t="e">
        <f t="shared" si="1"/>
        <v>#N/A</v>
      </c>
      <c r="AI37">
        <f t="shared" si="5"/>
        <v>2</v>
      </c>
      <c r="AJ37" t="e">
        <f t="shared" si="2"/>
        <v>#N/A</v>
      </c>
      <c r="AK37">
        <f t="shared" si="6"/>
        <v>3</v>
      </c>
      <c r="AL37" t="e">
        <f t="shared" si="3"/>
        <v>#N/A</v>
      </c>
      <c r="AM37">
        <f t="shared" si="7"/>
        <v>4</v>
      </c>
      <c r="AN37" t="e">
        <f t="shared" si="4"/>
        <v>#N/A</v>
      </c>
    </row>
    <row r="38" spans="1:40" x14ac:dyDescent="0.25">
      <c r="A38">
        <v>37</v>
      </c>
      <c r="B38">
        <f ca="1">SMALL(dados!A$23:A$422,A38)</f>
        <v>8.5934123348682334E-2</v>
      </c>
      <c r="C38">
        <f ca="1">VLOOKUP(B38,dados!A$23:E$422,4,0)</f>
        <v>1</v>
      </c>
      <c r="D38">
        <f ca="1">VLOOKUP(B38,dados!A$23:E$422,5,0)</f>
        <v>13</v>
      </c>
      <c r="E38">
        <f ca="1">COUNTIF(C$2:C38,1)</f>
        <v>25</v>
      </c>
      <c r="F38">
        <f ca="1">COUNTIF(C$2:C38,2)</f>
        <v>8</v>
      </c>
      <c r="G38">
        <f ca="1">COUNTIF(C$2:C38,3)</f>
        <v>4</v>
      </c>
      <c r="L38">
        <v>35</v>
      </c>
      <c r="M38">
        <v>15.36125</v>
      </c>
      <c r="N38">
        <v>15.05</v>
      </c>
      <c r="O38">
        <v>13.894097222222221</v>
      </c>
      <c r="P38">
        <v>14.060756944444442</v>
      </c>
      <c r="AG38">
        <v>1</v>
      </c>
      <c r="AH38" t="e">
        <f t="shared" si="1"/>
        <v>#N/A</v>
      </c>
      <c r="AI38">
        <f t="shared" si="5"/>
        <v>2</v>
      </c>
      <c r="AJ38" t="e">
        <f t="shared" si="2"/>
        <v>#N/A</v>
      </c>
      <c r="AK38">
        <f t="shared" si="6"/>
        <v>3</v>
      </c>
      <c r="AL38" t="e">
        <f t="shared" si="3"/>
        <v>#N/A</v>
      </c>
      <c r="AM38">
        <f t="shared" si="7"/>
        <v>4</v>
      </c>
      <c r="AN38" t="e">
        <f t="shared" si="4"/>
        <v>#N/A</v>
      </c>
    </row>
    <row r="39" spans="1:40" x14ac:dyDescent="0.25">
      <c r="A39">
        <v>38</v>
      </c>
      <c r="B39">
        <f ca="1">SMALL(dados!A$23:A$422,A39)</f>
        <v>8.7089587450188577E-2</v>
      </c>
      <c r="C39">
        <f ca="1">VLOOKUP(B39,dados!A$23:E$422,4,0)</f>
        <v>3</v>
      </c>
      <c r="D39">
        <f ca="1">VLOOKUP(B39,dados!A$23:E$422,5,0)</f>
        <v>33</v>
      </c>
      <c r="E39">
        <f ca="1">COUNTIF(C$2:C39,1)</f>
        <v>25</v>
      </c>
      <c r="F39">
        <f ca="1">COUNTIF(C$2:C39,2)</f>
        <v>8</v>
      </c>
      <c r="G39">
        <f ca="1">COUNTIF(C$2:C39,3)</f>
        <v>5</v>
      </c>
      <c r="L39">
        <v>36</v>
      </c>
      <c r="M39">
        <v>15.824999999999999</v>
      </c>
      <c r="N39">
        <v>15.404999999999999</v>
      </c>
      <c r="O39">
        <v>14.756388888888887</v>
      </c>
      <c r="P39">
        <v>14.180756944444443</v>
      </c>
      <c r="AG39">
        <v>1</v>
      </c>
      <c r="AH39" t="e">
        <f t="shared" si="1"/>
        <v>#N/A</v>
      </c>
      <c r="AI39">
        <f t="shared" si="5"/>
        <v>2</v>
      </c>
      <c r="AJ39" t="e">
        <f t="shared" si="2"/>
        <v>#N/A</v>
      </c>
      <c r="AK39">
        <f t="shared" si="6"/>
        <v>3</v>
      </c>
      <c r="AL39" t="e">
        <f t="shared" si="3"/>
        <v>#N/A</v>
      </c>
      <c r="AM39">
        <f t="shared" si="7"/>
        <v>4</v>
      </c>
      <c r="AN39" t="e">
        <f t="shared" si="4"/>
        <v>#N/A</v>
      </c>
    </row>
    <row r="40" spans="1:40" x14ac:dyDescent="0.25">
      <c r="A40">
        <v>39</v>
      </c>
      <c r="B40">
        <f ca="1">SMALL(dados!A$23:A$422,A40)</f>
        <v>8.8830341141663216E-2</v>
      </c>
      <c r="C40">
        <f ca="1">VLOOKUP(B40,dados!A$23:E$422,4,0)</f>
        <v>1</v>
      </c>
      <c r="D40">
        <f ca="1">VLOOKUP(B40,dados!A$23:E$422,5,0)</f>
        <v>11</v>
      </c>
      <c r="E40">
        <f ca="1">COUNTIF(C$2:C40,1)</f>
        <v>26</v>
      </c>
      <c r="F40">
        <f ca="1">COUNTIF(C$2:C40,2)</f>
        <v>8</v>
      </c>
      <c r="G40">
        <f ca="1">COUNTIF(C$2:C40,3)</f>
        <v>5</v>
      </c>
      <c r="L40">
        <v>37</v>
      </c>
      <c r="M40">
        <v>14.356249999999999</v>
      </c>
      <c r="N40">
        <v>14.031874999999999</v>
      </c>
      <c r="O40">
        <v>14.562999999999999</v>
      </c>
      <c r="P40">
        <v>14.334673611111111</v>
      </c>
      <c r="AG40">
        <v>1</v>
      </c>
      <c r="AH40" t="e">
        <f t="shared" si="1"/>
        <v>#N/A</v>
      </c>
      <c r="AI40">
        <f t="shared" si="5"/>
        <v>2</v>
      </c>
      <c r="AJ40" t="e">
        <f t="shared" si="2"/>
        <v>#N/A</v>
      </c>
      <c r="AK40">
        <f t="shared" si="6"/>
        <v>3</v>
      </c>
      <c r="AL40" t="e">
        <f t="shared" si="3"/>
        <v>#N/A</v>
      </c>
      <c r="AM40">
        <f t="shared" si="7"/>
        <v>4</v>
      </c>
      <c r="AN40" t="e">
        <f t="shared" si="4"/>
        <v>#N/A</v>
      </c>
    </row>
    <row r="41" spans="1:40" x14ac:dyDescent="0.25">
      <c r="A41">
        <v>40</v>
      </c>
      <c r="B41">
        <f ca="1">SMALL(dados!A$23:A$422,A41)</f>
        <v>9.0109356909339744E-2</v>
      </c>
      <c r="C41">
        <f ca="1">VLOOKUP(B41,dados!A$23:E$422,4,0)</f>
        <v>1</v>
      </c>
      <c r="D41">
        <f ca="1">VLOOKUP(B41,dados!A$23:E$422,5,0)</f>
        <v>10</v>
      </c>
      <c r="E41">
        <f ca="1">COUNTIF(C$2:C41,1)</f>
        <v>27</v>
      </c>
      <c r="F41">
        <f ca="1">COUNTIF(C$2:C41,2)</f>
        <v>8</v>
      </c>
      <c r="G41">
        <f ca="1">COUNTIF(C$2:C41,3)</f>
        <v>5</v>
      </c>
      <c r="L41">
        <v>38</v>
      </c>
      <c r="M41">
        <v>12.092499999999999</v>
      </c>
      <c r="N41">
        <v>13.530625000000001</v>
      </c>
      <c r="O41">
        <v>13.580194444444444</v>
      </c>
      <c r="P41">
        <v>14.082618055555557</v>
      </c>
      <c r="AG41">
        <v>1</v>
      </c>
      <c r="AH41" t="e">
        <f t="shared" si="1"/>
        <v>#N/A</v>
      </c>
      <c r="AI41">
        <f t="shared" si="5"/>
        <v>2</v>
      </c>
      <c r="AJ41" t="e">
        <f t="shared" si="2"/>
        <v>#N/A</v>
      </c>
      <c r="AK41">
        <f t="shared" si="6"/>
        <v>3</v>
      </c>
      <c r="AL41" t="e">
        <f t="shared" si="3"/>
        <v>#N/A</v>
      </c>
      <c r="AM41">
        <f t="shared" si="7"/>
        <v>4</v>
      </c>
      <c r="AN41" t="e">
        <f t="shared" si="4"/>
        <v>#N/A</v>
      </c>
    </row>
    <row r="42" spans="1:40" x14ac:dyDescent="0.25">
      <c r="A42">
        <v>41</v>
      </c>
      <c r="B42">
        <f ca="1">SMALL(dados!A$23:A$422,A42)</f>
        <v>9.2977241741168393E-2</v>
      </c>
      <c r="C42">
        <f ca="1">VLOOKUP(B42,dados!A$23:E$422,4,0)</f>
        <v>1</v>
      </c>
      <c r="D42">
        <f ca="1">VLOOKUP(B42,dados!A$23:E$422,5,0)</f>
        <v>16</v>
      </c>
      <c r="E42">
        <f ca="1">COUNTIF(C$2:C42,1)</f>
        <v>28</v>
      </c>
      <c r="F42">
        <f ca="1">COUNTIF(C$2:C42,2)</f>
        <v>8</v>
      </c>
      <c r="G42">
        <f ca="1">COUNTIF(C$2:C42,3)</f>
        <v>5</v>
      </c>
      <c r="L42">
        <v>39</v>
      </c>
      <c r="M42">
        <v>13.21</v>
      </c>
      <c r="N42">
        <v>13.958125000000001</v>
      </c>
      <c r="O42">
        <v>14.042222222222222</v>
      </c>
      <c r="P42">
        <v>13.788923611111111</v>
      </c>
      <c r="AG42">
        <v>1</v>
      </c>
      <c r="AH42" t="e">
        <f t="shared" si="1"/>
        <v>#N/A</v>
      </c>
      <c r="AI42">
        <f t="shared" si="5"/>
        <v>2</v>
      </c>
      <c r="AJ42" t="e">
        <f t="shared" si="2"/>
        <v>#N/A</v>
      </c>
      <c r="AK42">
        <f t="shared" si="6"/>
        <v>3</v>
      </c>
      <c r="AL42" t="e">
        <f t="shared" si="3"/>
        <v>#N/A</v>
      </c>
      <c r="AM42">
        <f t="shared" si="7"/>
        <v>4</v>
      </c>
      <c r="AN42" t="e">
        <f t="shared" si="4"/>
        <v>#N/A</v>
      </c>
    </row>
    <row r="43" spans="1:40" x14ac:dyDescent="0.25">
      <c r="A43">
        <v>42</v>
      </c>
      <c r="B43">
        <f ca="1">SMALL(dados!A$23:A$422,A43)</f>
        <v>9.4045840030666183E-2</v>
      </c>
      <c r="C43">
        <f ca="1">VLOOKUP(B43,dados!A$23:E$422,4,0)</f>
        <v>1</v>
      </c>
      <c r="D43">
        <f ca="1">VLOOKUP(B43,dados!A$23:E$422,5,0)</f>
        <v>10</v>
      </c>
      <c r="E43">
        <f ca="1">COUNTIF(C$2:C43,1)</f>
        <v>29</v>
      </c>
      <c r="F43">
        <f ca="1">COUNTIF(C$2:C43,2)</f>
        <v>8</v>
      </c>
      <c r="G43">
        <f ca="1">COUNTIF(C$2:C43,3)</f>
        <v>5</v>
      </c>
      <c r="L43">
        <v>40</v>
      </c>
      <c r="M43">
        <v>14.6175</v>
      </c>
      <c r="N43">
        <v>14.38875</v>
      </c>
      <c r="O43">
        <v>13.703624999999999</v>
      </c>
      <c r="P43">
        <v>13.883437499999999</v>
      </c>
      <c r="AG43">
        <v>1</v>
      </c>
      <c r="AH43" t="e">
        <f t="shared" si="1"/>
        <v>#N/A</v>
      </c>
      <c r="AI43">
        <f t="shared" si="5"/>
        <v>2</v>
      </c>
      <c r="AJ43" t="e">
        <f t="shared" si="2"/>
        <v>#N/A</v>
      </c>
      <c r="AK43">
        <f t="shared" si="6"/>
        <v>3</v>
      </c>
      <c r="AL43" t="e">
        <f t="shared" si="3"/>
        <v>#N/A</v>
      </c>
      <c r="AM43">
        <f t="shared" si="7"/>
        <v>4</v>
      </c>
      <c r="AN43" t="e">
        <f t="shared" si="4"/>
        <v>#N/A</v>
      </c>
    </row>
    <row r="44" spans="1:40" x14ac:dyDescent="0.25">
      <c r="A44">
        <v>43</v>
      </c>
      <c r="B44">
        <f ca="1">SMALL(dados!A$23:A$422,A44)</f>
        <v>9.4356475988138233E-2</v>
      </c>
      <c r="C44">
        <f ca="1">VLOOKUP(B44,dados!A$23:E$422,4,0)</f>
        <v>2</v>
      </c>
      <c r="D44">
        <f ca="1">VLOOKUP(B44,dados!A$23:E$422,5,0)</f>
        <v>29</v>
      </c>
      <c r="E44">
        <f ca="1">COUNTIF(C$2:C44,1)</f>
        <v>29</v>
      </c>
      <c r="F44">
        <f ca="1">COUNTIF(C$2:C44,2)</f>
        <v>9</v>
      </c>
      <c r="G44">
        <f ca="1">COUNTIF(C$2:C44,3)</f>
        <v>5</v>
      </c>
      <c r="L44">
        <v>41</v>
      </c>
      <c r="M44">
        <v>14.2875</v>
      </c>
      <c r="N44">
        <v>14.324999999999999</v>
      </c>
      <c r="O44">
        <v>14.333972222222222</v>
      </c>
      <c r="P44">
        <v>13.800486111111111</v>
      </c>
      <c r="AG44">
        <v>1</v>
      </c>
      <c r="AH44" t="e">
        <f t="shared" si="1"/>
        <v>#N/A</v>
      </c>
      <c r="AI44">
        <f t="shared" si="5"/>
        <v>2</v>
      </c>
      <c r="AJ44" t="e">
        <f t="shared" si="2"/>
        <v>#N/A</v>
      </c>
      <c r="AK44">
        <f t="shared" si="6"/>
        <v>3</v>
      </c>
      <c r="AL44" t="e">
        <f t="shared" si="3"/>
        <v>#N/A</v>
      </c>
      <c r="AM44">
        <f t="shared" si="7"/>
        <v>4</v>
      </c>
      <c r="AN44" t="e">
        <f t="shared" si="4"/>
        <v>#N/A</v>
      </c>
    </row>
    <row r="45" spans="1:40" x14ac:dyDescent="0.25">
      <c r="A45">
        <v>44</v>
      </c>
      <c r="B45">
        <f ca="1">SMALL(dados!A$23:A$422,A45)</f>
        <v>0.10113353994095431</v>
      </c>
      <c r="C45">
        <f ca="1">VLOOKUP(B45,dados!A$23:E$422,4,0)</f>
        <v>1</v>
      </c>
      <c r="D45">
        <f ca="1">VLOOKUP(B45,dados!A$23:E$422,5,0)</f>
        <v>11</v>
      </c>
      <c r="E45">
        <f ca="1">COUNTIF(C$2:C45,1)</f>
        <v>30</v>
      </c>
      <c r="F45">
        <f ca="1">COUNTIF(C$2:C45,2)</f>
        <v>9</v>
      </c>
      <c r="G45">
        <f ca="1">COUNTIF(C$2:C45,3)</f>
        <v>5</v>
      </c>
      <c r="L45">
        <v>42</v>
      </c>
      <c r="M45">
        <v>15.08</v>
      </c>
      <c r="N45">
        <v>13.911875</v>
      </c>
      <c r="O45">
        <v>14.270277777777778</v>
      </c>
      <c r="P45">
        <v>14.12901388888889</v>
      </c>
      <c r="AG45">
        <v>1</v>
      </c>
      <c r="AH45" t="e">
        <f t="shared" si="1"/>
        <v>#N/A</v>
      </c>
      <c r="AI45">
        <f t="shared" si="5"/>
        <v>2</v>
      </c>
      <c r="AJ45" t="e">
        <f t="shared" si="2"/>
        <v>#N/A</v>
      </c>
      <c r="AK45">
        <f t="shared" si="6"/>
        <v>3</v>
      </c>
      <c r="AL45" t="e">
        <f t="shared" si="3"/>
        <v>#N/A</v>
      </c>
      <c r="AM45">
        <f t="shared" si="7"/>
        <v>4</v>
      </c>
      <c r="AN45" t="e">
        <f t="shared" si="4"/>
        <v>#N/A</v>
      </c>
    </row>
    <row r="46" spans="1:40" x14ac:dyDescent="0.25">
      <c r="A46">
        <v>45</v>
      </c>
      <c r="B46">
        <f ca="1">SMALL(dados!A$23:A$422,A46)</f>
        <v>0.10134671747249779</v>
      </c>
      <c r="C46">
        <f ca="1">VLOOKUP(B46,dados!A$23:E$422,4,0)</f>
        <v>1</v>
      </c>
      <c r="D46">
        <f ca="1">VLOOKUP(B46,dados!A$23:E$422,5,0)</f>
        <v>8</v>
      </c>
      <c r="E46">
        <f ca="1">COUNTIF(C$2:C46,1)</f>
        <v>31</v>
      </c>
      <c r="F46">
        <f ca="1">COUNTIF(C$2:C46,2)</f>
        <v>9</v>
      </c>
      <c r="G46">
        <f ca="1">COUNTIF(C$2:C46,3)</f>
        <v>5</v>
      </c>
      <c r="L46">
        <v>43</v>
      </c>
      <c r="M46">
        <v>13.63625</v>
      </c>
      <c r="N46">
        <v>13.499375000000001</v>
      </c>
      <c r="O46">
        <v>14.029444444444445</v>
      </c>
      <c r="P46">
        <v>13.807013888888891</v>
      </c>
      <c r="AG46">
        <v>1</v>
      </c>
      <c r="AH46" t="e">
        <f t="shared" si="1"/>
        <v>#N/A</v>
      </c>
      <c r="AI46">
        <f t="shared" si="5"/>
        <v>2</v>
      </c>
      <c r="AJ46" t="e">
        <f t="shared" si="2"/>
        <v>#N/A</v>
      </c>
      <c r="AK46">
        <f t="shared" si="6"/>
        <v>3</v>
      </c>
      <c r="AL46" t="e">
        <f t="shared" si="3"/>
        <v>#N/A</v>
      </c>
      <c r="AM46">
        <f t="shared" si="7"/>
        <v>4</v>
      </c>
      <c r="AN46" t="e">
        <f t="shared" si="4"/>
        <v>#N/A</v>
      </c>
    </row>
    <row r="47" spans="1:40" x14ac:dyDescent="0.25">
      <c r="A47">
        <v>46</v>
      </c>
      <c r="B47">
        <f ca="1">SMALL(dados!A$23:A$422,A47)</f>
        <v>0.10849166603058313</v>
      </c>
      <c r="C47">
        <f ca="1">VLOOKUP(B47,dados!A$23:E$422,4,0)</f>
        <v>1</v>
      </c>
      <c r="D47">
        <f ca="1">VLOOKUP(B47,dados!A$23:E$422,5,0)</f>
        <v>8</v>
      </c>
      <c r="E47">
        <f ca="1">COUNTIF(C$2:C47,1)</f>
        <v>32</v>
      </c>
      <c r="F47">
        <f ca="1">COUNTIF(C$2:C47,2)</f>
        <v>9</v>
      </c>
      <c r="G47">
        <f ca="1">COUNTIF(C$2:C47,3)</f>
        <v>5</v>
      </c>
      <c r="L47">
        <v>44</v>
      </c>
      <c r="M47">
        <v>13.574999999999999</v>
      </c>
      <c r="N47">
        <v>13.24375</v>
      </c>
      <c r="O47">
        <v>13.993861111111112</v>
      </c>
      <c r="P47">
        <v>13.777215277777778</v>
      </c>
      <c r="AG47">
        <v>1</v>
      </c>
      <c r="AH47" t="e">
        <f t="shared" si="1"/>
        <v>#N/A</v>
      </c>
      <c r="AI47">
        <f t="shared" si="5"/>
        <v>2</v>
      </c>
      <c r="AJ47" t="e">
        <f t="shared" si="2"/>
        <v>#N/A</v>
      </c>
      <c r="AK47">
        <f t="shared" si="6"/>
        <v>3</v>
      </c>
      <c r="AL47" t="e">
        <f t="shared" si="3"/>
        <v>#N/A</v>
      </c>
      <c r="AM47">
        <f t="shared" si="7"/>
        <v>4</v>
      </c>
      <c r="AN47" t="e">
        <f t="shared" si="4"/>
        <v>#N/A</v>
      </c>
    </row>
    <row r="48" spans="1:40" x14ac:dyDescent="0.25">
      <c r="A48">
        <v>47</v>
      </c>
      <c r="B48">
        <f ca="1">SMALL(dados!A$23:A$422,A48)</f>
        <v>0.10883369834380374</v>
      </c>
      <c r="C48">
        <f ca="1">VLOOKUP(B48,dados!A$23:E$422,4,0)</f>
        <v>1</v>
      </c>
      <c r="D48">
        <f ca="1">VLOOKUP(B48,dados!A$23:E$422,5,0)</f>
        <v>9</v>
      </c>
      <c r="E48">
        <f ca="1">COUNTIF(C$2:C48,1)</f>
        <v>33</v>
      </c>
      <c r="F48">
        <f ca="1">COUNTIF(C$2:C48,2)</f>
        <v>9</v>
      </c>
      <c r="G48">
        <f ca="1">COUNTIF(C$2:C48,3)</f>
        <v>5</v>
      </c>
      <c r="L48">
        <v>45</v>
      </c>
      <c r="M48">
        <v>12.6875</v>
      </c>
      <c r="N48">
        <v>12.526249999999999</v>
      </c>
      <c r="O48">
        <v>13.614055555555556</v>
      </c>
      <c r="P48">
        <v>14.101694444444444</v>
      </c>
      <c r="AG48">
        <v>1</v>
      </c>
      <c r="AH48" t="e">
        <f t="shared" si="1"/>
        <v>#N/A</v>
      </c>
      <c r="AI48">
        <f t="shared" si="5"/>
        <v>2</v>
      </c>
      <c r="AJ48" t="e">
        <f t="shared" si="2"/>
        <v>#N/A</v>
      </c>
      <c r="AK48">
        <f t="shared" si="6"/>
        <v>3</v>
      </c>
      <c r="AL48" t="e">
        <f t="shared" si="3"/>
        <v>#N/A</v>
      </c>
      <c r="AM48">
        <f t="shared" si="7"/>
        <v>4</v>
      </c>
      <c r="AN48" t="e">
        <f t="shared" si="4"/>
        <v>#N/A</v>
      </c>
    </row>
    <row r="49" spans="1:40" x14ac:dyDescent="0.25">
      <c r="A49">
        <v>48</v>
      </c>
      <c r="B49">
        <f ca="1">SMALL(dados!A$23:A$422,A49)</f>
        <v>0.10957829682149012</v>
      </c>
      <c r="C49">
        <f ca="1">VLOOKUP(B49,dados!A$23:E$422,4,0)</f>
        <v>1</v>
      </c>
      <c r="D49">
        <f ca="1">VLOOKUP(B49,dados!A$23:E$422,5,0)</f>
        <v>9</v>
      </c>
      <c r="E49">
        <f ca="1">COUNTIF(C$2:C49,1)</f>
        <v>34</v>
      </c>
      <c r="F49">
        <f ca="1">COUNTIF(C$2:C49,2)</f>
        <v>9</v>
      </c>
      <c r="G49">
        <f ca="1">COUNTIF(C$2:C49,3)</f>
        <v>5</v>
      </c>
      <c r="L49">
        <v>46</v>
      </c>
      <c r="M49">
        <v>13.74625</v>
      </c>
      <c r="N49">
        <v>13.916874999999999</v>
      </c>
      <c r="O49">
        <v>13.942444444444442</v>
      </c>
      <c r="P49">
        <v>13.666631944444443</v>
      </c>
      <c r="AG49">
        <v>1</v>
      </c>
      <c r="AH49" t="e">
        <f t="shared" si="1"/>
        <v>#N/A</v>
      </c>
      <c r="AI49">
        <f t="shared" si="5"/>
        <v>2</v>
      </c>
      <c r="AJ49" t="e">
        <f t="shared" si="2"/>
        <v>#N/A</v>
      </c>
      <c r="AK49">
        <f t="shared" si="6"/>
        <v>3</v>
      </c>
      <c r="AL49" t="e">
        <f t="shared" si="3"/>
        <v>#N/A</v>
      </c>
      <c r="AM49">
        <f t="shared" si="7"/>
        <v>4</v>
      </c>
      <c r="AN49" t="e">
        <f t="shared" si="4"/>
        <v>#N/A</v>
      </c>
    </row>
    <row r="50" spans="1:40" x14ac:dyDescent="0.25">
      <c r="A50">
        <v>49</v>
      </c>
      <c r="B50">
        <f ca="1">SMALL(dados!A$23:A$422,A50)</f>
        <v>0.10997108615412554</v>
      </c>
      <c r="C50">
        <f ca="1">VLOOKUP(B50,dados!A$23:E$422,4,0)</f>
        <v>1</v>
      </c>
      <c r="D50">
        <f ca="1">VLOOKUP(B50,dados!A$23:E$422,5,0)</f>
        <v>9</v>
      </c>
      <c r="E50">
        <f ca="1">COUNTIF(C$2:C50,1)</f>
        <v>35</v>
      </c>
      <c r="F50">
        <f ca="1">COUNTIF(C$2:C50,2)</f>
        <v>9</v>
      </c>
      <c r="G50">
        <f ca="1">COUNTIF(C$2:C50,3)</f>
        <v>5</v>
      </c>
      <c r="L50">
        <v>47</v>
      </c>
      <c r="M50">
        <v>13.89875</v>
      </c>
      <c r="N50">
        <v>13.595000000000001</v>
      </c>
      <c r="O50">
        <v>13.378069444444442</v>
      </c>
      <c r="P50">
        <v>13.588055555555554</v>
      </c>
      <c r="AG50">
        <v>1</v>
      </c>
      <c r="AH50" t="e">
        <f t="shared" si="1"/>
        <v>#N/A</v>
      </c>
      <c r="AI50">
        <f t="shared" si="5"/>
        <v>2</v>
      </c>
      <c r="AJ50" t="e">
        <f t="shared" si="2"/>
        <v>#N/A</v>
      </c>
      <c r="AK50">
        <f t="shared" si="6"/>
        <v>3</v>
      </c>
      <c r="AL50" t="e">
        <f t="shared" si="3"/>
        <v>#N/A</v>
      </c>
      <c r="AM50">
        <f t="shared" si="7"/>
        <v>4</v>
      </c>
      <c r="AN50" t="e">
        <f t="shared" si="4"/>
        <v>#N/A</v>
      </c>
    </row>
    <row r="51" spans="1:40" x14ac:dyDescent="0.25">
      <c r="A51">
        <v>50</v>
      </c>
      <c r="B51">
        <f ca="1">SMALL(dados!A$23:A$422,A51)</f>
        <v>0.1161251365750291</v>
      </c>
      <c r="C51">
        <f ca="1">VLOOKUP(B51,dados!A$23:E$422,4,0)</f>
        <v>1</v>
      </c>
      <c r="D51">
        <f ca="1">VLOOKUP(B51,dados!A$23:E$422,5,0)</f>
        <v>11</v>
      </c>
      <c r="E51">
        <f ca="1">COUNTIF(C$2:C51,1)</f>
        <v>36</v>
      </c>
      <c r="F51">
        <f ca="1">COUNTIF(C$2:C51,2)</f>
        <v>9</v>
      </c>
      <c r="G51">
        <f ca="1">COUNTIF(C$2:C51,3)</f>
        <v>5</v>
      </c>
      <c r="L51">
        <v>48</v>
      </c>
      <c r="M51">
        <v>15.50375</v>
      </c>
      <c r="N51">
        <v>14.30125</v>
      </c>
      <c r="O51">
        <v>14.147666666666664</v>
      </c>
      <c r="P51">
        <v>13.999777777777778</v>
      </c>
      <c r="AG51">
        <v>1</v>
      </c>
      <c r="AH51" t="e">
        <f t="shared" si="1"/>
        <v>#N/A</v>
      </c>
      <c r="AI51">
        <f t="shared" si="5"/>
        <v>2</v>
      </c>
      <c r="AJ51" t="e">
        <f t="shared" si="2"/>
        <v>#N/A</v>
      </c>
      <c r="AK51">
        <f t="shared" si="6"/>
        <v>3</v>
      </c>
      <c r="AL51" t="e">
        <f t="shared" si="3"/>
        <v>#N/A</v>
      </c>
      <c r="AM51">
        <f t="shared" si="7"/>
        <v>4</v>
      </c>
      <c r="AN51" t="e">
        <f t="shared" si="4"/>
        <v>#N/A</v>
      </c>
    </row>
    <row r="52" spans="1:40" x14ac:dyDescent="0.25">
      <c r="A52">
        <v>51</v>
      </c>
      <c r="B52">
        <f ca="1">SMALL(dados!A$23:A$422,A52)</f>
        <v>0.12403008385516334</v>
      </c>
      <c r="C52">
        <f ca="1">VLOOKUP(B52,dados!A$23:E$422,4,0)</f>
        <v>2</v>
      </c>
      <c r="D52">
        <f ca="1">VLOOKUP(B52,dados!A$23:E$422,5,0)</f>
        <v>18</v>
      </c>
      <c r="E52">
        <f ca="1">COUNTIF(C$2:C52,1)</f>
        <v>36</v>
      </c>
      <c r="F52">
        <f ca="1">COUNTIF(C$2:C52,2)</f>
        <v>10</v>
      </c>
      <c r="G52">
        <f ca="1">COUNTIF(C$2:C52,3)</f>
        <v>5</v>
      </c>
      <c r="L52">
        <v>49</v>
      </c>
      <c r="M52">
        <v>14.852499999999999</v>
      </c>
      <c r="N52">
        <v>15.40875</v>
      </c>
      <c r="O52">
        <v>14.282819444444444</v>
      </c>
      <c r="P52">
        <v>13.875159722222222</v>
      </c>
      <c r="AG52">
        <v>1</v>
      </c>
      <c r="AH52" t="e">
        <f t="shared" si="1"/>
        <v>#N/A</v>
      </c>
      <c r="AI52">
        <f t="shared" si="5"/>
        <v>2</v>
      </c>
      <c r="AJ52" t="e">
        <f t="shared" si="2"/>
        <v>#N/A</v>
      </c>
      <c r="AK52">
        <f t="shared" si="6"/>
        <v>3</v>
      </c>
      <c r="AL52" t="e">
        <f t="shared" si="3"/>
        <v>#N/A</v>
      </c>
      <c r="AM52">
        <f t="shared" si="7"/>
        <v>4</v>
      </c>
      <c r="AN52" t="e">
        <f t="shared" si="4"/>
        <v>#N/A</v>
      </c>
    </row>
    <row r="53" spans="1:40" x14ac:dyDescent="0.25">
      <c r="A53">
        <v>52</v>
      </c>
      <c r="B53">
        <f ca="1">SMALL(dados!A$23:A$422,A53)</f>
        <v>0.12497756616431255</v>
      </c>
      <c r="C53">
        <f ca="1">VLOOKUP(B53,dados!A$23:E$422,4,0)</f>
        <v>3</v>
      </c>
      <c r="D53">
        <f ca="1">VLOOKUP(B53,dados!A$23:E$422,5,0)</f>
        <v>32</v>
      </c>
      <c r="E53">
        <f ca="1">COUNTIF(C$2:C53,1)</f>
        <v>36</v>
      </c>
      <c r="F53">
        <f ca="1">COUNTIF(C$2:C53,2)</f>
        <v>10</v>
      </c>
      <c r="G53">
        <f ca="1">COUNTIF(C$2:C53,3)</f>
        <v>6</v>
      </c>
      <c r="L53">
        <v>50</v>
      </c>
      <c r="M53">
        <v>14.69</v>
      </c>
      <c r="N53">
        <v>14.823124999999999</v>
      </c>
      <c r="O53">
        <v>14.086805555555554</v>
      </c>
      <c r="P53">
        <v>13.827368055555558</v>
      </c>
      <c r="AG53">
        <v>1</v>
      </c>
      <c r="AH53" t="e">
        <f t="shared" si="1"/>
        <v>#N/A</v>
      </c>
      <c r="AI53">
        <f t="shared" si="5"/>
        <v>2</v>
      </c>
      <c r="AJ53" t="e">
        <f t="shared" si="2"/>
        <v>#N/A</v>
      </c>
      <c r="AK53">
        <f t="shared" si="6"/>
        <v>3</v>
      </c>
      <c r="AL53" t="e">
        <f t="shared" si="3"/>
        <v>#N/A</v>
      </c>
      <c r="AM53">
        <f t="shared" si="7"/>
        <v>4</v>
      </c>
      <c r="AN53" t="e">
        <f t="shared" si="4"/>
        <v>#N/A</v>
      </c>
    </row>
    <row r="54" spans="1:40" x14ac:dyDescent="0.25">
      <c r="A54">
        <v>53</v>
      </c>
      <c r="B54">
        <f ca="1">SMALL(dados!A$23:A$422,A54)</f>
        <v>0.13538549706248404</v>
      </c>
      <c r="C54">
        <f ca="1">VLOOKUP(B54,dados!A$23:E$422,4,0)</f>
        <v>1</v>
      </c>
      <c r="D54">
        <f ca="1">VLOOKUP(B54,dados!A$23:E$422,5,0)</f>
        <v>11</v>
      </c>
      <c r="E54">
        <f ca="1">COUNTIF(C$2:C54,1)</f>
        <v>37</v>
      </c>
      <c r="F54">
        <f ca="1">COUNTIF(C$2:C54,2)</f>
        <v>10</v>
      </c>
      <c r="G54">
        <f ca="1">COUNTIF(C$2:C54,3)</f>
        <v>6</v>
      </c>
      <c r="L54">
        <v>51</v>
      </c>
      <c r="M54">
        <v>12.327500000000001</v>
      </c>
      <c r="N54">
        <v>13.273125</v>
      </c>
      <c r="O54">
        <v>13.534180555555556</v>
      </c>
      <c r="P54">
        <v>13.713486111111111</v>
      </c>
      <c r="AG54">
        <v>1</v>
      </c>
      <c r="AH54" t="e">
        <f t="shared" si="1"/>
        <v>#N/A</v>
      </c>
      <c r="AI54">
        <f t="shared" si="5"/>
        <v>2</v>
      </c>
      <c r="AJ54" t="e">
        <f t="shared" si="2"/>
        <v>#N/A</v>
      </c>
      <c r="AK54">
        <f t="shared" si="6"/>
        <v>3</v>
      </c>
      <c r="AL54" t="e">
        <f t="shared" si="3"/>
        <v>#N/A</v>
      </c>
      <c r="AM54">
        <f t="shared" si="7"/>
        <v>4</v>
      </c>
      <c r="AN54" t="e">
        <f t="shared" si="4"/>
        <v>#N/A</v>
      </c>
    </row>
    <row r="55" spans="1:40" x14ac:dyDescent="0.25">
      <c r="A55">
        <v>54</v>
      </c>
      <c r="B55">
        <f ca="1">SMALL(dados!A$23:A$422,A55)</f>
        <v>0.13770736826064911</v>
      </c>
      <c r="C55">
        <f ca="1">VLOOKUP(B55,dados!A$23:E$422,4,0)</f>
        <v>1</v>
      </c>
      <c r="D55">
        <f ca="1">VLOOKUP(B55,dados!A$23:E$422,5,0)</f>
        <v>9</v>
      </c>
      <c r="E55">
        <f ca="1">COUNTIF(C$2:C55,1)</f>
        <v>38</v>
      </c>
      <c r="F55">
        <f ca="1">COUNTIF(C$2:C55,2)</f>
        <v>10</v>
      </c>
      <c r="G55">
        <f ca="1">COUNTIF(C$2:C55,3)</f>
        <v>6</v>
      </c>
      <c r="L55">
        <v>52</v>
      </c>
      <c r="M55">
        <v>14.6325</v>
      </c>
      <c r="N55">
        <v>15.004375</v>
      </c>
      <c r="O55">
        <v>14.407763888888887</v>
      </c>
      <c r="P55">
        <v>13.865298611111111</v>
      </c>
      <c r="AG55">
        <v>1</v>
      </c>
      <c r="AH55" t="e">
        <f t="shared" si="1"/>
        <v>#N/A</v>
      </c>
      <c r="AI55">
        <f t="shared" si="5"/>
        <v>2</v>
      </c>
      <c r="AJ55" t="e">
        <f t="shared" si="2"/>
        <v>#N/A</v>
      </c>
      <c r="AK55">
        <f t="shared" si="6"/>
        <v>3</v>
      </c>
      <c r="AL55" t="e">
        <f t="shared" si="3"/>
        <v>#N/A</v>
      </c>
      <c r="AM55">
        <f t="shared" si="7"/>
        <v>4</v>
      </c>
      <c r="AN55" t="e">
        <f t="shared" si="4"/>
        <v>#N/A</v>
      </c>
    </row>
    <row r="56" spans="1:40" x14ac:dyDescent="0.25">
      <c r="A56">
        <v>55</v>
      </c>
      <c r="B56">
        <f ca="1">SMALL(dados!A$23:A$422,A56)</f>
        <v>0.13892600465480753</v>
      </c>
      <c r="C56">
        <f ca="1">VLOOKUP(B56,dados!A$23:E$422,4,0)</f>
        <v>1</v>
      </c>
      <c r="D56">
        <f ca="1">VLOOKUP(B56,dados!A$23:E$422,5,0)</f>
        <v>8</v>
      </c>
      <c r="E56">
        <f ca="1">COUNTIF(C$2:C56,1)</f>
        <v>39</v>
      </c>
      <c r="F56">
        <f ca="1">COUNTIF(C$2:C56,2)</f>
        <v>10</v>
      </c>
      <c r="G56">
        <f ca="1">COUNTIF(C$2:C56,3)</f>
        <v>6</v>
      </c>
      <c r="L56">
        <v>53</v>
      </c>
      <c r="M56">
        <v>14.54</v>
      </c>
      <c r="N56">
        <v>14.533125</v>
      </c>
      <c r="O56">
        <v>14.392625000000001</v>
      </c>
      <c r="P56">
        <v>14.300916666666664</v>
      </c>
      <c r="AG56">
        <v>1</v>
      </c>
      <c r="AH56" t="e">
        <f t="shared" si="1"/>
        <v>#N/A</v>
      </c>
      <c r="AI56">
        <f t="shared" si="5"/>
        <v>2</v>
      </c>
      <c r="AJ56" t="e">
        <f t="shared" si="2"/>
        <v>#N/A</v>
      </c>
      <c r="AK56">
        <f t="shared" si="6"/>
        <v>3</v>
      </c>
      <c r="AL56" t="e">
        <f t="shared" si="3"/>
        <v>#N/A</v>
      </c>
      <c r="AM56">
        <f t="shared" si="7"/>
        <v>4</v>
      </c>
      <c r="AN56" t="e">
        <f t="shared" si="4"/>
        <v>#N/A</v>
      </c>
    </row>
    <row r="57" spans="1:40" x14ac:dyDescent="0.25">
      <c r="A57">
        <v>56</v>
      </c>
      <c r="B57">
        <f ca="1">SMALL(dados!A$23:A$422,A57)</f>
        <v>0.14152455651339091</v>
      </c>
      <c r="C57">
        <f ca="1">VLOOKUP(B57,dados!A$23:E$422,4,0)</f>
        <v>2</v>
      </c>
      <c r="D57">
        <f ca="1">VLOOKUP(B57,dados!A$23:E$422,5,0)</f>
        <v>22</v>
      </c>
      <c r="E57">
        <f ca="1">COUNTIF(C$2:C57,1)</f>
        <v>39</v>
      </c>
      <c r="F57">
        <f ca="1">COUNTIF(C$2:C57,2)</f>
        <v>11</v>
      </c>
      <c r="G57">
        <f ca="1">COUNTIF(C$2:C57,3)</f>
        <v>6</v>
      </c>
      <c r="L57">
        <v>54</v>
      </c>
      <c r="M57">
        <v>15.563750000000001</v>
      </c>
      <c r="N57">
        <v>14.703125</v>
      </c>
      <c r="O57">
        <v>13.669722222222221</v>
      </c>
      <c r="P57">
        <v>13.697298611111112</v>
      </c>
      <c r="AG57">
        <v>1</v>
      </c>
      <c r="AH57" t="e">
        <f t="shared" si="1"/>
        <v>#N/A</v>
      </c>
      <c r="AI57">
        <f t="shared" si="5"/>
        <v>2</v>
      </c>
      <c r="AJ57" t="e">
        <f t="shared" si="2"/>
        <v>#N/A</v>
      </c>
      <c r="AK57">
        <f t="shared" si="6"/>
        <v>3</v>
      </c>
      <c r="AL57" t="e">
        <f t="shared" si="3"/>
        <v>#N/A</v>
      </c>
      <c r="AM57">
        <f t="shared" si="7"/>
        <v>4</v>
      </c>
      <c r="AN57" t="e">
        <f t="shared" si="4"/>
        <v>#N/A</v>
      </c>
    </row>
    <row r="58" spans="1:40" x14ac:dyDescent="0.25">
      <c r="A58">
        <v>57</v>
      </c>
      <c r="B58">
        <f ca="1">SMALL(dados!A$23:A$422,A58)</f>
        <v>0.14688962297991159</v>
      </c>
      <c r="C58">
        <f ca="1">VLOOKUP(B58,dados!A$23:E$422,4,0)</f>
        <v>1</v>
      </c>
      <c r="D58">
        <f ca="1">VLOOKUP(B58,dados!A$23:E$422,5,0)</f>
        <v>11</v>
      </c>
      <c r="E58">
        <f ca="1">COUNTIF(C$2:C58,1)</f>
        <v>40</v>
      </c>
      <c r="F58">
        <f ca="1">COUNTIF(C$2:C58,2)</f>
        <v>11</v>
      </c>
      <c r="G58">
        <f ca="1">COUNTIF(C$2:C58,3)</f>
        <v>6</v>
      </c>
      <c r="L58">
        <v>55</v>
      </c>
      <c r="M58">
        <v>13.775</v>
      </c>
      <c r="N58">
        <v>13.385624999999999</v>
      </c>
      <c r="O58">
        <v>13.7075</v>
      </c>
      <c r="P58">
        <v>13.667625000000001</v>
      </c>
      <c r="AG58">
        <v>1</v>
      </c>
      <c r="AH58" t="e">
        <f t="shared" si="1"/>
        <v>#N/A</v>
      </c>
      <c r="AI58">
        <f t="shared" si="5"/>
        <v>2</v>
      </c>
      <c r="AJ58" t="e">
        <f t="shared" si="2"/>
        <v>#N/A</v>
      </c>
      <c r="AK58">
        <f t="shared" si="6"/>
        <v>3</v>
      </c>
      <c r="AL58" t="e">
        <f t="shared" si="3"/>
        <v>#N/A</v>
      </c>
      <c r="AM58">
        <f t="shared" si="7"/>
        <v>4</v>
      </c>
      <c r="AN58" t="e">
        <f t="shared" si="4"/>
        <v>#N/A</v>
      </c>
    </row>
    <row r="59" spans="1:40" x14ac:dyDescent="0.25">
      <c r="A59">
        <v>58</v>
      </c>
      <c r="B59">
        <f ca="1">SMALL(dados!A$23:A$422,A59)</f>
        <v>0.14713935417376611</v>
      </c>
      <c r="C59">
        <f ca="1">VLOOKUP(B59,dados!A$23:E$422,4,0)</f>
        <v>1</v>
      </c>
      <c r="D59">
        <f ca="1">VLOOKUP(B59,dados!A$23:E$422,5,0)</f>
        <v>13</v>
      </c>
      <c r="E59">
        <f ca="1">COUNTIF(C$2:C59,1)</f>
        <v>41</v>
      </c>
      <c r="F59">
        <f ca="1">COUNTIF(C$2:C59,2)</f>
        <v>11</v>
      </c>
      <c r="G59">
        <f ca="1">COUNTIF(C$2:C59,3)</f>
        <v>6</v>
      </c>
      <c r="L59">
        <v>56</v>
      </c>
      <c r="M59">
        <v>13.414999999999999</v>
      </c>
      <c r="N59">
        <v>13.78375</v>
      </c>
      <c r="O59">
        <v>14.009874999999999</v>
      </c>
      <c r="P59">
        <v>13.646756944444444</v>
      </c>
      <c r="AG59">
        <v>1</v>
      </c>
      <c r="AH59" t="e">
        <f t="shared" si="1"/>
        <v>#N/A</v>
      </c>
      <c r="AI59">
        <f t="shared" si="5"/>
        <v>2</v>
      </c>
      <c r="AJ59" t="e">
        <f t="shared" si="2"/>
        <v>#N/A</v>
      </c>
      <c r="AK59">
        <f t="shared" si="6"/>
        <v>3</v>
      </c>
      <c r="AL59" t="e">
        <f t="shared" si="3"/>
        <v>#N/A</v>
      </c>
      <c r="AM59">
        <f t="shared" si="7"/>
        <v>4</v>
      </c>
      <c r="AN59" t="e">
        <f t="shared" si="4"/>
        <v>#N/A</v>
      </c>
    </row>
    <row r="60" spans="1:40" x14ac:dyDescent="0.25">
      <c r="A60">
        <v>59</v>
      </c>
      <c r="B60">
        <f ca="1">SMALL(dados!A$23:A$422,A60)</f>
        <v>0.15088629211890425</v>
      </c>
      <c r="C60">
        <f ca="1">VLOOKUP(B60,dados!A$23:E$422,4,0)</f>
        <v>3</v>
      </c>
      <c r="D60">
        <f ca="1">VLOOKUP(B60,dados!A$23:E$422,5,0)</f>
        <v>28</v>
      </c>
      <c r="E60">
        <f ca="1">COUNTIF(C$2:C60,1)</f>
        <v>41</v>
      </c>
      <c r="F60">
        <f ca="1">COUNTIF(C$2:C60,2)</f>
        <v>11</v>
      </c>
      <c r="G60">
        <f ca="1">COUNTIF(C$2:C60,3)</f>
        <v>7</v>
      </c>
      <c r="L60">
        <v>57</v>
      </c>
      <c r="M60">
        <v>14.4175</v>
      </c>
      <c r="N60">
        <v>14.8925</v>
      </c>
      <c r="O60">
        <v>14.28601388888889</v>
      </c>
      <c r="P60">
        <v>14.495750000000001</v>
      </c>
      <c r="AG60">
        <v>1</v>
      </c>
      <c r="AH60" t="e">
        <f t="shared" si="1"/>
        <v>#N/A</v>
      </c>
      <c r="AI60">
        <f t="shared" si="5"/>
        <v>2</v>
      </c>
      <c r="AJ60" t="e">
        <f t="shared" si="2"/>
        <v>#N/A</v>
      </c>
      <c r="AK60">
        <f t="shared" si="6"/>
        <v>3</v>
      </c>
      <c r="AL60" t="e">
        <f t="shared" si="3"/>
        <v>#N/A</v>
      </c>
      <c r="AM60">
        <f t="shared" si="7"/>
        <v>4</v>
      </c>
      <c r="AN60" t="e">
        <f t="shared" si="4"/>
        <v>#N/A</v>
      </c>
    </row>
    <row r="61" spans="1:40" x14ac:dyDescent="0.25">
      <c r="A61">
        <v>60</v>
      </c>
      <c r="B61">
        <f ca="1">SMALL(dados!A$23:A$422,A61)</f>
        <v>0.15185871485247471</v>
      </c>
      <c r="C61">
        <f ca="1">VLOOKUP(B61,dados!A$23:E$422,4,0)</f>
        <v>3</v>
      </c>
      <c r="D61">
        <f ca="1">VLOOKUP(B61,dados!A$23:E$422,5,0)</f>
        <v>41</v>
      </c>
      <c r="E61">
        <f ca="1">COUNTIF(C$2:C61,1)</f>
        <v>41</v>
      </c>
      <c r="F61">
        <f ca="1">COUNTIF(C$2:C61,2)</f>
        <v>11</v>
      </c>
      <c r="G61">
        <f ca="1">COUNTIF(C$2:C61,3)</f>
        <v>8</v>
      </c>
      <c r="L61">
        <v>58</v>
      </c>
      <c r="M61">
        <v>12.91375</v>
      </c>
      <c r="N61">
        <v>13.866250000000001</v>
      </c>
      <c r="O61">
        <v>13.742194444444443</v>
      </c>
      <c r="P61">
        <v>13.717055555555556</v>
      </c>
      <c r="AG61">
        <v>1</v>
      </c>
      <c r="AH61" t="e">
        <f t="shared" si="1"/>
        <v>#N/A</v>
      </c>
      <c r="AI61">
        <f t="shared" si="5"/>
        <v>2</v>
      </c>
      <c r="AJ61" t="e">
        <f t="shared" si="2"/>
        <v>#N/A</v>
      </c>
      <c r="AK61">
        <f t="shared" si="6"/>
        <v>3</v>
      </c>
      <c r="AL61" t="e">
        <f t="shared" si="3"/>
        <v>#N/A</v>
      </c>
      <c r="AM61">
        <f t="shared" si="7"/>
        <v>4</v>
      </c>
      <c r="AN61" t="e">
        <f t="shared" si="4"/>
        <v>#N/A</v>
      </c>
    </row>
    <row r="62" spans="1:40" x14ac:dyDescent="0.25">
      <c r="A62">
        <v>61</v>
      </c>
      <c r="B62">
        <f ca="1">SMALL(dados!A$23:A$422,A62)</f>
        <v>0.153567716632387</v>
      </c>
      <c r="C62">
        <f ca="1">VLOOKUP(B62,dados!A$23:E$422,4,0)</f>
        <v>1</v>
      </c>
      <c r="D62">
        <f ca="1">VLOOKUP(B62,dados!A$23:E$422,5,0)</f>
        <v>10</v>
      </c>
      <c r="E62">
        <f ca="1">COUNTIF(C$2:C62,1)</f>
        <v>42</v>
      </c>
      <c r="F62">
        <f ca="1">COUNTIF(C$2:C62,2)</f>
        <v>11</v>
      </c>
      <c r="G62">
        <f ca="1">COUNTIF(C$2:C62,3)</f>
        <v>8</v>
      </c>
      <c r="L62">
        <v>59</v>
      </c>
      <c r="M62">
        <v>14.62125</v>
      </c>
      <c r="N62">
        <v>14.263125</v>
      </c>
      <c r="O62">
        <v>13.877305555555553</v>
      </c>
      <c r="P62">
        <v>13.969743055555558</v>
      </c>
      <c r="AG62">
        <v>1</v>
      </c>
      <c r="AH62" t="e">
        <f t="shared" si="1"/>
        <v>#N/A</v>
      </c>
      <c r="AI62">
        <f t="shared" si="5"/>
        <v>2</v>
      </c>
      <c r="AJ62" t="e">
        <f t="shared" si="2"/>
        <v>#N/A</v>
      </c>
      <c r="AK62">
        <f t="shared" si="6"/>
        <v>3</v>
      </c>
      <c r="AL62" t="e">
        <f t="shared" si="3"/>
        <v>#N/A</v>
      </c>
      <c r="AM62">
        <f t="shared" si="7"/>
        <v>4</v>
      </c>
      <c r="AN62" t="e">
        <f t="shared" si="4"/>
        <v>#N/A</v>
      </c>
    </row>
    <row r="63" spans="1:40" x14ac:dyDescent="0.25">
      <c r="A63">
        <v>62</v>
      </c>
      <c r="B63">
        <f ca="1">SMALL(dados!A$23:A$422,A63)</f>
        <v>0.15849531894658941</v>
      </c>
      <c r="C63">
        <f ca="1">VLOOKUP(B63,dados!A$23:E$422,4,0)</f>
        <v>1</v>
      </c>
      <c r="D63">
        <f ca="1">VLOOKUP(B63,dados!A$23:E$422,5,0)</f>
        <v>13</v>
      </c>
      <c r="E63">
        <f ca="1">COUNTIF(C$2:C63,1)</f>
        <v>43</v>
      </c>
      <c r="F63">
        <f ca="1">COUNTIF(C$2:C63,2)</f>
        <v>11</v>
      </c>
      <c r="G63">
        <f ca="1">COUNTIF(C$2:C63,3)</f>
        <v>8</v>
      </c>
      <c r="L63">
        <v>60</v>
      </c>
      <c r="M63">
        <v>13.855</v>
      </c>
      <c r="N63">
        <v>14.845625</v>
      </c>
      <c r="O63">
        <v>14.028208333333334</v>
      </c>
      <c r="P63">
        <v>14.18</v>
      </c>
      <c r="AG63">
        <v>1</v>
      </c>
      <c r="AH63" t="e">
        <f t="shared" si="1"/>
        <v>#N/A</v>
      </c>
      <c r="AI63">
        <f t="shared" si="5"/>
        <v>2</v>
      </c>
      <c r="AJ63" t="e">
        <f t="shared" si="2"/>
        <v>#N/A</v>
      </c>
      <c r="AK63">
        <f t="shared" si="6"/>
        <v>3</v>
      </c>
      <c r="AL63" t="e">
        <f t="shared" si="3"/>
        <v>#N/A</v>
      </c>
      <c r="AM63">
        <f t="shared" si="7"/>
        <v>4</v>
      </c>
      <c r="AN63" t="e">
        <f t="shared" si="4"/>
        <v>#N/A</v>
      </c>
    </row>
    <row r="64" spans="1:40" x14ac:dyDescent="0.25">
      <c r="A64">
        <v>63</v>
      </c>
      <c r="B64">
        <f ca="1">SMALL(dados!A$23:A$422,A64)</f>
        <v>0.16417302403594647</v>
      </c>
      <c r="C64">
        <f ca="1">VLOOKUP(B64,dados!A$23:E$422,4,0)</f>
        <v>1</v>
      </c>
      <c r="D64">
        <f ca="1">VLOOKUP(B64,dados!A$23:E$422,5,0)</f>
        <v>10</v>
      </c>
      <c r="E64">
        <f ca="1">COUNTIF(C$2:C64,1)</f>
        <v>44</v>
      </c>
      <c r="F64">
        <f ca="1">COUNTIF(C$2:C64,2)</f>
        <v>11</v>
      </c>
      <c r="G64">
        <f ca="1">COUNTIF(C$2:C64,3)</f>
        <v>8</v>
      </c>
      <c r="L64">
        <v>61</v>
      </c>
      <c r="M64">
        <v>14.2475</v>
      </c>
      <c r="N64">
        <v>13.602499999999999</v>
      </c>
      <c r="O64">
        <v>13.554833333333333</v>
      </c>
      <c r="P64">
        <v>13.737027777777778</v>
      </c>
      <c r="AG64">
        <v>1</v>
      </c>
      <c r="AH64" t="e">
        <f t="shared" si="1"/>
        <v>#N/A</v>
      </c>
      <c r="AI64">
        <f t="shared" si="5"/>
        <v>2</v>
      </c>
      <c r="AJ64" t="e">
        <f t="shared" si="2"/>
        <v>#N/A</v>
      </c>
      <c r="AK64">
        <f t="shared" si="6"/>
        <v>3</v>
      </c>
      <c r="AL64" t="e">
        <f t="shared" si="3"/>
        <v>#N/A</v>
      </c>
      <c r="AM64">
        <f t="shared" si="7"/>
        <v>4</v>
      </c>
      <c r="AN64" t="e">
        <f t="shared" si="4"/>
        <v>#N/A</v>
      </c>
    </row>
    <row r="65" spans="1:40" x14ac:dyDescent="0.25">
      <c r="A65">
        <v>64</v>
      </c>
      <c r="B65">
        <f ca="1">SMALL(dados!A$23:A$422,A65)</f>
        <v>0.1678236788407228</v>
      </c>
      <c r="C65">
        <f ca="1">VLOOKUP(B65,dados!A$23:E$422,4,0)</f>
        <v>1</v>
      </c>
      <c r="D65">
        <f ca="1">VLOOKUP(B65,dados!A$23:E$422,5,0)</f>
        <v>11</v>
      </c>
      <c r="E65">
        <f ca="1">COUNTIF(C$2:C65,1)</f>
        <v>45</v>
      </c>
      <c r="F65">
        <f ca="1">COUNTIF(C$2:C65,2)</f>
        <v>11</v>
      </c>
      <c r="G65">
        <f ca="1">COUNTIF(C$2:C65,3)</f>
        <v>8</v>
      </c>
      <c r="L65">
        <v>62</v>
      </c>
      <c r="M65">
        <v>12.885</v>
      </c>
      <c r="N65">
        <v>13.813750000000001</v>
      </c>
      <c r="O65">
        <v>13.956763888888888</v>
      </c>
      <c r="P65">
        <v>13.62072222222222</v>
      </c>
      <c r="AG65">
        <v>1</v>
      </c>
      <c r="AH65" t="e">
        <f t="shared" si="1"/>
        <v>#N/A</v>
      </c>
      <c r="AI65">
        <f t="shared" si="5"/>
        <v>2</v>
      </c>
      <c r="AJ65" t="e">
        <f t="shared" si="2"/>
        <v>#N/A</v>
      </c>
      <c r="AK65">
        <f t="shared" si="6"/>
        <v>3</v>
      </c>
      <c r="AL65" t="e">
        <f t="shared" si="3"/>
        <v>#N/A</v>
      </c>
      <c r="AM65">
        <f t="shared" si="7"/>
        <v>4</v>
      </c>
      <c r="AN65" t="e">
        <f t="shared" si="4"/>
        <v>#N/A</v>
      </c>
    </row>
    <row r="66" spans="1:40" x14ac:dyDescent="0.25">
      <c r="A66">
        <v>65</v>
      </c>
      <c r="B66">
        <f ca="1">SMALL(dados!A$23:A$422,A66)</f>
        <v>0.16889114811423711</v>
      </c>
      <c r="C66">
        <f ca="1">VLOOKUP(B66,dados!A$23:E$422,4,0)</f>
        <v>2</v>
      </c>
      <c r="D66">
        <f ca="1">VLOOKUP(B66,dados!A$23:E$422,5,0)</f>
        <v>30</v>
      </c>
      <c r="E66">
        <f ca="1">COUNTIF(C$2:C66,1)</f>
        <v>45</v>
      </c>
      <c r="F66">
        <f ca="1">COUNTIF(C$2:C66,2)</f>
        <v>12</v>
      </c>
      <c r="G66">
        <f ca="1">COUNTIF(C$2:C66,3)</f>
        <v>8</v>
      </c>
      <c r="L66">
        <v>63</v>
      </c>
      <c r="M66">
        <v>14.9975</v>
      </c>
      <c r="N66">
        <v>14.714375</v>
      </c>
      <c r="O66">
        <v>15.006097222222222</v>
      </c>
      <c r="P66">
        <v>14.432618055555556</v>
      </c>
      <c r="AG66">
        <v>1</v>
      </c>
      <c r="AH66" t="e">
        <f t="shared" si="1"/>
        <v>#N/A</v>
      </c>
      <c r="AI66">
        <f t="shared" si="5"/>
        <v>2</v>
      </c>
      <c r="AJ66" t="e">
        <f t="shared" si="2"/>
        <v>#N/A</v>
      </c>
      <c r="AK66">
        <f t="shared" si="6"/>
        <v>3</v>
      </c>
      <c r="AL66" t="e">
        <f t="shared" si="3"/>
        <v>#N/A</v>
      </c>
      <c r="AM66">
        <f t="shared" si="7"/>
        <v>4</v>
      </c>
      <c r="AN66" t="e">
        <f t="shared" si="4"/>
        <v>#N/A</v>
      </c>
    </row>
    <row r="67" spans="1:40" x14ac:dyDescent="0.25">
      <c r="A67">
        <v>66</v>
      </c>
      <c r="B67">
        <f ca="1">SMALL(dados!A$23:A$422,A67)</f>
        <v>0.17019568926574313</v>
      </c>
      <c r="C67">
        <f ca="1">VLOOKUP(B67,dados!A$23:E$422,4,0)</f>
        <v>1</v>
      </c>
      <c r="D67">
        <f ca="1">VLOOKUP(B67,dados!A$23:E$422,5,0)</f>
        <v>8</v>
      </c>
      <c r="E67">
        <f ca="1">COUNTIF(C$2:C67,1)</f>
        <v>46</v>
      </c>
      <c r="F67">
        <f ca="1">COUNTIF(C$2:C67,2)</f>
        <v>12</v>
      </c>
      <c r="G67">
        <f ca="1">COUNTIF(C$2:C67,3)</f>
        <v>8</v>
      </c>
      <c r="L67">
        <v>64</v>
      </c>
      <c r="M67">
        <v>14.3925</v>
      </c>
      <c r="N67">
        <v>14.693125</v>
      </c>
      <c r="O67">
        <v>13.982097222222221</v>
      </c>
      <c r="P67">
        <v>14.047305555555557</v>
      </c>
      <c r="AG67">
        <v>1</v>
      </c>
      <c r="AH67" t="e">
        <f t="shared" si="1"/>
        <v>#N/A</v>
      </c>
      <c r="AI67">
        <f t="shared" si="5"/>
        <v>2</v>
      </c>
      <c r="AJ67" t="e">
        <f t="shared" si="2"/>
        <v>#N/A</v>
      </c>
      <c r="AK67">
        <f t="shared" si="6"/>
        <v>3</v>
      </c>
      <c r="AL67" t="e">
        <f t="shared" si="3"/>
        <v>#N/A</v>
      </c>
      <c r="AM67">
        <f t="shared" si="7"/>
        <v>4</v>
      </c>
      <c r="AN67" t="e">
        <f t="shared" si="4"/>
        <v>#N/A</v>
      </c>
    </row>
    <row r="68" spans="1:40" x14ac:dyDescent="0.25">
      <c r="A68">
        <v>67</v>
      </c>
      <c r="B68">
        <f ca="1">SMALL(dados!A$23:A$422,A68)</f>
        <v>0.17096267850416336</v>
      </c>
      <c r="C68">
        <f ca="1">VLOOKUP(B68,dados!A$23:E$422,4,0)</f>
        <v>1</v>
      </c>
      <c r="D68">
        <f ca="1">VLOOKUP(B68,dados!A$23:E$422,5,0)</f>
        <v>11</v>
      </c>
      <c r="E68">
        <f ca="1">COUNTIF(C$2:C68,1)</f>
        <v>47</v>
      </c>
      <c r="F68">
        <f ca="1">COUNTIF(C$2:C68,2)</f>
        <v>12</v>
      </c>
      <c r="G68">
        <f ca="1">COUNTIF(C$2:C68,3)</f>
        <v>8</v>
      </c>
      <c r="L68">
        <v>65</v>
      </c>
      <c r="M68">
        <v>12.897500000000001</v>
      </c>
      <c r="N68">
        <v>14.168125</v>
      </c>
      <c r="O68">
        <v>14.843305555555558</v>
      </c>
      <c r="P68">
        <v>14.557638888888889</v>
      </c>
      <c r="AG68">
        <v>1</v>
      </c>
      <c r="AH68" t="e">
        <f t="shared" ref="AH68:AH131" si="8">IF(OR(M68&lt;S$3,M68&gt;S$7),M68,#N/A)</f>
        <v>#N/A</v>
      </c>
      <c r="AI68">
        <f t="shared" si="5"/>
        <v>2</v>
      </c>
      <c r="AJ68" t="e">
        <f t="shared" ref="AJ68:AJ131" si="9">IF(OR(N68&lt;T$3,N68&gt;T$7),N68,#N/A)</f>
        <v>#N/A</v>
      </c>
      <c r="AK68">
        <f t="shared" si="6"/>
        <v>3</v>
      </c>
      <c r="AL68" t="e">
        <f t="shared" ref="AL68:AL131" si="10">IF(OR(O68&lt;U$3,O68&gt;U$7),O68,#N/A)</f>
        <v>#N/A</v>
      </c>
      <c r="AM68">
        <f t="shared" si="7"/>
        <v>4</v>
      </c>
      <c r="AN68" t="e">
        <f t="shared" ref="AN68:AN131" si="11">IF(OR(P68&lt;V$3,P68&gt;V$7),P68,#N/A)</f>
        <v>#N/A</v>
      </c>
    </row>
    <row r="69" spans="1:40" x14ac:dyDescent="0.25">
      <c r="A69">
        <v>68</v>
      </c>
      <c r="B69">
        <f ca="1">SMALL(dados!A$23:A$422,A69)</f>
        <v>0.17289314256842181</v>
      </c>
      <c r="C69">
        <f ca="1">VLOOKUP(B69,dados!A$23:E$422,4,0)</f>
        <v>1</v>
      </c>
      <c r="D69">
        <f ca="1">VLOOKUP(B69,dados!A$23:E$422,5,0)</f>
        <v>12</v>
      </c>
      <c r="E69">
        <f ca="1">COUNTIF(C$2:C69,1)</f>
        <v>48</v>
      </c>
      <c r="F69">
        <f ca="1">COUNTIF(C$2:C69,2)</f>
        <v>12</v>
      </c>
      <c r="G69">
        <f ca="1">COUNTIF(C$2:C69,3)</f>
        <v>8</v>
      </c>
      <c r="L69">
        <v>66</v>
      </c>
      <c r="M69">
        <v>15.545</v>
      </c>
      <c r="N69">
        <v>14.994999999999999</v>
      </c>
      <c r="O69">
        <v>14.621305555555555</v>
      </c>
      <c r="P69">
        <v>14.2994375</v>
      </c>
      <c r="AG69">
        <v>1</v>
      </c>
      <c r="AH69" t="e">
        <f t="shared" si="8"/>
        <v>#N/A</v>
      </c>
      <c r="AI69">
        <f t="shared" ref="AI69:AI132" si="12">AG69+1</f>
        <v>2</v>
      </c>
      <c r="AJ69" t="e">
        <f t="shared" si="9"/>
        <v>#N/A</v>
      </c>
      <c r="AK69">
        <f t="shared" ref="AK69:AK132" si="13">AI69+1</f>
        <v>3</v>
      </c>
      <c r="AL69" t="e">
        <f t="shared" si="10"/>
        <v>#N/A</v>
      </c>
      <c r="AM69">
        <f t="shared" ref="AM69:AM132" si="14">AK69+1</f>
        <v>4</v>
      </c>
      <c r="AN69" t="e">
        <f t="shared" si="11"/>
        <v>#N/A</v>
      </c>
    </row>
    <row r="70" spans="1:40" x14ac:dyDescent="0.25">
      <c r="A70">
        <v>69</v>
      </c>
      <c r="B70">
        <f ca="1">SMALL(dados!A$23:A$422,A70)</f>
        <v>0.17400411420052342</v>
      </c>
      <c r="C70">
        <f ca="1">VLOOKUP(B70,dados!A$23:E$422,4,0)</f>
        <v>1</v>
      </c>
      <c r="D70">
        <f ca="1">VLOOKUP(B70,dados!A$23:E$422,5,0)</f>
        <v>15</v>
      </c>
      <c r="E70">
        <f ca="1">COUNTIF(C$2:C70,1)</f>
        <v>49</v>
      </c>
      <c r="F70">
        <f ca="1">COUNTIF(C$2:C70,2)</f>
        <v>12</v>
      </c>
      <c r="G70">
        <f ca="1">COUNTIF(C$2:C70,3)</f>
        <v>8</v>
      </c>
      <c r="L70">
        <v>67</v>
      </c>
      <c r="M70">
        <v>14.6</v>
      </c>
      <c r="N70">
        <v>14.15625</v>
      </c>
      <c r="O70">
        <v>13.617444444444443</v>
      </c>
      <c r="P70">
        <v>14.251368055555556</v>
      </c>
      <c r="AG70">
        <v>1</v>
      </c>
      <c r="AH70" t="e">
        <f t="shared" si="8"/>
        <v>#N/A</v>
      </c>
      <c r="AI70">
        <f t="shared" si="12"/>
        <v>2</v>
      </c>
      <c r="AJ70" t="e">
        <f t="shared" si="9"/>
        <v>#N/A</v>
      </c>
      <c r="AK70">
        <f t="shared" si="13"/>
        <v>3</v>
      </c>
      <c r="AL70" t="e">
        <f t="shared" si="10"/>
        <v>#N/A</v>
      </c>
      <c r="AM70">
        <f t="shared" si="14"/>
        <v>4</v>
      </c>
      <c r="AN70" t="e">
        <f t="shared" si="11"/>
        <v>#N/A</v>
      </c>
    </row>
    <row r="71" spans="1:40" x14ac:dyDescent="0.25">
      <c r="A71">
        <v>70</v>
      </c>
      <c r="B71">
        <f ca="1">SMALL(dados!A$23:A$422,A71)</f>
        <v>0.17593738332901598</v>
      </c>
      <c r="C71">
        <f ca="1">VLOOKUP(B71,dados!A$23:E$422,4,0)</f>
        <v>1</v>
      </c>
      <c r="D71">
        <f ca="1">VLOOKUP(B71,dados!A$23:E$422,5,0)</f>
        <v>12</v>
      </c>
      <c r="E71">
        <f ca="1">COUNTIF(C$2:C71,1)</f>
        <v>50</v>
      </c>
      <c r="F71">
        <f ca="1">COUNTIF(C$2:C71,2)</f>
        <v>12</v>
      </c>
      <c r="G71">
        <f ca="1">COUNTIF(C$2:C71,3)</f>
        <v>8</v>
      </c>
      <c r="L71">
        <v>68</v>
      </c>
      <c r="M71">
        <v>14.6525</v>
      </c>
      <c r="N71">
        <v>14.501875</v>
      </c>
      <c r="O71">
        <v>14.455138888888888</v>
      </c>
      <c r="P71">
        <v>14.281784722222222</v>
      </c>
      <c r="AG71">
        <v>1</v>
      </c>
      <c r="AH71" t="e">
        <f t="shared" si="8"/>
        <v>#N/A</v>
      </c>
      <c r="AI71">
        <f t="shared" si="12"/>
        <v>2</v>
      </c>
      <c r="AJ71" t="e">
        <f t="shared" si="9"/>
        <v>#N/A</v>
      </c>
      <c r="AK71">
        <f t="shared" si="13"/>
        <v>3</v>
      </c>
      <c r="AL71" t="e">
        <f t="shared" si="10"/>
        <v>#N/A</v>
      </c>
      <c r="AM71">
        <f t="shared" si="14"/>
        <v>4</v>
      </c>
      <c r="AN71" t="e">
        <f t="shared" si="11"/>
        <v>#N/A</v>
      </c>
    </row>
    <row r="72" spans="1:40" x14ac:dyDescent="0.25">
      <c r="A72">
        <v>71</v>
      </c>
      <c r="B72">
        <f ca="1">SMALL(dados!A$23:A$422,A72)</f>
        <v>0.17648557128544562</v>
      </c>
      <c r="C72">
        <f ca="1">VLOOKUP(B72,dados!A$23:E$422,4,0)</f>
        <v>1</v>
      </c>
      <c r="D72">
        <f ca="1">VLOOKUP(B72,dados!A$23:E$422,5,0)</f>
        <v>13</v>
      </c>
      <c r="E72">
        <f ca="1">COUNTIF(C$2:C72,1)</f>
        <v>51</v>
      </c>
      <c r="F72">
        <f ca="1">COUNTIF(C$2:C72,2)</f>
        <v>12</v>
      </c>
      <c r="G72">
        <f ca="1">COUNTIF(C$2:C72,3)</f>
        <v>8</v>
      </c>
      <c r="L72">
        <v>69</v>
      </c>
      <c r="M72">
        <v>14.657500000000001</v>
      </c>
      <c r="N72">
        <v>14.30625</v>
      </c>
      <c r="O72">
        <v>14.594513888888887</v>
      </c>
      <c r="P72">
        <v>14.019104166666667</v>
      </c>
      <c r="AG72">
        <v>1</v>
      </c>
      <c r="AH72" t="e">
        <f t="shared" si="8"/>
        <v>#N/A</v>
      </c>
      <c r="AI72">
        <f t="shared" si="12"/>
        <v>2</v>
      </c>
      <c r="AJ72" t="e">
        <f t="shared" si="9"/>
        <v>#N/A</v>
      </c>
      <c r="AK72">
        <f t="shared" si="13"/>
        <v>3</v>
      </c>
      <c r="AL72" t="e">
        <f t="shared" si="10"/>
        <v>#N/A</v>
      </c>
      <c r="AM72">
        <f t="shared" si="14"/>
        <v>4</v>
      </c>
      <c r="AN72" t="e">
        <f t="shared" si="11"/>
        <v>#N/A</v>
      </c>
    </row>
    <row r="73" spans="1:40" x14ac:dyDescent="0.25">
      <c r="A73">
        <v>72</v>
      </c>
      <c r="B73">
        <f ca="1">SMALL(dados!A$23:A$422,A73)</f>
        <v>0.17677942798379731</v>
      </c>
      <c r="C73">
        <f ca="1">VLOOKUP(B73,dados!A$23:E$422,4,0)</f>
        <v>1</v>
      </c>
      <c r="D73">
        <f ca="1">VLOOKUP(B73,dados!A$23:E$422,5,0)</f>
        <v>11</v>
      </c>
      <c r="E73">
        <f ca="1">COUNTIF(C$2:C73,1)</f>
        <v>52</v>
      </c>
      <c r="F73">
        <f ca="1">COUNTIF(C$2:C73,2)</f>
        <v>12</v>
      </c>
      <c r="G73">
        <f ca="1">COUNTIF(C$2:C73,3)</f>
        <v>8</v>
      </c>
      <c r="L73">
        <v>70</v>
      </c>
      <c r="M73">
        <v>12.64</v>
      </c>
      <c r="N73">
        <v>13.100625000000001</v>
      </c>
      <c r="O73">
        <v>14.413263888888887</v>
      </c>
      <c r="P73">
        <v>14.341875</v>
      </c>
      <c r="AG73">
        <v>1</v>
      </c>
      <c r="AH73" t="e">
        <f t="shared" si="8"/>
        <v>#N/A</v>
      </c>
      <c r="AI73">
        <f t="shared" si="12"/>
        <v>2</v>
      </c>
      <c r="AJ73" t="e">
        <f t="shared" si="9"/>
        <v>#N/A</v>
      </c>
      <c r="AK73">
        <f t="shared" si="13"/>
        <v>3</v>
      </c>
      <c r="AL73" t="e">
        <f t="shared" si="10"/>
        <v>#N/A</v>
      </c>
      <c r="AM73">
        <f t="shared" si="14"/>
        <v>4</v>
      </c>
      <c r="AN73" t="e">
        <f t="shared" si="11"/>
        <v>#N/A</v>
      </c>
    </row>
    <row r="74" spans="1:40" x14ac:dyDescent="0.25">
      <c r="A74">
        <v>73</v>
      </c>
      <c r="B74">
        <f ca="1">SMALL(dados!A$23:A$422,A74)</f>
        <v>0.17740241898666453</v>
      </c>
      <c r="C74">
        <f ca="1">VLOOKUP(B74,dados!A$23:E$422,4,0)</f>
        <v>1</v>
      </c>
      <c r="D74">
        <f ca="1">VLOOKUP(B74,dados!A$23:E$422,5,0)</f>
        <v>10</v>
      </c>
      <c r="E74">
        <f ca="1">COUNTIF(C$2:C74,1)</f>
        <v>53</v>
      </c>
      <c r="F74">
        <f ca="1">COUNTIF(C$2:C74,2)</f>
        <v>12</v>
      </c>
      <c r="G74">
        <f ca="1">COUNTIF(C$2:C74,3)</f>
        <v>8</v>
      </c>
      <c r="L74">
        <v>71</v>
      </c>
      <c r="M74">
        <v>14.668749999999999</v>
      </c>
      <c r="N74">
        <v>15.065</v>
      </c>
      <c r="O74">
        <v>14.902861111111111</v>
      </c>
      <c r="P74">
        <v>14.418687500000001</v>
      </c>
      <c r="AG74">
        <v>1</v>
      </c>
      <c r="AH74" t="e">
        <f t="shared" si="8"/>
        <v>#N/A</v>
      </c>
      <c r="AI74">
        <f t="shared" si="12"/>
        <v>2</v>
      </c>
      <c r="AJ74" t="e">
        <f t="shared" si="9"/>
        <v>#N/A</v>
      </c>
      <c r="AK74">
        <f t="shared" si="13"/>
        <v>3</v>
      </c>
      <c r="AL74" t="e">
        <f t="shared" si="10"/>
        <v>#N/A</v>
      </c>
      <c r="AM74">
        <f t="shared" si="14"/>
        <v>4</v>
      </c>
      <c r="AN74" t="e">
        <f t="shared" si="11"/>
        <v>#N/A</v>
      </c>
    </row>
    <row r="75" spans="1:40" x14ac:dyDescent="0.25">
      <c r="A75">
        <v>74</v>
      </c>
      <c r="B75">
        <f ca="1">SMALL(dados!A$23:A$422,A75)</f>
        <v>0.18314890121897187</v>
      </c>
      <c r="C75">
        <f ca="1">VLOOKUP(B75,dados!A$23:E$422,4,0)</f>
        <v>1</v>
      </c>
      <c r="D75">
        <f ca="1">VLOOKUP(B75,dados!A$23:E$422,5,0)</f>
        <v>12</v>
      </c>
      <c r="E75">
        <f ca="1">COUNTIF(C$2:C75,1)</f>
        <v>54</v>
      </c>
      <c r="F75">
        <f ca="1">COUNTIF(C$2:C75,2)</f>
        <v>12</v>
      </c>
      <c r="G75">
        <f ca="1">COUNTIF(C$2:C75,3)</f>
        <v>8</v>
      </c>
      <c r="L75">
        <v>72</v>
      </c>
      <c r="M75">
        <v>13.3</v>
      </c>
      <c r="N75">
        <v>13.983124999999999</v>
      </c>
      <c r="O75">
        <v>14.230625</v>
      </c>
      <c r="P75">
        <v>14.269312500000002</v>
      </c>
      <c r="AG75">
        <v>1</v>
      </c>
      <c r="AH75" t="e">
        <f t="shared" si="8"/>
        <v>#N/A</v>
      </c>
      <c r="AI75">
        <f t="shared" si="12"/>
        <v>2</v>
      </c>
      <c r="AJ75" t="e">
        <f t="shared" si="9"/>
        <v>#N/A</v>
      </c>
      <c r="AK75">
        <f t="shared" si="13"/>
        <v>3</v>
      </c>
      <c r="AL75" t="e">
        <f t="shared" si="10"/>
        <v>#N/A</v>
      </c>
      <c r="AM75">
        <f t="shared" si="14"/>
        <v>4</v>
      </c>
      <c r="AN75" t="e">
        <f t="shared" si="11"/>
        <v>#N/A</v>
      </c>
    </row>
    <row r="76" spans="1:40" x14ac:dyDescent="0.25">
      <c r="A76">
        <v>75</v>
      </c>
      <c r="B76">
        <f ca="1">SMALL(dados!A$23:A$422,A76)</f>
        <v>0.19367549888233981</v>
      </c>
      <c r="C76">
        <f ca="1">VLOOKUP(B76,dados!A$23:E$422,4,0)</f>
        <v>1</v>
      </c>
      <c r="D76">
        <f ca="1">VLOOKUP(B76,dados!A$23:E$422,5,0)</f>
        <v>11</v>
      </c>
      <c r="E76">
        <f ca="1">COUNTIF(C$2:C76,1)</f>
        <v>55</v>
      </c>
      <c r="F76">
        <f ca="1">COUNTIF(C$2:C76,2)</f>
        <v>12</v>
      </c>
      <c r="G76">
        <f ca="1">COUNTIF(C$2:C76,3)</f>
        <v>8</v>
      </c>
      <c r="L76">
        <v>73</v>
      </c>
      <c r="M76">
        <v>13.77875</v>
      </c>
      <c r="N76">
        <v>13.846875000000001</v>
      </c>
      <c r="O76">
        <v>13.781527777777779</v>
      </c>
      <c r="P76">
        <v>13.789027777777779</v>
      </c>
      <c r="AG76">
        <v>1</v>
      </c>
      <c r="AH76" t="e">
        <f t="shared" si="8"/>
        <v>#N/A</v>
      </c>
      <c r="AI76">
        <f t="shared" si="12"/>
        <v>2</v>
      </c>
      <c r="AJ76" t="e">
        <f t="shared" si="9"/>
        <v>#N/A</v>
      </c>
      <c r="AK76">
        <f t="shared" si="13"/>
        <v>3</v>
      </c>
      <c r="AL76" t="e">
        <f t="shared" si="10"/>
        <v>#N/A</v>
      </c>
      <c r="AM76">
        <f t="shared" si="14"/>
        <v>4</v>
      </c>
      <c r="AN76" t="e">
        <f t="shared" si="11"/>
        <v>#N/A</v>
      </c>
    </row>
    <row r="77" spans="1:40" x14ac:dyDescent="0.25">
      <c r="A77">
        <v>76</v>
      </c>
      <c r="B77">
        <f ca="1">SMALL(dados!A$23:A$422,A77)</f>
        <v>0.19431050777327719</v>
      </c>
      <c r="C77">
        <f ca="1">VLOOKUP(B77,dados!A$23:E$422,4,0)</f>
        <v>1</v>
      </c>
      <c r="D77">
        <f ca="1">VLOOKUP(B77,dados!A$23:E$422,5,0)</f>
        <v>7</v>
      </c>
      <c r="E77">
        <f ca="1">COUNTIF(C$2:C77,1)</f>
        <v>56</v>
      </c>
      <c r="F77">
        <f ca="1">COUNTIF(C$2:C77,2)</f>
        <v>12</v>
      </c>
      <c r="G77">
        <f ca="1">COUNTIF(C$2:C77,3)</f>
        <v>8</v>
      </c>
      <c r="L77">
        <v>74</v>
      </c>
      <c r="M77">
        <v>15.391249999999999</v>
      </c>
      <c r="N77">
        <v>15.524374999999999</v>
      </c>
      <c r="O77">
        <v>15.084333333333332</v>
      </c>
      <c r="P77">
        <v>14.719229166666667</v>
      </c>
      <c r="AG77">
        <v>1</v>
      </c>
      <c r="AH77" t="e">
        <f t="shared" si="8"/>
        <v>#N/A</v>
      </c>
      <c r="AI77">
        <f t="shared" si="12"/>
        <v>2</v>
      </c>
      <c r="AJ77" t="e">
        <f t="shared" si="9"/>
        <v>#N/A</v>
      </c>
      <c r="AK77">
        <f t="shared" si="13"/>
        <v>3</v>
      </c>
      <c r="AL77" t="e">
        <f t="shared" si="10"/>
        <v>#N/A</v>
      </c>
      <c r="AM77">
        <f t="shared" si="14"/>
        <v>4</v>
      </c>
      <c r="AN77" t="e">
        <f t="shared" si="11"/>
        <v>#N/A</v>
      </c>
    </row>
    <row r="78" spans="1:40" x14ac:dyDescent="0.25">
      <c r="A78">
        <v>77</v>
      </c>
      <c r="B78">
        <f ca="1">SMALL(dados!A$23:A$422,A78)</f>
        <v>0.19992417622345382</v>
      </c>
      <c r="C78">
        <f ca="1">VLOOKUP(B78,dados!A$23:E$422,4,0)</f>
        <v>1</v>
      </c>
      <c r="D78">
        <f ca="1">VLOOKUP(B78,dados!A$23:E$422,5,0)</f>
        <v>2</v>
      </c>
      <c r="E78">
        <f ca="1">COUNTIF(C$2:C78,1)</f>
        <v>57</v>
      </c>
      <c r="F78">
        <f ca="1">COUNTIF(C$2:C78,2)</f>
        <v>12</v>
      </c>
      <c r="G78">
        <f ca="1">COUNTIF(C$2:C78,3)</f>
        <v>8</v>
      </c>
      <c r="L78">
        <v>75</v>
      </c>
      <c r="M78">
        <v>15.44</v>
      </c>
      <c r="N78">
        <v>14.473125</v>
      </c>
      <c r="O78">
        <v>14.073805555555557</v>
      </c>
      <c r="P78">
        <v>13.931895833333336</v>
      </c>
      <c r="AG78">
        <v>1</v>
      </c>
      <c r="AH78" t="e">
        <f t="shared" si="8"/>
        <v>#N/A</v>
      </c>
      <c r="AI78">
        <f t="shared" si="12"/>
        <v>2</v>
      </c>
      <c r="AJ78" t="e">
        <f t="shared" si="9"/>
        <v>#N/A</v>
      </c>
      <c r="AK78">
        <f t="shared" si="13"/>
        <v>3</v>
      </c>
      <c r="AL78" t="e">
        <f t="shared" si="10"/>
        <v>#N/A</v>
      </c>
      <c r="AM78">
        <f t="shared" si="14"/>
        <v>4</v>
      </c>
      <c r="AN78" t="e">
        <f t="shared" si="11"/>
        <v>#N/A</v>
      </c>
    </row>
    <row r="79" spans="1:40" x14ac:dyDescent="0.25">
      <c r="A79">
        <v>78</v>
      </c>
      <c r="B79">
        <f ca="1">SMALL(dados!A$23:A$422,A79)</f>
        <v>0.20149896773166587</v>
      </c>
      <c r="C79">
        <f ca="1">VLOOKUP(B79,dados!A$23:E$422,4,0)</f>
        <v>1</v>
      </c>
      <c r="D79">
        <f ca="1">VLOOKUP(B79,dados!A$23:E$422,5,0)</f>
        <v>10</v>
      </c>
      <c r="E79">
        <f ca="1">COUNTIF(C$2:C79,1)</f>
        <v>58</v>
      </c>
      <c r="F79">
        <f ca="1">COUNTIF(C$2:C79,2)</f>
        <v>12</v>
      </c>
      <c r="G79">
        <f ca="1">COUNTIF(C$2:C79,3)</f>
        <v>8</v>
      </c>
      <c r="L79">
        <v>76</v>
      </c>
      <c r="M79">
        <v>15.51375</v>
      </c>
      <c r="N79">
        <v>14.085625</v>
      </c>
      <c r="O79">
        <v>13.177069444444443</v>
      </c>
      <c r="P79">
        <v>13.515250000000002</v>
      </c>
      <c r="AG79">
        <v>1</v>
      </c>
      <c r="AH79" t="e">
        <f t="shared" si="8"/>
        <v>#N/A</v>
      </c>
      <c r="AI79">
        <f t="shared" si="12"/>
        <v>2</v>
      </c>
      <c r="AJ79" t="e">
        <f t="shared" si="9"/>
        <v>#N/A</v>
      </c>
      <c r="AK79">
        <f t="shared" si="13"/>
        <v>3</v>
      </c>
      <c r="AL79" t="e">
        <f t="shared" si="10"/>
        <v>#N/A</v>
      </c>
      <c r="AM79">
        <f t="shared" si="14"/>
        <v>4</v>
      </c>
      <c r="AN79" t="e">
        <f t="shared" si="11"/>
        <v>#N/A</v>
      </c>
    </row>
    <row r="80" spans="1:40" x14ac:dyDescent="0.25">
      <c r="A80">
        <v>79</v>
      </c>
      <c r="B80">
        <f ca="1">SMALL(dados!A$23:A$422,A80)</f>
        <v>0.20268371189523826</v>
      </c>
      <c r="C80">
        <f ca="1">VLOOKUP(B80,dados!A$23:E$422,4,0)</f>
        <v>1</v>
      </c>
      <c r="D80">
        <f ca="1">VLOOKUP(B80,dados!A$23:E$422,5,0)</f>
        <v>8</v>
      </c>
      <c r="E80">
        <f ca="1">COUNTIF(C$2:C80,1)</f>
        <v>59</v>
      </c>
      <c r="F80">
        <f ca="1">COUNTIF(C$2:C80,2)</f>
        <v>12</v>
      </c>
      <c r="G80">
        <f ca="1">COUNTIF(C$2:C80,3)</f>
        <v>8</v>
      </c>
      <c r="L80">
        <v>77</v>
      </c>
      <c r="M80">
        <v>14.133749999999999</v>
      </c>
      <c r="N80">
        <v>13.781874999999999</v>
      </c>
      <c r="O80">
        <v>14.300305555555555</v>
      </c>
      <c r="P80">
        <v>14.616388888888887</v>
      </c>
      <c r="AG80">
        <v>1</v>
      </c>
      <c r="AH80" t="e">
        <f t="shared" si="8"/>
        <v>#N/A</v>
      </c>
      <c r="AI80">
        <f t="shared" si="12"/>
        <v>2</v>
      </c>
      <c r="AJ80" t="e">
        <f t="shared" si="9"/>
        <v>#N/A</v>
      </c>
      <c r="AK80">
        <f t="shared" si="13"/>
        <v>3</v>
      </c>
      <c r="AL80" t="e">
        <f t="shared" si="10"/>
        <v>#N/A</v>
      </c>
      <c r="AM80">
        <f t="shared" si="14"/>
        <v>4</v>
      </c>
      <c r="AN80" t="e">
        <f t="shared" si="11"/>
        <v>#N/A</v>
      </c>
    </row>
    <row r="81" spans="1:40" x14ac:dyDescent="0.25">
      <c r="A81">
        <v>80</v>
      </c>
      <c r="B81">
        <f ca="1">SMALL(dados!A$23:A$422,A81)</f>
        <v>0.21433028223481321</v>
      </c>
      <c r="C81">
        <f ca="1">VLOOKUP(B81,dados!A$23:E$422,4,0)</f>
        <v>2</v>
      </c>
      <c r="D81">
        <f ca="1">VLOOKUP(B81,dados!A$23:E$422,5,0)</f>
        <v>26</v>
      </c>
      <c r="E81">
        <f ca="1">COUNTIF(C$2:C81,1)</f>
        <v>59</v>
      </c>
      <c r="F81">
        <f ca="1">COUNTIF(C$2:C81,2)</f>
        <v>13</v>
      </c>
      <c r="G81">
        <f ca="1">COUNTIF(C$2:C81,3)</f>
        <v>8</v>
      </c>
      <c r="L81">
        <v>78</v>
      </c>
      <c r="M81">
        <v>13.2075</v>
      </c>
      <c r="N81">
        <v>13.886875</v>
      </c>
      <c r="O81">
        <v>13.85825</v>
      </c>
      <c r="P81">
        <v>14.103395833333332</v>
      </c>
      <c r="AG81">
        <v>1</v>
      </c>
      <c r="AH81" t="e">
        <f t="shared" si="8"/>
        <v>#N/A</v>
      </c>
      <c r="AI81">
        <f t="shared" si="12"/>
        <v>2</v>
      </c>
      <c r="AJ81" t="e">
        <f t="shared" si="9"/>
        <v>#N/A</v>
      </c>
      <c r="AK81">
        <f t="shared" si="13"/>
        <v>3</v>
      </c>
      <c r="AL81" t="e">
        <f t="shared" si="10"/>
        <v>#N/A</v>
      </c>
      <c r="AM81">
        <f t="shared" si="14"/>
        <v>4</v>
      </c>
      <c r="AN81" t="e">
        <f t="shared" si="11"/>
        <v>#N/A</v>
      </c>
    </row>
    <row r="82" spans="1:40" x14ac:dyDescent="0.25">
      <c r="A82">
        <v>81</v>
      </c>
      <c r="B82">
        <f ca="1">SMALL(dados!A$23:A$422,A82)</f>
        <v>0.21593886078072888</v>
      </c>
      <c r="C82">
        <f ca="1">VLOOKUP(B82,dados!A$23:E$422,4,0)</f>
        <v>1</v>
      </c>
      <c r="D82">
        <f ca="1">VLOOKUP(B82,dados!A$23:E$422,5,0)</f>
        <v>6</v>
      </c>
      <c r="E82">
        <f ca="1">COUNTIF(C$2:C82,1)</f>
        <v>60</v>
      </c>
      <c r="F82">
        <f ca="1">COUNTIF(C$2:C82,2)</f>
        <v>13</v>
      </c>
      <c r="G82">
        <f ca="1">COUNTIF(C$2:C82,3)</f>
        <v>8</v>
      </c>
      <c r="L82">
        <v>79</v>
      </c>
      <c r="M82">
        <v>13.75375</v>
      </c>
      <c r="N82">
        <v>14.334375</v>
      </c>
      <c r="O82">
        <v>14.257694444444445</v>
      </c>
      <c r="P82">
        <v>13.961493055555557</v>
      </c>
      <c r="AG82">
        <v>1</v>
      </c>
      <c r="AH82" t="e">
        <f t="shared" si="8"/>
        <v>#N/A</v>
      </c>
      <c r="AI82">
        <f t="shared" si="12"/>
        <v>2</v>
      </c>
      <c r="AJ82" t="e">
        <f t="shared" si="9"/>
        <v>#N/A</v>
      </c>
      <c r="AK82">
        <f t="shared" si="13"/>
        <v>3</v>
      </c>
      <c r="AL82" t="e">
        <f t="shared" si="10"/>
        <v>#N/A</v>
      </c>
      <c r="AM82">
        <f t="shared" si="14"/>
        <v>4</v>
      </c>
      <c r="AN82" t="e">
        <f t="shared" si="11"/>
        <v>#N/A</v>
      </c>
    </row>
    <row r="83" spans="1:40" x14ac:dyDescent="0.25">
      <c r="A83">
        <v>82</v>
      </c>
      <c r="B83">
        <f ca="1">SMALL(dados!A$23:A$422,A83)</f>
        <v>0.21989992522073787</v>
      </c>
      <c r="C83">
        <f ca="1">VLOOKUP(B83,dados!A$23:E$422,4,0)</f>
        <v>1</v>
      </c>
      <c r="D83">
        <f ca="1">VLOOKUP(B83,dados!A$23:E$422,5,0)</f>
        <v>11</v>
      </c>
      <c r="E83">
        <f ca="1">COUNTIF(C$2:C83,1)</f>
        <v>61</v>
      </c>
      <c r="F83">
        <f ca="1">COUNTIF(C$2:C83,2)</f>
        <v>13</v>
      </c>
      <c r="G83">
        <f ca="1">COUNTIF(C$2:C83,3)</f>
        <v>8</v>
      </c>
      <c r="L83">
        <v>80</v>
      </c>
      <c r="M83">
        <v>13.998749999999999</v>
      </c>
      <c r="N83">
        <v>14.54875</v>
      </c>
      <c r="O83">
        <v>14.397263888888888</v>
      </c>
      <c r="P83">
        <v>13.854090277777777</v>
      </c>
      <c r="AG83">
        <v>1</v>
      </c>
      <c r="AH83" t="e">
        <f t="shared" si="8"/>
        <v>#N/A</v>
      </c>
      <c r="AI83">
        <f t="shared" si="12"/>
        <v>2</v>
      </c>
      <c r="AJ83" t="e">
        <f t="shared" si="9"/>
        <v>#N/A</v>
      </c>
      <c r="AK83">
        <f t="shared" si="13"/>
        <v>3</v>
      </c>
      <c r="AL83" t="e">
        <f t="shared" si="10"/>
        <v>#N/A</v>
      </c>
      <c r="AM83">
        <f t="shared" si="14"/>
        <v>4</v>
      </c>
      <c r="AN83" t="e">
        <f t="shared" si="11"/>
        <v>#N/A</v>
      </c>
    </row>
    <row r="84" spans="1:40" x14ac:dyDescent="0.25">
      <c r="A84">
        <v>83</v>
      </c>
      <c r="B84">
        <f ca="1">SMALL(dados!A$23:A$422,A84)</f>
        <v>0.22093936342410259</v>
      </c>
      <c r="C84">
        <f ca="1">VLOOKUP(B84,dados!A$23:E$422,4,0)</f>
        <v>1</v>
      </c>
      <c r="D84">
        <f ca="1">VLOOKUP(B84,dados!A$23:E$422,5,0)</f>
        <v>10</v>
      </c>
      <c r="E84">
        <f ca="1">COUNTIF(C$2:C84,1)</f>
        <v>62</v>
      </c>
      <c r="F84">
        <f ca="1">COUNTIF(C$2:C84,2)</f>
        <v>13</v>
      </c>
      <c r="G84">
        <f ca="1">COUNTIF(C$2:C84,3)</f>
        <v>8</v>
      </c>
      <c r="L84">
        <v>81</v>
      </c>
      <c r="M84">
        <v>13.331250000000001</v>
      </c>
      <c r="N84">
        <v>12.689375</v>
      </c>
      <c r="O84">
        <v>13.67288888888889</v>
      </c>
      <c r="P84">
        <v>13.994243055555556</v>
      </c>
      <c r="AG84">
        <v>1</v>
      </c>
      <c r="AH84" t="e">
        <f t="shared" si="8"/>
        <v>#N/A</v>
      </c>
      <c r="AI84">
        <f t="shared" si="12"/>
        <v>2</v>
      </c>
      <c r="AJ84" t="e">
        <f t="shared" si="9"/>
        <v>#N/A</v>
      </c>
      <c r="AK84">
        <f t="shared" si="13"/>
        <v>3</v>
      </c>
      <c r="AL84" t="e">
        <f t="shared" si="10"/>
        <v>#N/A</v>
      </c>
      <c r="AM84">
        <f t="shared" si="14"/>
        <v>4</v>
      </c>
      <c r="AN84" t="e">
        <f t="shared" si="11"/>
        <v>#N/A</v>
      </c>
    </row>
    <row r="85" spans="1:40" x14ac:dyDescent="0.25">
      <c r="A85">
        <v>84</v>
      </c>
      <c r="B85">
        <f ca="1">SMALL(dados!A$23:A$422,A85)</f>
        <v>0.22732362778877602</v>
      </c>
      <c r="C85">
        <f ca="1">VLOOKUP(B85,dados!A$23:E$422,4,0)</f>
        <v>1</v>
      </c>
      <c r="D85">
        <f ca="1">VLOOKUP(B85,dados!A$23:E$422,5,0)</f>
        <v>8</v>
      </c>
      <c r="E85">
        <f ca="1">COUNTIF(C$2:C85,1)</f>
        <v>63</v>
      </c>
      <c r="F85">
        <f ca="1">COUNTIF(C$2:C85,2)</f>
        <v>13</v>
      </c>
      <c r="G85">
        <f ca="1">COUNTIF(C$2:C85,3)</f>
        <v>8</v>
      </c>
      <c r="L85">
        <v>82</v>
      </c>
      <c r="M85">
        <v>15.9025</v>
      </c>
      <c r="N85">
        <v>13.955</v>
      </c>
      <c r="O85">
        <v>14.039347222222222</v>
      </c>
      <c r="P85">
        <v>13.705187499999999</v>
      </c>
      <c r="AG85">
        <v>1</v>
      </c>
      <c r="AH85" t="e">
        <f t="shared" si="8"/>
        <v>#N/A</v>
      </c>
      <c r="AI85">
        <f t="shared" si="12"/>
        <v>2</v>
      </c>
      <c r="AJ85" t="e">
        <f t="shared" si="9"/>
        <v>#N/A</v>
      </c>
      <c r="AK85">
        <f t="shared" si="13"/>
        <v>3</v>
      </c>
      <c r="AL85" t="e">
        <f t="shared" si="10"/>
        <v>#N/A</v>
      </c>
      <c r="AM85">
        <f t="shared" si="14"/>
        <v>4</v>
      </c>
      <c r="AN85" t="e">
        <f t="shared" si="11"/>
        <v>#N/A</v>
      </c>
    </row>
    <row r="86" spans="1:40" x14ac:dyDescent="0.25">
      <c r="A86">
        <v>85</v>
      </c>
      <c r="B86">
        <f ca="1">SMALL(dados!A$23:A$422,A86)</f>
        <v>0.23031846013179935</v>
      </c>
      <c r="C86">
        <f ca="1">VLOOKUP(B86,dados!A$23:E$422,4,0)</f>
        <v>2</v>
      </c>
      <c r="D86">
        <f ca="1">VLOOKUP(B86,dados!A$23:E$422,5,0)</f>
        <v>22</v>
      </c>
      <c r="E86">
        <f ca="1">COUNTIF(C$2:C86,1)</f>
        <v>63</v>
      </c>
      <c r="F86">
        <f ca="1">COUNTIF(C$2:C86,2)</f>
        <v>14</v>
      </c>
      <c r="G86">
        <f ca="1">COUNTIF(C$2:C86,3)</f>
        <v>8</v>
      </c>
      <c r="L86">
        <v>83</v>
      </c>
      <c r="M86">
        <v>14.518750000000001</v>
      </c>
      <c r="N86">
        <v>14.259375</v>
      </c>
      <c r="O86">
        <v>14.068250000000001</v>
      </c>
      <c r="P86">
        <v>14.016076388888889</v>
      </c>
      <c r="AG86">
        <v>1</v>
      </c>
      <c r="AH86" t="e">
        <f t="shared" si="8"/>
        <v>#N/A</v>
      </c>
      <c r="AI86">
        <f t="shared" si="12"/>
        <v>2</v>
      </c>
      <c r="AJ86" t="e">
        <f t="shared" si="9"/>
        <v>#N/A</v>
      </c>
      <c r="AK86">
        <f t="shared" si="13"/>
        <v>3</v>
      </c>
      <c r="AL86" t="e">
        <f t="shared" si="10"/>
        <v>#N/A</v>
      </c>
      <c r="AM86">
        <f t="shared" si="14"/>
        <v>4</v>
      </c>
      <c r="AN86" t="e">
        <f t="shared" si="11"/>
        <v>#N/A</v>
      </c>
    </row>
    <row r="87" spans="1:40" x14ac:dyDescent="0.25">
      <c r="A87">
        <v>86</v>
      </c>
      <c r="B87">
        <f ca="1">SMALL(dados!A$23:A$422,A87)</f>
        <v>0.23045000354871381</v>
      </c>
      <c r="C87">
        <f ca="1">VLOOKUP(B87,dados!A$23:E$422,4,0)</f>
        <v>2</v>
      </c>
      <c r="D87">
        <f ca="1">VLOOKUP(B87,dados!A$23:E$422,5,0)</f>
        <v>19</v>
      </c>
      <c r="E87">
        <f ca="1">COUNTIF(C$2:C87,1)</f>
        <v>63</v>
      </c>
      <c r="F87">
        <f ca="1">COUNTIF(C$2:C87,2)</f>
        <v>15</v>
      </c>
      <c r="G87">
        <f ca="1">COUNTIF(C$2:C87,3)</f>
        <v>8</v>
      </c>
      <c r="L87">
        <v>84</v>
      </c>
      <c r="M87">
        <v>14.2675</v>
      </c>
      <c r="N87">
        <v>14.011875</v>
      </c>
      <c r="O87">
        <v>14.322263888888891</v>
      </c>
      <c r="P87">
        <v>14.219104166666668</v>
      </c>
      <c r="AG87">
        <v>1</v>
      </c>
      <c r="AH87" t="e">
        <f t="shared" si="8"/>
        <v>#N/A</v>
      </c>
      <c r="AI87">
        <f t="shared" si="12"/>
        <v>2</v>
      </c>
      <c r="AJ87" t="e">
        <f t="shared" si="9"/>
        <v>#N/A</v>
      </c>
      <c r="AK87">
        <f t="shared" si="13"/>
        <v>3</v>
      </c>
      <c r="AL87" t="e">
        <f t="shared" si="10"/>
        <v>#N/A</v>
      </c>
      <c r="AM87">
        <f t="shared" si="14"/>
        <v>4</v>
      </c>
      <c r="AN87" t="e">
        <f t="shared" si="11"/>
        <v>#N/A</v>
      </c>
    </row>
    <row r="88" spans="1:40" x14ac:dyDescent="0.25">
      <c r="A88">
        <v>87</v>
      </c>
      <c r="B88">
        <f ca="1">SMALL(dados!A$23:A$422,A88)</f>
        <v>0.23251370384072556</v>
      </c>
      <c r="C88">
        <f ca="1">VLOOKUP(B88,dados!A$23:E$422,4,0)</f>
        <v>3</v>
      </c>
      <c r="D88">
        <f ca="1">VLOOKUP(B88,dados!A$23:E$422,5,0)</f>
        <v>29</v>
      </c>
      <c r="E88">
        <f ca="1">COUNTIF(C$2:C88,1)</f>
        <v>63</v>
      </c>
      <c r="F88">
        <f ca="1">COUNTIF(C$2:C88,2)</f>
        <v>15</v>
      </c>
      <c r="G88">
        <f ca="1">COUNTIF(C$2:C88,3)</f>
        <v>9</v>
      </c>
      <c r="L88">
        <v>85</v>
      </c>
      <c r="M88">
        <v>13.01375</v>
      </c>
      <c r="N88">
        <v>13.05125</v>
      </c>
      <c r="O88">
        <v>14.367472222222222</v>
      </c>
      <c r="P88">
        <v>14.143388888888889</v>
      </c>
      <c r="AG88">
        <v>1</v>
      </c>
      <c r="AH88" t="e">
        <f t="shared" si="8"/>
        <v>#N/A</v>
      </c>
      <c r="AI88">
        <f t="shared" si="12"/>
        <v>2</v>
      </c>
      <c r="AJ88" t="e">
        <f t="shared" si="9"/>
        <v>#N/A</v>
      </c>
      <c r="AK88">
        <f t="shared" si="13"/>
        <v>3</v>
      </c>
      <c r="AL88" t="e">
        <f t="shared" si="10"/>
        <v>#N/A</v>
      </c>
      <c r="AM88">
        <f t="shared" si="14"/>
        <v>4</v>
      </c>
      <c r="AN88" t="e">
        <f t="shared" si="11"/>
        <v>#N/A</v>
      </c>
    </row>
    <row r="89" spans="1:40" x14ac:dyDescent="0.25">
      <c r="A89">
        <v>88</v>
      </c>
      <c r="B89">
        <f ca="1">SMALL(dados!A$23:A$422,A89)</f>
        <v>0.23350289559155957</v>
      </c>
      <c r="C89">
        <f ca="1">VLOOKUP(B89,dados!A$23:E$422,4,0)</f>
        <v>1</v>
      </c>
      <c r="D89">
        <f ca="1">VLOOKUP(B89,dados!A$23:E$422,5,0)</f>
        <v>9</v>
      </c>
      <c r="E89">
        <f ca="1">COUNTIF(C$2:C89,1)</f>
        <v>64</v>
      </c>
      <c r="F89">
        <f ca="1">COUNTIF(C$2:C89,2)</f>
        <v>15</v>
      </c>
      <c r="G89">
        <f ca="1">COUNTIF(C$2:C89,3)</f>
        <v>9</v>
      </c>
      <c r="L89">
        <v>86</v>
      </c>
      <c r="M89">
        <v>13.96</v>
      </c>
      <c r="N89">
        <v>14.195625</v>
      </c>
      <c r="O89">
        <v>14.492958333333336</v>
      </c>
      <c r="P89">
        <v>14.750881944444442</v>
      </c>
      <c r="AG89">
        <v>1</v>
      </c>
      <c r="AH89" t="e">
        <f t="shared" si="8"/>
        <v>#N/A</v>
      </c>
      <c r="AI89">
        <f t="shared" si="12"/>
        <v>2</v>
      </c>
      <c r="AJ89" t="e">
        <f t="shared" si="9"/>
        <v>#N/A</v>
      </c>
      <c r="AK89">
        <f t="shared" si="13"/>
        <v>3</v>
      </c>
      <c r="AL89" t="e">
        <f t="shared" si="10"/>
        <v>#N/A</v>
      </c>
      <c r="AM89">
        <f t="shared" si="14"/>
        <v>4</v>
      </c>
      <c r="AN89" t="e">
        <f t="shared" si="11"/>
        <v>#N/A</v>
      </c>
    </row>
    <row r="90" spans="1:40" x14ac:dyDescent="0.25">
      <c r="A90">
        <v>89</v>
      </c>
      <c r="B90">
        <f ca="1">SMALL(dados!A$23:A$422,A90)</f>
        <v>0.23403423358269571</v>
      </c>
      <c r="C90">
        <f ca="1">VLOOKUP(B90,dados!A$23:E$422,4,0)</f>
        <v>1</v>
      </c>
      <c r="D90">
        <f ca="1">VLOOKUP(B90,dados!A$23:E$422,5,0)</f>
        <v>8</v>
      </c>
      <c r="E90">
        <f ca="1">COUNTIF(C$2:C90,1)</f>
        <v>65</v>
      </c>
      <c r="F90">
        <f ca="1">COUNTIF(C$2:C90,2)</f>
        <v>15</v>
      </c>
      <c r="G90">
        <f ca="1">COUNTIF(C$2:C90,3)</f>
        <v>9</v>
      </c>
      <c r="L90">
        <v>87</v>
      </c>
      <c r="M90">
        <v>13.58375</v>
      </c>
      <c r="N90">
        <v>13.566875</v>
      </c>
      <c r="O90">
        <v>14.019166666666667</v>
      </c>
      <c r="P90">
        <v>14.168430555555556</v>
      </c>
      <c r="AG90">
        <v>1</v>
      </c>
      <c r="AH90" t="e">
        <f t="shared" si="8"/>
        <v>#N/A</v>
      </c>
      <c r="AI90">
        <f t="shared" si="12"/>
        <v>2</v>
      </c>
      <c r="AJ90" t="e">
        <f t="shared" si="9"/>
        <v>#N/A</v>
      </c>
      <c r="AK90">
        <f t="shared" si="13"/>
        <v>3</v>
      </c>
      <c r="AL90" t="e">
        <f t="shared" si="10"/>
        <v>#N/A</v>
      </c>
      <c r="AM90">
        <f t="shared" si="14"/>
        <v>4</v>
      </c>
      <c r="AN90" t="e">
        <f t="shared" si="11"/>
        <v>#N/A</v>
      </c>
    </row>
    <row r="91" spans="1:40" x14ac:dyDescent="0.25">
      <c r="A91">
        <v>90</v>
      </c>
      <c r="B91">
        <f ca="1">SMALL(dados!A$23:A$422,A91)</f>
        <v>0.23716817960094405</v>
      </c>
      <c r="C91">
        <f ca="1">VLOOKUP(B91,dados!A$23:E$422,4,0)</f>
        <v>2</v>
      </c>
      <c r="D91">
        <f ca="1">VLOOKUP(B91,dados!A$23:E$422,5,0)</f>
        <v>20</v>
      </c>
      <c r="E91">
        <f ca="1">COUNTIF(C$2:C91,1)</f>
        <v>65</v>
      </c>
      <c r="F91">
        <f ca="1">COUNTIF(C$2:C91,2)</f>
        <v>16</v>
      </c>
      <c r="G91">
        <f ca="1">COUNTIF(C$2:C91,3)</f>
        <v>9</v>
      </c>
      <c r="L91">
        <v>88</v>
      </c>
      <c r="M91">
        <v>15.27</v>
      </c>
      <c r="N91">
        <v>14.993124999999999</v>
      </c>
      <c r="O91">
        <v>14.577249999999999</v>
      </c>
      <c r="P91">
        <v>14.567451388888889</v>
      </c>
      <c r="AG91">
        <v>1</v>
      </c>
      <c r="AH91" t="e">
        <f t="shared" si="8"/>
        <v>#N/A</v>
      </c>
      <c r="AI91">
        <f t="shared" si="12"/>
        <v>2</v>
      </c>
      <c r="AJ91" t="e">
        <f t="shared" si="9"/>
        <v>#N/A</v>
      </c>
      <c r="AK91">
        <f t="shared" si="13"/>
        <v>3</v>
      </c>
      <c r="AL91" t="e">
        <f t="shared" si="10"/>
        <v>#N/A</v>
      </c>
      <c r="AM91">
        <f t="shared" si="14"/>
        <v>4</v>
      </c>
      <c r="AN91" t="e">
        <f t="shared" si="11"/>
        <v>#N/A</v>
      </c>
    </row>
    <row r="92" spans="1:40" x14ac:dyDescent="0.25">
      <c r="A92">
        <v>91</v>
      </c>
      <c r="B92">
        <f ca="1">SMALL(dados!A$23:A$422,A92)</f>
        <v>0.24282943933317847</v>
      </c>
      <c r="C92">
        <f ca="1">VLOOKUP(B92,dados!A$23:E$422,4,0)</f>
        <v>2</v>
      </c>
      <c r="D92">
        <f ca="1">VLOOKUP(B92,dados!A$23:E$422,5,0)</f>
        <v>17</v>
      </c>
      <c r="E92">
        <f ca="1">COUNTIF(C$2:C92,1)</f>
        <v>65</v>
      </c>
      <c r="F92">
        <f ca="1">COUNTIF(C$2:C92,2)</f>
        <v>17</v>
      </c>
      <c r="G92">
        <f ca="1">COUNTIF(C$2:C92,3)</f>
        <v>9</v>
      </c>
      <c r="L92">
        <v>89</v>
      </c>
      <c r="M92">
        <v>13.331250000000001</v>
      </c>
      <c r="N92">
        <v>13.4475</v>
      </c>
      <c r="O92">
        <v>13.201486111111111</v>
      </c>
      <c r="P92">
        <v>14.046604166666667</v>
      </c>
      <c r="AG92">
        <v>1</v>
      </c>
      <c r="AH92" t="e">
        <f t="shared" si="8"/>
        <v>#N/A</v>
      </c>
      <c r="AI92">
        <f t="shared" si="12"/>
        <v>2</v>
      </c>
      <c r="AJ92" t="e">
        <f t="shared" si="9"/>
        <v>#N/A</v>
      </c>
      <c r="AK92">
        <f t="shared" si="13"/>
        <v>3</v>
      </c>
      <c r="AL92" t="e">
        <f t="shared" si="10"/>
        <v>#N/A</v>
      </c>
      <c r="AM92">
        <f t="shared" si="14"/>
        <v>4</v>
      </c>
      <c r="AN92" t="e">
        <f t="shared" si="11"/>
        <v>#N/A</v>
      </c>
    </row>
    <row r="93" spans="1:40" x14ac:dyDescent="0.25">
      <c r="A93">
        <v>92</v>
      </c>
      <c r="B93">
        <f ca="1">SMALL(dados!A$23:A$422,A93)</f>
        <v>0.24305176282979857</v>
      </c>
      <c r="C93">
        <f ca="1">VLOOKUP(B93,dados!A$23:E$422,4,0)</f>
        <v>2</v>
      </c>
      <c r="D93">
        <f ca="1">VLOOKUP(B93,dados!A$23:E$422,5,0)</f>
        <v>23</v>
      </c>
      <c r="E93">
        <f ca="1">COUNTIF(C$2:C93,1)</f>
        <v>65</v>
      </c>
      <c r="F93">
        <f ca="1">COUNTIF(C$2:C93,2)</f>
        <v>18</v>
      </c>
      <c r="G93">
        <f ca="1">COUNTIF(C$2:C93,3)</f>
        <v>9</v>
      </c>
      <c r="L93">
        <v>90</v>
      </c>
      <c r="M93">
        <v>14.05</v>
      </c>
      <c r="N93">
        <v>14.1525</v>
      </c>
      <c r="O93">
        <v>14.239833333333333</v>
      </c>
      <c r="P93">
        <v>14.125715277777779</v>
      </c>
      <c r="AG93">
        <v>1</v>
      </c>
      <c r="AH93" t="e">
        <f t="shared" si="8"/>
        <v>#N/A</v>
      </c>
      <c r="AI93">
        <f t="shared" si="12"/>
        <v>2</v>
      </c>
      <c r="AJ93" t="e">
        <f t="shared" si="9"/>
        <v>#N/A</v>
      </c>
      <c r="AK93">
        <f t="shared" si="13"/>
        <v>3</v>
      </c>
      <c r="AL93" t="e">
        <f t="shared" si="10"/>
        <v>#N/A</v>
      </c>
      <c r="AM93">
        <f t="shared" si="14"/>
        <v>4</v>
      </c>
      <c r="AN93" t="e">
        <f t="shared" si="11"/>
        <v>#N/A</v>
      </c>
    </row>
    <row r="94" spans="1:40" x14ac:dyDescent="0.25">
      <c r="A94">
        <v>93</v>
      </c>
      <c r="B94">
        <f ca="1">SMALL(dados!A$23:A$422,A94)</f>
        <v>0.24369634177524835</v>
      </c>
      <c r="C94">
        <f ca="1">VLOOKUP(B94,dados!A$23:E$422,4,0)</f>
        <v>1</v>
      </c>
      <c r="D94">
        <f ca="1">VLOOKUP(B94,dados!A$23:E$422,5,0)</f>
        <v>7</v>
      </c>
      <c r="E94">
        <f ca="1">COUNTIF(C$2:C94,1)</f>
        <v>66</v>
      </c>
      <c r="F94">
        <f ca="1">COUNTIF(C$2:C94,2)</f>
        <v>18</v>
      </c>
      <c r="G94">
        <f ca="1">COUNTIF(C$2:C94,3)</f>
        <v>9</v>
      </c>
      <c r="L94">
        <v>91</v>
      </c>
      <c r="M94">
        <v>16.541250000000002</v>
      </c>
      <c r="N94">
        <v>15.984999999999999</v>
      </c>
      <c r="O94">
        <v>14.770291666666667</v>
      </c>
      <c r="P94">
        <v>14.210381944444443</v>
      </c>
      <c r="AG94">
        <v>1</v>
      </c>
      <c r="AH94" t="e">
        <f t="shared" si="8"/>
        <v>#N/A</v>
      </c>
      <c r="AI94">
        <f t="shared" si="12"/>
        <v>2</v>
      </c>
      <c r="AJ94">
        <f t="shared" si="9"/>
        <v>15.984999999999999</v>
      </c>
      <c r="AK94">
        <f t="shared" si="13"/>
        <v>3</v>
      </c>
      <c r="AL94" t="e">
        <f t="shared" si="10"/>
        <v>#N/A</v>
      </c>
      <c r="AM94">
        <f t="shared" si="14"/>
        <v>4</v>
      </c>
      <c r="AN94" t="e">
        <f t="shared" si="11"/>
        <v>#N/A</v>
      </c>
    </row>
    <row r="95" spans="1:40" x14ac:dyDescent="0.25">
      <c r="A95">
        <v>94</v>
      </c>
      <c r="B95">
        <f ca="1">SMALL(dados!A$23:A$422,A95)</f>
        <v>0.24619855147680159</v>
      </c>
      <c r="C95">
        <f ca="1">VLOOKUP(B95,dados!A$23:E$422,4,0)</f>
        <v>1</v>
      </c>
      <c r="D95">
        <f ca="1">VLOOKUP(B95,dados!A$23:E$422,5,0)</f>
        <v>9</v>
      </c>
      <c r="E95">
        <f ca="1">COUNTIF(C$2:C95,1)</f>
        <v>67</v>
      </c>
      <c r="F95">
        <f ca="1">COUNTIF(C$2:C95,2)</f>
        <v>18</v>
      </c>
      <c r="G95">
        <f ca="1">COUNTIF(C$2:C95,3)</f>
        <v>9</v>
      </c>
      <c r="L95">
        <v>92</v>
      </c>
      <c r="M95">
        <v>13.664999999999999</v>
      </c>
      <c r="N95">
        <v>12.90375</v>
      </c>
      <c r="O95">
        <v>13.159458333333335</v>
      </c>
      <c r="P95">
        <v>13.480631944444445</v>
      </c>
      <c r="AG95">
        <v>1</v>
      </c>
      <c r="AH95" t="e">
        <f t="shared" si="8"/>
        <v>#N/A</v>
      </c>
      <c r="AI95">
        <f t="shared" si="12"/>
        <v>2</v>
      </c>
      <c r="AJ95" t="e">
        <f t="shared" si="9"/>
        <v>#N/A</v>
      </c>
      <c r="AK95">
        <f t="shared" si="13"/>
        <v>3</v>
      </c>
      <c r="AL95" t="e">
        <f t="shared" si="10"/>
        <v>#N/A</v>
      </c>
      <c r="AM95">
        <f t="shared" si="14"/>
        <v>4</v>
      </c>
      <c r="AN95" t="e">
        <f t="shared" si="11"/>
        <v>#N/A</v>
      </c>
    </row>
    <row r="96" spans="1:40" x14ac:dyDescent="0.25">
      <c r="A96">
        <v>95</v>
      </c>
      <c r="B96">
        <f ca="1">SMALL(dados!A$23:A$422,A96)</f>
        <v>0.2502345114664194</v>
      </c>
      <c r="C96">
        <f ca="1">VLOOKUP(B96,dados!A$23:E$422,4,0)</f>
        <v>1</v>
      </c>
      <c r="D96">
        <f ca="1">VLOOKUP(B96,dados!A$23:E$422,5,0)</f>
        <v>8</v>
      </c>
      <c r="E96">
        <f ca="1">COUNTIF(C$2:C96,1)</f>
        <v>68</v>
      </c>
      <c r="F96">
        <f ca="1">COUNTIF(C$2:C96,2)</f>
        <v>18</v>
      </c>
      <c r="G96">
        <f ca="1">COUNTIF(C$2:C96,3)</f>
        <v>9</v>
      </c>
      <c r="L96">
        <v>93</v>
      </c>
      <c r="M96">
        <v>14.9575</v>
      </c>
      <c r="N96">
        <v>14.715</v>
      </c>
      <c r="O96">
        <v>14.489861111111113</v>
      </c>
      <c r="P96">
        <v>14.336409722222221</v>
      </c>
      <c r="AG96">
        <v>1</v>
      </c>
      <c r="AH96" t="e">
        <f t="shared" si="8"/>
        <v>#N/A</v>
      </c>
      <c r="AI96">
        <f t="shared" si="12"/>
        <v>2</v>
      </c>
      <c r="AJ96" t="e">
        <f t="shared" si="9"/>
        <v>#N/A</v>
      </c>
      <c r="AK96">
        <f t="shared" si="13"/>
        <v>3</v>
      </c>
      <c r="AL96" t="e">
        <f t="shared" si="10"/>
        <v>#N/A</v>
      </c>
      <c r="AM96">
        <f t="shared" si="14"/>
        <v>4</v>
      </c>
      <c r="AN96" t="e">
        <f t="shared" si="11"/>
        <v>#N/A</v>
      </c>
    </row>
    <row r="97" spans="1:40" x14ac:dyDescent="0.25">
      <c r="A97">
        <v>96</v>
      </c>
      <c r="B97">
        <f ca="1">SMALL(dados!A$23:A$422,A97)</f>
        <v>0.2509400645155031</v>
      </c>
      <c r="C97">
        <f ca="1">VLOOKUP(B97,dados!A$23:E$422,4,0)</f>
        <v>1</v>
      </c>
      <c r="D97">
        <f ca="1">VLOOKUP(B97,dados!A$23:E$422,5,0)</f>
        <v>15</v>
      </c>
      <c r="E97">
        <f ca="1">COUNTIF(C$2:C97,1)</f>
        <v>69</v>
      </c>
      <c r="F97">
        <f ca="1">COUNTIF(C$2:C97,2)</f>
        <v>18</v>
      </c>
      <c r="G97">
        <f ca="1">COUNTIF(C$2:C97,3)</f>
        <v>9</v>
      </c>
      <c r="L97">
        <v>94</v>
      </c>
      <c r="M97">
        <v>13.43125</v>
      </c>
      <c r="N97">
        <v>13.89875</v>
      </c>
      <c r="O97">
        <v>14.091416666666664</v>
      </c>
      <c r="P97">
        <v>14.002868055555554</v>
      </c>
      <c r="AG97">
        <v>1</v>
      </c>
      <c r="AH97" t="e">
        <f t="shared" si="8"/>
        <v>#N/A</v>
      </c>
      <c r="AI97">
        <f t="shared" si="12"/>
        <v>2</v>
      </c>
      <c r="AJ97" t="e">
        <f t="shared" si="9"/>
        <v>#N/A</v>
      </c>
      <c r="AK97">
        <f t="shared" si="13"/>
        <v>3</v>
      </c>
      <c r="AL97" t="e">
        <f t="shared" si="10"/>
        <v>#N/A</v>
      </c>
      <c r="AM97">
        <f t="shared" si="14"/>
        <v>4</v>
      </c>
      <c r="AN97" t="e">
        <f t="shared" si="11"/>
        <v>#N/A</v>
      </c>
    </row>
    <row r="98" spans="1:40" x14ac:dyDescent="0.25">
      <c r="A98">
        <v>97</v>
      </c>
      <c r="B98">
        <f ca="1">SMALL(dados!A$23:A$422,A98)</f>
        <v>0.25218722755855982</v>
      </c>
      <c r="C98">
        <f ca="1">VLOOKUP(B98,dados!A$23:E$422,4,0)</f>
        <v>1</v>
      </c>
      <c r="D98">
        <f ca="1">VLOOKUP(B98,dados!A$23:E$422,5,0)</f>
        <v>9</v>
      </c>
      <c r="E98">
        <f ca="1">COUNTIF(C$2:C98,1)</f>
        <v>70</v>
      </c>
      <c r="F98">
        <f ca="1">COUNTIF(C$2:C98,2)</f>
        <v>18</v>
      </c>
      <c r="G98">
        <f ca="1">COUNTIF(C$2:C98,3)</f>
        <v>9</v>
      </c>
      <c r="L98">
        <v>95</v>
      </c>
      <c r="M98">
        <v>13.12125</v>
      </c>
      <c r="N98">
        <v>12.639374999999999</v>
      </c>
      <c r="O98">
        <v>13.062694444444444</v>
      </c>
      <c r="P98">
        <v>13.688569444444445</v>
      </c>
      <c r="AG98">
        <v>1</v>
      </c>
      <c r="AH98" t="e">
        <f t="shared" si="8"/>
        <v>#N/A</v>
      </c>
      <c r="AI98">
        <f t="shared" si="12"/>
        <v>2</v>
      </c>
      <c r="AJ98" t="e">
        <f t="shared" si="9"/>
        <v>#N/A</v>
      </c>
      <c r="AK98">
        <f t="shared" si="13"/>
        <v>3</v>
      </c>
      <c r="AL98" t="e">
        <f t="shared" si="10"/>
        <v>#N/A</v>
      </c>
      <c r="AM98">
        <f t="shared" si="14"/>
        <v>4</v>
      </c>
      <c r="AN98" t="e">
        <f t="shared" si="11"/>
        <v>#N/A</v>
      </c>
    </row>
    <row r="99" spans="1:40" x14ac:dyDescent="0.25">
      <c r="A99">
        <v>98</v>
      </c>
      <c r="B99">
        <f ca="1">SMALL(dados!A$23:A$422,A99)</f>
        <v>0.25579570011728114</v>
      </c>
      <c r="C99">
        <f ca="1">VLOOKUP(B99,dados!A$23:E$422,4,0)</f>
        <v>1</v>
      </c>
      <c r="D99">
        <f ca="1">VLOOKUP(B99,dados!A$23:E$422,5,0)</f>
        <v>12</v>
      </c>
      <c r="E99">
        <f ca="1">COUNTIF(C$2:C99,1)</f>
        <v>71</v>
      </c>
      <c r="F99">
        <f ca="1">COUNTIF(C$2:C99,2)</f>
        <v>18</v>
      </c>
      <c r="G99">
        <f ca="1">COUNTIF(C$2:C99,3)</f>
        <v>9</v>
      </c>
      <c r="L99">
        <v>96</v>
      </c>
      <c r="M99">
        <v>13.47625</v>
      </c>
      <c r="N99">
        <v>13.810625</v>
      </c>
      <c r="O99">
        <v>14.01748611111111</v>
      </c>
      <c r="P99">
        <v>13.906972222222221</v>
      </c>
      <c r="AG99">
        <v>1</v>
      </c>
      <c r="AH99" t="e">
        <f t="shared" si="8"/>
        <v>#N/A</v>
      </c>
      <c r="AI99">
        <f t="shared" si="12"/>
        <v>2</v>
      </c>
      <c r="AJ99" t="e">
        <f t="shared" si="9"/>
        <v>#N/A</v>
      </c>
      <c r="AK99">
        <f t="shared" si="13"/>
        <v>3</v>
      </c>
      <c r="AL99" t="e">
        <f t="shared" si="10"/>
        <v>#N/A</v>
      </c>
      <c r="AM99">
        <f t="shared" si="14"/>
        <v>4</v>
      </c>
      <c r="AN99" t="e">
        <f t="shared" si="11"/>
        <v>#N/A</v>
      </c>
    </row>
    <row r="100" spans="1:40" x14ac:dyDescent="0.25">
      <c r="A100">
        <v>99</v>
      </c>
      <c r="B100">
        <f ca="1">SMALL(dados!A$23:A$422,A100)</f>
        <v>0.25996609329747122</v>
      </c>
      <c r="C100">
        <f ca="1">VLOOKUP(B100,dados!A$23:E$422,4,0)</f>
        <v>1</v>
      </c>
      <c r="D100">
        <f ca="1">VLOOKUP(B100,dados!A$23:E$422,5,0)</f>
        <v>9</v>
      </c>
      <c r="E100">
        <f ca="1">COUNTIF(C$2:C100,1)</f>
        <v>72</v>
      </c>
      <c r="F100">
        <f ca="1">COUNTIF(C$2:C100,2)</f>
        <v>18</v>
      </c>
      <c r="G100">
        <f ca="1">COUNTIF(C$2:C100,3)</f>
        <v>9</v>
      </c>
      <c r="L100">
        <v>97</v>
      </c>
      <c r="M100">
        <v>14.725</v>
      </c>
      <c r="N100">
        <v>13.64625</v>
      </c>
      <c r="O100">
        <v>13.831277777777778</v>
      </c>
      <c r="P100">
        <v>14.277972222222223</v>
      </c>
      <c r="AG100">
        <v>1</v>
      </c>
      <c r="AH100" t="e">
        <f t="shared" si="8"/>
        <v>#N/A</v>
      </c>
      <c r="AI100">
        <f t="shared" si="12"/>
        <v>2</v>
      </c>
      <c r="AJ100" t="e">
        <f t="shared" si="9"/>
        <v>#N/A</v>
      </c>
      <c r="AK100">
        <f t="shared" si="13"/>
        <v>3</v>
      </c>
      <c r="AL100" t="e">
        <f t="shared" si="10"/>
        <v>#N/A</v>
      </c>
      <c r="AM100">
        <f t="shared" si="14"/>
        <v>4</v>
      </c>
      <c r="AN100" t="e">
        <f t="shared" si="11"/>
        <v>#N/A</v>
      </c>
    </row>
    <row r="101" spans="1:40" x14ac:dyDescent="0.25">
      <c r="A101">
        <v>100</v>
      </c>
      <c r="B101">
        <f ca="1">SMALL(dados!A$23:A$422,A101)</f>
        <v>0.26006054760521735</v>
      </c>
      <c r="C101">
        <f ca="1">VLOOKUP(B101,dados!A$23:E$422,4,0)</f>
        <v>3</v>
      </c>
      <c r="D101">
        <f ca="1">VLOOKUP(B101,dados!A$23:E$422,5,0)</f>
        <v>35</v>
      </c>
      <c r="E101">
        <f ca="1">COUNTIF(C$2:C101,1)</f>
        <v>72</v>
      </c>
      <c r="F101">
        <f ca="1">COUNTIF(C$2:C101,2)</f>
        <v>18</v>
      </c>
      <c r="G101">
        <f ca="1">COUNTIF(C$2:C101,3)</f>
        <v>10</v>
      </c>
      <c r="L101">
        <v>98</v>
      </c>
      <c r="M101">
        <v>14.311249999999999</v>
      </c>
      <c r="N101">
        <v>14.0825</v>
      </c>
      <c r="O101">
        <v>14.00536111111111</v>
      </c>
      <c r="P101">
        <v>14.070916666666665</v>
      </c>
      <c r="AG101">
        <v>1</v>
      </c>
      <c r="AH101" t="e">
        <f t="shared" si="8"/>
        <v>#N/A</v>
      </c>
      <c r="AI101">
        <f t="shared" si="12"/>
        <v>2</v>
      </c>
      <c r="AJ101" t="e">
        <f t="shared" si="9"/>
        <v>#N/A</v>
      </c>
      <c r="AK101">
        <f t="shared" si="13"/>
        <v>3</v>
      </c>
      <c r="AL101" t="e">
        <f t="shared" si="10"/>
        <v>#N/A</v>
      </c>
      <c r="AM101">
        <f t="shared" si="14"/>
        <v>4</v>
      </c>
      <c r="AN101" t="e">
        <f t="shared" si="11"/>
        <v>#N/A</v>
      </c>
    </row>
    <row r="102" spans="1:40" x14ac:dyDescent="0.25">
      <c r="A102">
        <v>101</v>
      </c>
      <c r="B102">
        <f ca="1">SMALL(dados!A$23:A$422,A102)</f>
        <v>0.26278370113464367</v>
      </c>
      <c r="C102">
        <f ca="1">VLOOKUP(B102,dados!A$23:E$422,4,0)</f>
        <v>1</v>
      </c>
      <c r="D102">
        <f ca="1">VLOOKUP(B102,dados!A$23:E$422,5,0)</f>
        <v>14</v>
      </c>
      <c r="E102">
        <f ca="1">COUNTIF(C$2:C102,1)</f>
        <v>73</v>
      </c>
      <c r="F102">
        <f ca="1">COUNTIF(C$2:C102,2)</f>
        <v>18</v>
      </c>
      <c r="G102">
        <f ca="1">COUNTIF(C$2:C102,3)</f>
        <v>10</v>
      </c>
      <c r="L102">
        <v>99</v>
      </c>
      <c r="M102">
        <v>14.9975</v>
      </c>
      <c r="N102">
        <v>14.42</v>
      </c>
      <c r="O102">
        <v>14.690125</v>
      </c>
      <c r="P102">
        <v>14.1965</v>
      </c>
      <c r="AG102">
        <v>1</v>
      </c>
      <c r="AH102" t="e">
        <f t="shared" si="8"/>
        <v>#N/A</v>
      </c>
      <c r="AI102">
        <f t="shared" si="12"/>
        <v>2</v>
      </c>
      <c r="AJ102" t="e">
        <f t="shared" si="9"/>
        <v>#N/A</v>
      </c>
      <c r="AK102">
        <f t="shared" si="13"/>
        <v>3</v>
      </c>
      <c r="AL102" t="e">
        <f t="shared" si="10"/>
        <v>#N/A</v>
      </c>
      <c r="AM102">
        <f t="shared" si="14"/>
        <v>4</v>
      </c>
      <c r="AN102" t="e">
        <f t="shared" si="11"/>
        <v>#N/A</v>
      </c>
    </row>
    <row r="103" spans="1:40" x14ac:dyDescent="0.25">
      <c r="A103">
        <v>102</v>
      </c>
      <c r="B103">
        <f ca="1">SMALL(dados!A$23:A$422,A103)</f>
        <v>0.26307649368138952</v>
      </c>
      <c r="C103">
        <f ca="1">VLOOKUP(B103,dados!A$23:E$422,4,0)</f>
        <v>1</v>
      </c>
      <c r="D103">
        <f ca="1">VLOOKUP(B103,dados!A$23:E$422,5,0)</f>
        <v>8</v>
      </c>
      <c r="E103">
        <f ca="1">COUNTIF(C$2:C103,1)</f>
        <v>74</v>
      </c>
      <c r="F103">
        <f ca="1">COUNTIF(C$2:C103,2)</f>
        <v>18</v>
      </c>
      <c r="G103">
        <f ca="1">COUNTIF(C$2:C103,3)</f>
        <v>10</v>
      </c>
      <c r="L103">
        <v>100</v>
      </c>
      <c r="M103">
        <v>12.98875</v>
      </c>
      <c r="N103">
        <v>13.012499999999999</v>
      </c>
      <c r="O103">
        <v>14.565875</v>
      </c>
      <c r="P103">
        <v>13.932437500000001</v>
      </c>
      <c r="AG103">
        <v>1</v>
      </c>
      <c r="AH103" t="e">
        <f t="shared" si="8"/>
        <v>#N/A</v>
      </c>
      <c r="AI103">
        <f t="shared" si="12"/>
        <v>2</v>
      </c>
      <c r="AJ103" t="e">
        <f t="shared" si="9"/>
        <v>#N/A</v>
      </c>
      <c r="AK103">
        <f t="shared" si="13"/>
        <v>3</v>
      </c>
      <c r="AL103" t="e">
        <f t="shared" si="10"/>
        <v>#N/A</v>
      </c>
      <c r="AM103">
        <f t="shared" si="14"/>
        <v>4</v>
      </c>
      <c r="AN103" t="e">
        <f t="shared" si="11"/>
        <v>#N/A</v>
      </c>
    </row>
    <row r="104" spans="1:40" x14ac:dyDescent="0.25">
      <c r="A104">
        <v>103</v>
      </c>
      <c r="B104">
        <f ca="1">SMALL(dados!A$23:A$422,A104)</f>
        <v>0.27416466212295254</v>
      </c>
      <c r="C104">
        <f ca="1">VLOOKUP(B104,dados!A$23:E$422,4,0)</f>
        <v>1</v>
      </c>
      <c r="D104">
        <f ca="1">VLOOKUP(B104,dados!A$23:E$422,5,0)</f>
        <v>13</v>
      </c>
      <c r="E104">
        <f ca="1">COUNTIF(C$2:C104,1)</f>
        <v>75</v>
      </c>
      <c r="F104">
        <f ca="1">COUNTIF(C$2:C104,2)</f>
        <v>18</v>
      </c>
      <c r="G104">
        <f ca="1">COUNTIF(C$2:C104,3)</f>
        <v>10</v>
      </c>
      <c r="L104">
        <v>101</v>
      </c>
      <c r="M104">
        <v>14.95</v>
      </c>
      <c r="N104">
        <v>14.41375</v>
      </c>
      <c r="O104">
        <v>14.50475</v>
      </c>
      <c r="P104">
        <v>14.146166666666668</v>
      </c>
      <c r="AG104">
        <v>1</v>
      </c>
      <c r="AH104" t="e">
        <f t="shared" si="8"/>
        <v>#N/A</v>
      </c>
      <c r="AI104">
        <f t="shared" si="12"/>
        <v>2</v>
      </c>
      <c r="AJ104" t="e">
        <f t="shared" si="9"/>
        <v>#N/A</v>
      </c>
      <c r="AK104">
        <f t="shared" si="13"/>
        <v>3</v>
      </c>
      <c r="AL104" t="e">
        <f t="shared" si="10"/>
        <v>#N/A</v>
      </c>
      <c r="AM104">
        <f t="shared" si="14"/>
        <v>4</v>
      </c>
      <c r="AN104" t="e">
        <f t="shared" si="11"/>
        <v>#N/A</v>
      </c>
    </row>
    <row r="105" spans="1:40" x14ac:dyDescent="0.25">
      <c r="A105">
        <v>104</v>
      </c>
      <c r="B105">
        <f ca="1">SMALL(dados!A$23:A$422,A105)</f>
        <v>0.27925818609513375</v>
      </c>
      <c r="C105">
        <f ca="1">VLOOKUP(B105,dados!A$23:E$422,4,0)</f>
        <v>1</v>
      </c>
      <c r="D105">
        <f ca="1">VLOOKUP(B105,dados!A$23:E$422,5,0)</f>
        <v>11</v>
      </c>
      <c r="E105">
        <f ca="1">COUNTIF(C$2:C105,1)</f>
        <v>76</v>
      </c>
      <c r="F105">
        <f ca="1">COUNTIF(C$2:C105,2)</f>
        <v>18</v>
      </c>
      <c r="G105">
        <f ca="1">COUNTIF(C$2:C105,3)</f>
        <v>10</v>
      </c>
      <c r="L105">
        <v>102</v>
      </c>
      <c r="M105">
        <v>13.71125</v>
      </c>
      <c r="N105">
        <v>14.104374999999999</v>
      </c>
      <c r="O105">
        <v>14.116416666666664</v>
      </c>
      <c r="P105">
        <v>13.901826388888889</v>
      </c>
      <c r="AG105">
        <v>1</v>
      </c>
      <c r="AH105" t="e">
        <f t="shared" si="8"/>
        <v>#N/A</v>
      </c>
      <c r="AI105">
        <f t="shared" si="12"/>
        <v>2</v>
      </c>
      <c r="AJ105" t="e">
        <f t="shared" si="9"/>
        <v>#N/A</v>
      </c>
      <c r="AK105">
        <f t="shared" si="13"/>
        <v>3</v>
      </c>
      <c r="AL105" t="e">
        <f t="shared" si="10"/>
        <v>#N/A</v>
      </c>
      <c r="AM105">
        <f t="shared" si="14"/>
        <v>4</v>
      </c>
      <c r="AN105" t="e">
        <f t="shared" si="11"/>
        <v>#N/A</v>
      </c>
    </row>
    <row r="106" spans="1:40" x14ac:dyDescent="0.25">
      <c r="A106">
        <v>105</v>
      </c>
      <c r="B106">
        <f ca="1">SMALL(dados!A$23:A$422,A106)</f>
        <v>0.28129980014081024</v>
      </c>
      <c r="C106">
        <f ca="1">VLOOKUP(B106,dados!A$23:E$422,4,0)</f>
        <v>1</v>
      </c>
      <c r="D106">
        <f ca="1">VLOOKUP(B106,dados!A$23:E$422,5,0)</f>
        <v>7</v>
      </c>
      <c r="E106">
        <f ca="1">COUNTIF(C$2:C106,1)</f>
        <v>77</v>
      </c>
      <c r="F106">
        <f ca="1">COUNTIF(C$2:C106,2)</f>
        <v>18</v>
      </c>
      <c r="G106">
        <f ca="1">COUNTIF(C$2:C106,3)</f>
        <v>10</v>
      </c>
      <c r="L106">
        <v>103</v>
      </c>
      <c r="M106">
        <v>14.43</v>
      </c>
      <c r="N106">
        <v>14.444375000000001</v>
      </c>
      <c r="O106">
        <v>13.893625</v>
      </c>
      <c r="P106">
        <v>13.72175</v>
      </c>
      <c r="AG106">
        <v>1</v>
      </c>
      <c r="AH106" t="e">
        <f t="shared" si="8"/>
        <v>#N/A</v>
      </c>
      <c r="AI106">
        <f t="shared" si="12"/>
        <v>2</v>
      </c>
      <c r="AJ106" t="e">
        <f t="shared" si="9"/>
        <v>#N/A</v>
      </c>
      <c r="AK106">
        <f t="shared" si="13"/>
        <v>3</v>
      </c>
      <c r="AL106" t="e">
        <f t="shared" si="10"/>
        <v>#N/A</v>
      </c>
      <c r="AM106">
        <f t="shared" si="14"/>
        <v>4</v>
      </c>
      <c r="AN106" t="e">
        <f t="shared" si="11"/>
        <v>#N/A</v>
      </c>
    </row>
    <row r="107" spans="1:40" x14ac:dyDescent="0.25">
      <c r="A107">
        <v>106</v>
      </c>
      <c r="B107">
        <f ca="1">SMALL(dados!A$23:A$422,A107)</f>
        <v>0.28320243531723466</v>
      </c>
      <c r="C107">
        <f ca="1">VLOOKUP(B107,dados!A$23:E$422,4,0)</f>
        <v>1</v>
      </c>
      <c r="D107">
        <f ca="1">VLOOKUP(B107,dados!A$23:E$422,5,0)</f>
        <v>5</v>
      </c>
      <c r="E107">
        <f ca="1">COUNTIF(C$2:C107,1)</f>
        <v>78</v>
      </c>
      <c r="F107">
        <f ca="1">COUNTIF(C$2:C107,2)</f>
        <v>18</v>
      </c>
      <c r="G107">
        <f ca="1">COUNTIF(C$2:C107,3)</f>
        <v>10</v>
      </c>
      <c r="L107">
        <v>104</v>
      </c>
      <c r="M107">
        <v>14.387499999999999</v>
      </c>
      <c r="N107">
        <v>14.47</v>
      </c>
      <c r="O107">
        <v>14.75891666666667</v>
      </c>
      <c r="P107">
        <v>13.881166666666665</v>
      </c>
      <c r="AG107">
        <v>1</v>
      </c>
      <c r="AH107" t="e">
        <f t="shared" si="8"/>
        <v>#N/A</v>
      </c>
      <c r="AI107">
        <f t="shared" si="12"/>
        <v>2</v>
      </c>
      <c r="AJ107" t="e">
        <f t="shared" si="9"/>
        <v>#N/A</v>
      </c>
      <c r="AK107">
        <f t="shared" si="13"/>
        <v>3</v>
      </c>
      <c r="AL107" t="e">
        <f t="shared" si="10"/>
        <v>#N/A</v>
      </c>
      <c r="AM107">
        <f t="shared" si="14"/>
        <v>4</v>
      </c>
      <c r="AN107" t="e">
        <f t="shared" si="11"/>
        <v>#N/A</v>
      </c>
    </row>
    <row r="108" spans="1:40" x14ac:dyDescent="0.25">
      <c r="A108">
        <v>107</v>
      </c>
      <c r="B108">
        <f ca="1">SMALL(dados!A$23:A$422,A108)</f>
        <v>0.28677628057636684</v>
      </c>
      <c r="C108">
        <f ca="1">VLOOKUP(B108,dados!A$23:E$422,4,0)</f>
        <v>3</v>
      </c>
      <c r="D108">
        <f ca="1">VLOOKUP(B108,dados!A$23:E$422,5,0)</f>
        <v>24</v>
      </c>
      <c r="E108">
        <f ca="1">COUNTIF(C$2:C108,1)</f>
        <v>78</v>
      </c>
      <c r="F108">
        <f ca="1">COUNTIF(C$2:C108,2)</f>
        <v>18</v>
      </c>
      <c r="G108">
        <f ca="1">COUNTIF(C$2:C108,3)</f>
        <v>11</v>
      </c>
      <c r="L108">
        <v>105</v>
      </c>
      <c r="M108">
        <v>13.001250000000001</v>
      </c>
      <c r="N108">
        <v>13.6875</v>
      </c>
      <c r="O108">
        <v>13.572208333333336</v>
      </c>
      <c r="P108">
        <v>13.781208333333332</v>
      </c>
      <c r="AG108">
        <v>1</v>
      </c>
      <c r="AH108" t="e">
        <f t="shared" si="8"/>
        <v>#N/A</v>
      </c>
      <c r="AI108">
        <f t="shared" si="12"/>
        <v>2</v>
      </c>
      <c r="AJ108" t="e">
        <f t="shared" si="9"/>
        <v>#N/A</v>
      </c>
      <c r="AK108">
        <f t="shared" si="13"/>
        <v>3</v>
      </c>
      <c r="AL108" t="e">
        <f t="shared" si="10"/>
        <v>#N/A</v>
      </c>
      <c r="AM108">
        <f t="shared" si="14"/>
        <v>4</v>
      </c>
      <c r="AN108" t="e">
        <f t="shared" si="11"/>
        <v>#N/A</v>
      </c>
    </row>
    <row r="109" spans="1:40" x14ac:dyDescent="0.25">
      <c r="A109">
        <v>108</v>
      </c>
      <c r="B109">
        <f ca="1">SMALL(dados!A$23:A$422,A109)</f>
        <v>0.28808342598762848</v>
      </c>
      <c r="C109">
        <f ca="1">VLOOKUP(B109,dados!A$23:E$422,4,0)</f>
        <v>1</v>
      </c>
      <c r="D109">
        <f ca="1">VLOOKUP(B109,dados!A$23:E$422,5,0)</f>
        <v>9</v>
      </c>
      <c r="E109">
        <f ca="1">COUNTIF(C$2:C109,1)</f>
        <v>79</v>
      </c>
      <c r="F109">
        <f ca="1">COUNTIF(C$2:C109,2)</f>
        <v>18</v>
      </c>
      <c r="G109">
        <f ca="1">COUNTIF(C$2:C109,3)</f>
        <v>11</v>
      </c>
      <c r="L109">
        <v>106</v>
      </c>
      <c r="M109">
        <v>14.03125</v>
      </c>
      <c r="N109">
        <v>13.854374999999999</v>
      </c>
      <c r="O109">
        <v>14.057305555555557</v>
      </c>
      <c r="P109">
        <v>14.345041666666669</v>
      </c>
      <c r="AG109">
        <v>1</v>
      </c>
      <c r="AH109" t="e">
        <f t="shared" si="8"/>
        <v>#N/A</v>
      </c>
      <c r="AI109">
        <f t="shared" si="12"/>
        <v>2</v>
      </c>
      <c r="AJ109" t="e">
        <f t="shared" si="9"/>
        <v>#N/A</v>
      </c>
      <c r="AK109">
        <f t="shared" si="13"/>
        <v>3</v>
      </c>
      <c r="AL109" t="e">
        <f t="shared" si="10"/>
        <v>#N/A</v>
      </c>
      <c r="AM109">
        <f t="shared" si="14"/>
        <v>4</v>
      </c>
      <c r="AN109" t="e">
        <f t="shared" si="11"/>
        <v>#N/A</v>
      </c>
    </row>
    <row r="110" spans="1:40" x14ac:dyDescent="0.25">
      <c r="A110">
        <v>109</v>
      </c>
      <c r="B110">
        <f ca="1">SMALL(dados!A$23:A$422,A110)</f>
        <v>0.289476730767666</v>
      </c>
      <c r="C110">
        <f ca="1">VLOOKUP(B110,dados!A$23:E$422,4,0)</f>
        <v>1</v>
      </c>
      <c r="D110">
        <f ca="1">VLOOKUP(B110,dados!A$23:E$422,5,0)</f>
        <v>13</v>
      </c>
      <c r="E110">
        <f ca="1">COUNTIF(C$2:C110,1)</f>
        <v>80</v>
      </c>
      <c r="F110">
        <f ca="1">COUNTIF(C$2:C110,2)</f>
        <v>18</v>
      </c>
      <c r="G110">
        <f ca="1">COUNTIF(C$2:C110,3)</f>
        <v>11</v>
      </c>
      <c r="L110">
        <v>107</v>
      </c>
      <c r="M110">
        <v>13.9275</v>
      </c>
      <c r="N110">
        <v>15.098750000000001</v>
      </c>
      <c r="O110">
        <v>14.240152777777778</v>
      </c>
      <c r="P110">
        <v>13.830374999999998</v>
      </c>
      <c r="AG110">
        <v>1</v>
      </c>
      <c r="AH110" t="e">
        <f t="shared" si="8"/>
        <v>#N/A</v>
      </c>
      <c r="AI110">
        <f t="shared" si="12"/>
        <v>2</v>
      </c>
      <c r="AJ110" t="e">
        <f t="shared" si="9"/>
        <v>#N/A</v>
      </c>
      <c r="AK110">
        <f t="shared" si="13"/>
        <v>3</v>
      </c>
      <c r="AL110" t="e">
        <f t="shared" si="10"/>
        <v>#N/A</v>
      </c>
      <c r="AM110">
        <f t="shared" si="14"/>
        <v>4</v>
      </c>
      <c r="AN110" t="e">
        <f t="shared" si="11"/>
        <v>#N/A</v>
      </c>
    </row>
    <row r="111" spans="1:40" x14ac:dyDescent="0.25">
      <c r="A111">
        <v>110</v>
      </c>
      <c r="B111">
        <f ca="1">SMALL(dados!A$23:A$422,A111)</f>
        <v>0.28979634408279042</v>
      </c>
      <c r="C111">
        <f ca="1">VLOOKUP(B111,dados!A$23:E$422,4,0)</f>
        <v>3</v>
      </c>
      <c r="D111">
        <f ca="1">VLOOKUP(B111,dados!A$23:E$422,5,0)</f>
        <v>34</v>
      </c>
      <c r="E111">
        <f ca="1">COUNTIF(C$2:C111,1)</f>
        <v>80</v>
      </c>
      <c r="F111">
        <f ca="1">COUNTIF(C$2:C111,2)</f>
        <v>18</v>
      </c>
      <c r="G111">
        <f ca="1">COUNTIF(C$2:C111,3)</f>
        <v>12</v>
      </c>
      <c r="L111">
        <v>108</v>
      </c>
      <c r="M111">
        <v>13.946249999999999</v>
      </c>
      <c r="N111">
        <v>14.151249999999999</v>
      </c>
      <c r="O111">
        <v>13.845444444444443</v>
      </c>
      <c r="P111">
        <v>14.091888888888889</v>
      </c>
      <c r="AG111">
        <v>1</v>
      </c>
      <c r="AH111" t="e">
        <f t="shared" si="8"/>
        <v>#N/A</v>
      </c>
      <c r="AI111">
        <f t="shared" si="12"/>
        <v>2</v>
      </c>
      <c r="AJ111" t="e">
        <f t="shared" si="9"/>
        <v>#N/A</v>
      </c>
      <c r="AK111">
        <f t="shared" si="13"/>
        <v>3</v>
      </c>
      <c r="AL111" t="e">
        <f t="shared" si="10"/>
        <v>#N/A</v>
      </c>
      <c r="AM111">
        <f t="shared" si="14"/>
        <v>4</v>
      </c>
      <c r="AN111" t="e">
        <f t="shared" si="11"/>
        <v>#N/A</v>
      </c>
    </row>
    <row r="112" spans="1:40" x14ac:dyDescent="0.25">
      <c r="A112">
        <v>111</v>
      </c>
      <c r="B112">
        <f ca="1">SMALL(dados!A$23:A$422,A112)</f>
        <v>0.29359816842735831</v>
      </c>
      <c r="C112">
        <f ca="1">VLOOKUP(B112,dados!A$23:E$422,4,0)</f>
        <v>1</v>
      </c>
      <c r="D112">
        <f ca="1">VLOOKUP(B112,dados!A$23:E$422,5,0)</f>
        <v>15</v>
      </c>
      <c r="E112">
        <f ca="1">COUNTIF(C$2:C112,1)</f>
        <v>81</v>
      </c>
      <c r="F112">
        <f ca="1">COUNTIF(C$2:C112,2)</f>
        <v>18</v>
      </c>
      <c r="G112">
        <f ca="1">COUNTIF(C$2:C112,3)</f>
        <v>12</v>
      </c>
      <c r="L112">
        <v>109</v>
      </c>
      <c r="M112">
        <v>14.52875</v>
      </c>
      <c r="N112">
        <v>14.026875</v>
      </c>
      <c r="O112">
        <v>14.446888888888889</v>
      </c>
      <c r="P112">
        <v>14.388180555555557</v>
      </c>
      <c r="AG112">
        <v>1</v>
      </c>
      <c r="AH112" t="e">
        <f t="shared" si="8"/>
        <v>#N/A</v>
      </c>
      <c r="AI112">
        <f t="shared" si="12"/>
        <v>2</v>
      </c>
      <c r="AJ112" t="e">
        <f t="shared" si="9"/>
        <v>#N/A</v>
      </c>
      <c r="AK112">
        <f t="shared" si="13"/>
        <v>3</v>
      </c>
      <c r="AL112" t="e">
        <f t="shared" si="10"/>
        <v>#N/A</v>
      </c>
      <c r="AM112">
        <f t="shared" si="14"/>
        <v>4</v>
      </c>
      <c r="AN112" t="e">
        <f t="shared" si="11"/>
        <v>#N/A</v>
      </c>
    </row>
    <row r="113" spans="1:40" x14ac:dyDescent="0.25">
      <c r="A113">
        <v>112</v>
      </c>
      <c r="B113">
        <f ca="1">SMALL(dados!A$23:A$422,A113)</f>
        <v>0.29661449954370644</v>
      </c>
      <c r="C113">
        <f ca="1">VLOOKUP(B113,dados!A$23:E$422,4,0)</f>
        <v>1</v>
      </c>
      <c r="D113">
        <f ca="1">VLOOKUP(B113,dados!A$23:E$422,5,0)</f>
        <v>14</v>
      </c>
      <c r="E113">
        <f ca="1">COUNTIF(C$2:C113,1)</f>
        <v>82</v>
      </c>
      <c r="F113">
        <f ca="1">COUNTIF(C$2:C113,2)</f>
        <v>18</v>
      </c>
      <c r="G113">
        <f ca="1">COUNTIF(C$2:C113,3)</f>
        <v>12</v>
      </c>
      <c r="L113">
        <v>110</v>
      </c>
      <c r="M113">
        <v>12.397500000000001</v>
      </c>
      <c r="N113">
        <v>12.315625000000001</v>
      </c>
      <c r="O113">
        <v>13.598972222222221</v>
      </c>
      <c r="P113">
        <v>13.872131944444446</v>
      </c>
      <c r="AG113">
        <v>1</v>
      </c>
      <c r="AH113" t="e">
        <f t="shared" si="8"/>
        <v>#N/A</v>
      </c>
      <c r="AI113">
        <f t="shared" si="12"/>
        <v>2</v>
      </c>
      <c r="AJ113" t="e">
        <f t="shared" si="9"/>
        <v>#N/A</v>
      </c>
      <c r="AK113">
        <f t="shared" si="13"/>
        <v>3</v>
      </c>
      <c r="AL113" t="e">
        <f t="shared" si="10"/>
        <v>#N/A</v>
      </c>
      <c r="AM113">
        <f t="shared" si="14"/>
        <v>4</v>
      </c>
      <c r="AN113" t="e">
        <f t="shared" si="11"/>
        <v>#N/A</v>
      </c>
    </row>
    <row r="114" spans="1:40" x14ac:dyDescent="0.25">
      <c r="A114">
        <v>113</v>
      </c>
      <c r="B114">
        <f ca="1">SMALL(dados!A$23:A$422,A114)</f>
        <v>0.29853426155994844</v>
      </c>
      <c r="C114">
        <f ca="1">VLOOKUP(B114,dados!A$23:E$422,4,0)</f>
        <v>1</v>
      </c>
      <c r="D114">
        <f ca="1">VLOOKUP(B114,dados!A$23:E$422,5,0)</f>
        <v>7</v>
      </c>
      <c r="E114">
        <f ca="1">COUNTIF(C$2:C114,1)</f>
        <v>83</v>
      </c>
      <c r="F114">
        <f ca="1">COUNTIF(C$2:C114,2)</f>
        <v>18</v>
      </c>
      <c r="G114">
        <f ca="1">COUNTIF(C$2:C114,3)</f>
        <v>12</v>
      </c>
      <c r="L114">
        <v>111</v>
      </c>
      <c r="M114">
        <v>14.32</v>
      </c>
      <c r="N114">
        <v>13.725625000000001</v>
      </c>
      <c r="O114">
        <v>13.9175</v>
      </c>
      <c r="P114">
        <v>14.085395833333335</v>
      </c>
      <c r="AG114">
        <v>1</v>
      </c>
      <c r="AH114" t="e">
        <f t="shared" si="8"/>
        <v>#N/A</v>
      </c>
      <c r="AI114">
        <f t="shared" si="12"/>
        <v>2</v>
      </c>
      <c r="AJ114" t="e">
        <f t="shared" si="9"/>
        <v>#N/A</v>
      </c>
      <c r="AK114">
        <f t="shared" si="13"/>
        <v>3</v>
      </c>
      <c r="AL114" t="e">
        <f t="shared" si="10"/>
        <v>#N/A</v>
      </c>
      <c r="AM114">
        <f t="shared" si="14"/>
        <v>4</v>
      </c>
      <c r="AN114" t="e">
        <f t="shared" si="11"/>
        <v>#N/A</v>
      </c>
    </row>
    <row r="115" spans="1:40" x14ac:dyDescent="0.25">
      <c r="A115">
        <v>114</v>
      </c>
      <c r="B115">
        <f ca="1">SMALL(dados!A$23:A$422,A115)</f>
        <v>0.30645383086276934</v>
      </c>
      <c r="C115">
        <f ca="1">VLOOKUP(B115,dados!A$23:E$422,4,0)</f>
        <v>1</v>
      </c>
      <c r="D115">
        <f ca="1">VLOOKUP(B115,dados!A$23:E$422,5,0)</f>
        <v>12</v>
      </c>
      <c r="E115">
        <f ca="1">COUNTIF(C$2:C115,1)</f>
        <v>84</v>
      </c>
      <c r="F115">
        <f ca="1">COUNTIF(C$2:C115,2)</f>
        <v>18</v>
      </c>
      <c r="G115">
        <f ca="1">COUNTIF(C$2:C115,3)</f>
        <v>12</v>
      </c>
      <c r="L115">
        <v>112</v>
      </c>
      <c r="M115">
        <v>13.56</v>
      </c>
      <c r="N115">
        <v>13.734375</v>
      </c>
      <c r="O115">
        <v>13.305125</v>
      </c>
      <c r="P115">
        <v>13.075597222222223</v>
      </c>
      <c r="AG115">
        <v>1</v>
      </c>
      <c r="AH115" t="e">
        <f t="shared" si="8"/>
        <v>#N/A</v>
      </c>
      <c r="AI115">
        <f t="shared" si="12"/>
        <v>2</v>
      </c>
      <c r="AJ115" t="e">
        <f t="shared" si="9"/>
        <v>#N/A</v>
      </c>
      <c r="AK115">
        <f t="shared" si="13"/>
        <v>3</v>
      </c>
      <c r="AL115" t="e">
        <f t="shared" si="10"/>
        <v>#N/A</v>
      </c>
      <c r="AM115">
        <f t="shared" si="14"/>
        <v>4</v>
      </c>
      <c r="AN115">
        <f t="shared" si="11"/>
        <v>13.075597222222223</v>
      </c>
    </row>
    <row r="116" spans="1:40" x14ac:dyDescent="0.25">
      <c r="A116">
        <v>115</v>
      </c>
      <c r="B116">
        <f ca="1">SMALL(dados!A$23:A$422,A116)</f>
        <v>0.30682451756367635</v>
      </c>
      <c r="C116">
        <f ca="1">VLOOKUP(B116,dados!A$23:E$422,4,0)</f>
        <v>1</v>
      </c>
      <c r="D116">
        <f ca="1">VLOOKUP(B116,dados!A$23:E$422,5,0)</f>
        <v>12</v>
      </c>
      <c r="E116">
        <f ca="1">COUNTIF(C$2:C116,1)</f>
        <v>85</v>
      </c>
      <c r="F116">
        <f ca="1">COUNTIF(C$2:C116,2)</f>
        <v>18</v>
      </c>
      <c r="G116">
        <f ca="1">COUNTIF(C$2:C116,3)</f>
        <v>12</v>
      </c>
      <c r="L116">
        <v>113</v>
      </c>
      <c r="M116">
        <v>13.14</v>
      </c>
      <c r="N116">
        <v>12.672499999999999</v>
      </c>
      <c r="O116">
        <v>13.695888888888888</v>
      </c>
      <c r="P116">
        <v>13.925659722222221</v>
      </c>
      <c r="AG116">
        <v>1</v>
      </c>
      <c r="AH116" t="e">
        <f t="shared" si="8"/>
        <v>#N/A</v>
      </c>
      <c r="AI116">
        <f t="shared" si="12"/>
        <v>2</v>
      </c>
      <c r="AJ116" t="e">
        <f t="shared" si="9"/>
        <v>#N/A</v>
      </c>
      <c r="AK116">
        <f t="shared" si="13"/>
        <v>3</v>
      </c>
      <c r="AL116" t="e">
        <f t="shared" si="10"/>
        <v>#N/A</v>
      </c>
      <c r="AM116">
        <f t="shared" si="14"/>
        <v>4</v>
      </c>
      <c r="AN116" t="e">
        <f t="shared" si="11"/>
        <v>#N/A</v>
      </c>
    </row>
    <row r="117" spans="1:40" x14ac:dyDescent="0.25">
      <c r="A117">
        <v>116</v>
      </c>
      <c r="B117">
        <f ca="1">SMALL(dados!A$23:A$422,A117)</f>
        <v>0.30990357936986479</v>
      </c>
      <c r="C117">
        <f ca="1">VLOOKUP(B117,dados!A$23:E$422,4,0)</f>
        <v>2</v>
      </c>
      <c r="D117">
        <f ca="1">VLOOKUP(B117,dados!A$23:E$422,5,0)</f>
        <v>20</v>
      </c>
      <c r="E117">
        <f ca="1">COUNTIF(C$2:C117,1)</f>
        <v>85</v>
      </c>
      <c r="F117">
        <f ca="1">COUNTIF(C$2:C117,2)</f>
        <v>19</v>
      </c>
      <c r="G117">
        <f ca="1">COUNTIF(C$2:C117,3)</f>
        <v>12</v>
      </c>
      <c r="L117">
        <v>114</v>
      </c>
      <c r="M117">
        <v>12.765000000000001</v>
      </c>
      <c r="N117">
        <v>14.209375</v>
      </c>
      <c r="O117">
        <v>14.589166666666666</v>
      </c>
      <c r="P117">
        <v>14.214604166666666</v>
      </c>
      <c r="AG117">
        <v>1</v>
      </c>
      <c r="AH117" t="e">
        <f t="shared" si="8"/>
        <v>#N/A</v>
      </c>
      <c r="AI117">
        <f t="shared" si="12"/>
        <v>2</v>
      </c>
      <c r="AJ117" t="e">
        <f t="shared" si="9"/>
        <v>#N/A</v>
      </c>
      <c r="AK117">
        <f t="shared" si="13"/>
        <v>3</v>
      </c>
      <c r="AL117" t="e">
        <f t="shared" si="10"/>
        <v>#N/A</v>
      </c>
      <c r="AM117">
        <f t="shared" si="14"/>
        <v>4</v>
      </c>
      <c r="AN117" t="e">
        <f t="shared" si="11"/>
        <v>#N/A</v>
      </c>
    </row>
    <row r="118" spans="1:40" x14ac:dyDescent="0.25">
      <c r="A118">
        <v>117</v>
      </c>
      <c r="B118">
        <f ca="1">SMALL(dados!A$23:A$422,A118)</f>
        <v>0.31262628123379888</v>
      </c>
      <c r="C118">
        <f ca="1">VLOOKUP(B118,dados!A$23:E$422,4,0)</f>
        <v>1</v>
      </c>
      <c r="D118">
        <f ca="1">VLOOKUP(B118,dados!A$23:E$422,5,0)</f>
        <v>10</v>
      </c>
      <c r="E118">
        <f ca="1">COUNTIF(C$2:C118,1)</f>
        <v>86</v>
      </c>
      <c r="F118">
        <f ca="1">COUNTIF(C$2:C118,2)</f>
        <v>19</v>
      </c>
      <c r="G118">
        <f ca="1">COUNTIF(C$2:C118,3)</f>
        <v>12</v>
      </c>
      <c r="L118">
        <v>115</v>
      </c>
      <c r="M118">
        <v>12.706250000000001</v>
      </c>
      <c r="N118">
        <v>13.594374999999999</v>
      </c>
      <c r="O118">
        <v>13.424555555555555</v>
      </c>
      <c r="P118">
        <v>13.86723611111111</v>
      </c>
      <c r="AG118">
        <v>1</v>
      </c>
      <c r="AH118" t="e">
        <f t="shared" si="8"/>
        <v>#N/A</v>
      </c>
      <c r="AI118">
        <f t="shared" si="12"/>
        <v>2</v>
      </c>
      <c r="AJ118" t="e">
        <f t="shared" si="9"/>
        <v>#N/A</v>
      </c>
      <c r="AK118">
        <f t="shared" si="13"/>
        <v>3</v>
      </c>
      <c r="AL118" t="e">
        <f t="shared" si="10"/>
        <v>#N/A</v>
      </c>
      <c r="AM118">
        <f t="shared" si="14"/>
        <v>4</v>
      </c>
      <c r="AN118" t="e">
        <f t="shared" si="11"/>
        <v>#N/A</v>
      </c>
    </row>
    <row r="119" spans="1:40" x14ac:dyDescent="0.25">
      <c r="A119">
        <v>118</v>
      </c>
      <c r="B119">
        <f ca="1">SMALL(dados!A$23:A$422,A119)</f>
        <v>0.31432863531533217</v>
      </c>
      <c r="C119">
        <f ca="1">VLOOKUP(B119,dados!A$23:E$422,4,0)</f>
        <v>2</v>
      </c>
      <c r="D119">
        <f ca="1">VLOOKUP(B119,dados!A$23:E$422,5,0)</f>
        <v>16</v>
      </c>
      <c r="E119">
        <f ca="1">COUNTIF(C$2:C119,1)</f>
        <v>86</v>
      </c>
      <c r="F119">
        <f ca="1">COUNTIF(C$2:C119,2)</f>
        <v>20</v>
      </c>
      <c r="G119">
        <f ca="1">COUNTIF(C$2:C119,3)</f>
        <v>12</v>
      </c>
      <c r="L119">
        <v>116</v>
      </c>
      <c r="M119">
        <v>13.17</v>
      </c>
      <c r="N119">
        <v>13.429375</v>
      </c>
      <c r="O119">
        <v>14.180125</v>
      </c>
      <c r="P119">
        <v>13.619534722222221</v>
      </c>
      <c r="AG119">
        <v>1</v>
      </c>
      <c r="AH119" t="e">
        <f t="shared" si="8"/>
        <v>#N/A</v>
      </c>
      <c r="AI119">
        <f t="shared" si="12"/>
        <v>2</v>
      </c>
      <c r="AJ119" t="e">
        <f t="shared" si="9"/>
        <v>#N/A</v>
      </c>
      <c r="AK119">
        <f t="shared" si="13"/>
        <v>3</v>
      </c>
      <c r="AL119" t="e">
        <f t="shared" si="10"/>
        <v>#N/A</v>
      </c>
      <c r="AM119">
        <f t="shared" si="14"/>
        <v>4</v>
      </c>
      <c r="AN119" t="e">
        <f t="shared" si="11"/>
        <v>#N/A</v>
      </c>
    </row>
    <row r="120" spans="1:40" x14ac:dyDescent="0.25">
      <c r="A120">
        <v>119</v>
      </c>
      <c r="B120">
        <f ca="1">SMALL(dados!A$23:A$422,A120)</f>
        <v>0.31993638478551178</v>
      </c>
      <c r="C120">
        <f ca="1">VLOOKUP(B120,dados!A$23:E$422,4,0)</f>
        <v>1</v>
      </c>
      <c r="D120">
        <f ca="1">VLOOKUP(B120,dados!A$23:E$422,5,0)</f>
        <v>14</v>
      </c>
      <c r="E120">
        <f ca="1">COUNTIF(C$2:C120,1)</f>
        <v>87</v>
      </c>
      <c r="F120">
        <f ca="1">COUNTIF(C$2:C120,2)</f>
        <v>20</v>
      </c>
      <c r="G120">
        <f ca="1">COUNTIF(C$2:C120,3)</f>
        <v>12</v>
      </c>
      <c r="L120">
        <v>117</v>
      </c>
      <c r="M120">
        <v>13.016249999999999</v>
      </c>
      <c r="N120">
        <v>13.98625</v>
      </c>
      <c r="O120">
        <v>13.30601388888889</v>
      </c>
      <c r="P120">
        <v>13.753590277777779</v>
      </c>
      <c r="AG120">
        <v>1</v>
      </c>
      <c r="AH120" t="e">
        <f t="shared" si="8"/>
        <v>#N/A</v>
      </c>
      <c r="AI120">
        <f t="shared" si="12"/>
        <v>2</v>
      </c>
      <c r="AJ120" t="e">
        <f t="shared" si="9"/>
        <v>#N/A</v>
      </c>
      <c r="AK120">
        <f t="shared" si="13"/>
        <v>3</v>
      </c>
      <c r="AL120" t="e">
        <f t="shared" si="10"/>
        <v>#N/A</v>
      </c>
      <c r="AM120">
        <f t="shared" si="14"/>
        <v>4</v>
      </c>
      <c r="AN120" t="e">
        <f t="shared" si="11"/>
        <v>#N/A</v>
      </c>
    </row>
    <row r="121" spans="1:40" x14ac:dyDescent="0.25">
      <c r="A121">
        <v>120</v>
      </c>
      <c r="B121">
        <f ca="1">SMALL(dados!A$23:A$422,A121)</f>
        <v>0.32678761372296095</v>
      </c>
      <c r="C121">
        <f ca="1">VLOOKUP(B121,dados!A$23:E$422,4,0)</f>
        <v>1</v>
      </c>
      <c r="D121">
        <f ca="1">VLOOKUP(B121,dados!A$23:E$422,5,0)</f>
        <v>10</v>
      </c>
      <c r="E121">
        <f ca="1">COUNTIF(C$2:C121,1)</f>
        <v>88</v>
      </c>
      <c r="F121">
        <f ca="1">COUNTIF(C$2:C121,2)</f>
        <v>20</v>
      </c>
      <c r="G121">
        <f ca="1">COUNTIF(C$2:C121,3)</f>
        <v>12</v>
      </c>
      <c r="L121">
        <v>118</v>
      </c>
      <c r="M121">
        <v>14.258749999999999</v>
      </c>
      <c r="N121">
        <v>14.019375</v>
      </c>
      <c r="O121">
        <v>14.125388888888887</v>
      </c>
      <c r="P121">
        <v>13.942388888888885</v>
      </c>
      <c r="AG121">
        <v>1</v>
      </c>
      <c r="AH121" t="e">
        <f t="shared" si="8"/>
        <v>#N/A</v>
      </c>
      <c r="AI121">
        <f t="shared" si="12"/>
        <v>2</v>
      </c>
      <c r="AJ121" t="e">
        <f t="shared" si="9"/>
        <v>#N/A</v>
      </c>
      <c r="AK121">
        <f t="shared" si="13"/>
        <v>3</v>
      </c>
      <c r="AL121" t="e">
        <f t="shared" si="10"/>
        <v>#N/A</v>
      </c>
      <c r="AM121">
        <f t="shared" si="14"/>
        <v>4</v>
      </c>
      <c r="AN121" t="e">
        <f t="shared" si="11"/>
        <v>#N/A</v>
      </c>
    </row>
    <row r="122" spans="1:40" x14ac:dyDescent="0.25">
      <c r="A122">
        <v>121</v>
      </c>
      <c r="B122">
        <f ca="1">SMALL(dados!A$23:A$422,A122)</f>
        <v>0.33195930864590362</v>
      </c>
      <c r="C122">
        <f ca="1">VLOOKUP(B122,dados!A$23:E$422,4,0)</f>
        <v>1</v>
      </c>
      <c r="D122">
        <f ca="1">VLOOKUP(B122,dados!A$23:E$422,5,0)</f>
        <v>5</v>
      </c>
      <c r="E122">
        <f ca="1">COUNTIF(C$2:C122,1)</f>
        <v>89</v>
      </c>
      <c r="F122">
        <f ca="1">COUNTIF(C$2:C122,2)</f>
        <v>20</v>
      </c>
      <c r="G122">
        <f ca="1">COUNTIF(C$2:C122,3)</f>
        <v>12</v>
      </c>
      <c r="L122">
        <v>119</v>
      </c>
      <c r="M122">
        <v>13.57</v>
      </c>
      <c r="N122">
        <v>13.904375</v>
      </c>
      <c r="O122">
        <v>13.764097222222222</v>
      </c>
      <c r="P122">
        <v>13.81742361111111</v>
      </c>
      <c r="AG122">
        <v>1</v>
      </c>
      <c r="AH122" t="e">
        <f t="shared" si="8"/>
        <v>#N/A</v>
      </c>
      <c r="AI122">
        <f t="shared" si="12"/>
        <v>2</v>
      </c>
      <c r="AJ122" t="e">
        <f t="shared" si="9"/>
        <v>#N/A</v>
      </c>
      <c r="AK122">
        <f t="shared" si="13"/>
        <v>3</v>
      </c>
      <c r="AL122" t="e">
        <f t="shared" si="10"/>
        <v>#N/A</v>
      </c>
      <c r="AM122">
        <f t="shared" si="14"/>
        <v>4</v>
      </c>
      <c r="AN122" t="e">
        <f t="shared" si="11"/>
        <v>#N/A</v>
      </c>
    </row>
    <row r="123" spans="1:40" x14ac:dyDescent="0.25">
      <c r="A123">
        <v>122</v>
      </c>
      <c r="B123">
        <f ca="1">SMALL(dados!A$23:A$422,A123)</f>
        <v>0.33253680278529607</v>
      </c>
      <c r="C123">
        <f ca="1">VLOOKUP(B123,dados!A$23:E$422,4,0)</f>
        <v>1</v>
      </c>
      <c r="D123">
        <f ca="1">VLOOKUP(B123,dados!A$23:E$422,5,0)</f>
        <v>15</v>
      </c>
      <c r="E123">
        <f ca="1">COUNTIF(C$2:C123,1)</f>
        <v>90</v>
      </c>
      <c r="F123">
        <f ca="1">COUNTIF(C$2:C123,2)</f>
        <v>20</v>
      </c>
      <c r="G123">
        <f ca="1">COUNTIF(C$2:C123,3)</f>
        <v>12</v>
      </c>
      <c r="L123">
        <v>120</v>
      </c>
      <c r="M123">
        <v>12.49625</v>
      </c>
      <c r="N123">
        <v>13.394375</v>
      </c>
      <c r="O123">
        <v>14.042930555555554</v>
      </c>
      <c r="P123">
        <v>14.09963888888889</v>
      </c>
      <c r="AG123">
        <v>1</v>
      </c>
      <c r="AH123" t="e">
        <f t="shared" si="8"/>
        <v>#N/A</v>
      </c>
      <c r="AI123">
        <f t="shared" si="12"/>
        <v>2</v>
      </c>
      <c r="AJ123" t="e">
        <f t="shared" si="9"/>
        <v>#N/A</v>
      </c>
      <c r="AK123">
        <f t="shared" si="13"/>
        <v>3</v>
      </c>
      <c r="AL123" t="e">
        <f t="shared" si="10"/>
        <v>#N/A</v>
      </c>
      <c r="AM123">
        <f t="shared" si="14"/>
        <v>4</v>
      </c>
      <c r="AN123" t="e">
        <f t="shared" si="11"/>
        <v>#N/A</v>
      </c>
    </row>
    <row r="124" spans="1:40" x14ac:dyDescent="0.25">
      <c r="A124">
        <v>123</v>
      </c>
      <c r="B124">
        <f ca="1">SMALL(dados!A$23:A$422,A124)</f>
        <v>0.33670906864164052</v>
      </c>
      <c r="C124">
        <f ca="1">VLOOKUP(B124,dados!A$23:E$422,4,0)</f>
        <v>1</v>
      </c>
      <c r="D124">
        <f ca="1">VLOOKUP(B124,dados!A$23:E$422,5,0)</f>
        <v>5</v>
      </c>
      <c r="E124">
        <f ca="1">COUNTIF(C$2:C124,1)</f>
        <v>91</v>
      </c>
      <c r="F124">
        <f ca="1">COUNTIF(C$2:C124,2)</f>
        <v>20</v>
      </c>
      <c r="G124">
        <f ca="1">COUNTIF(C$2:C124,3)</f>
        <v>12</v>
      </c>
      <c r="L124">
        <v>121</v>
      </c>
      <c r="M124">
        <v>14.3325</v>
      </c>
      <c r="N124">
        <v>13.4175</v>
      </c>
      <c r="O124">
        <v>13.774513888888889</v>
      </c>
      <c r="P124">
        <v>13.651631944444443</v>
      </c>
      <c r="AG124">
        <v>1</v>
      </c>
      <c r="AH124" t="e">
        <f t="shared" si="8"/>
        <v>#N/A</v>
      </c>
      <c r="AI124">
        <f t="shared" si="12"/>
        <v>2</v>
      </c>
      <c r="AJ124" t="e">
        <f t="shared" si="9"/>
        <v>#N/A</v>
      </c>
      <c r="AK124">
        <f t="shared" si="13"/>
        <v>3</v>
      </c>
      <c r="AL124" t="e">
        <f t="shared" si="10"/>
        <v>#N/A</v>
      </c>
      <c r="AM124">
        <f t="shared" si="14"/>
        <v>4</v>
      </c>
      <c r="AN124" t="e">
        <f t="shared" si="11"/>
        <v>#N/A</v>
      </c>
    </row>
    <row r="125" spans="1:40" x14ac:dyDescent="0.25">
      <c r="A125">
        <v>124</v>
      </c>
      <c r="B125">
        <f ca="1">SMALL(dados!A$23:A$422,A125)</f>
        <v>0.34293230612562486</v>
      </c>
      <c r="C125">
        <f ca="1">VLOOKUP(B125,dados!A$23:E$422,4,0)</f>
        <v>1</v>
      </c>
      <c r="D125">
        <f ca="1">VLOOKUP(B125,dados!A$23:E$422,5,0)</f>
        <v>4</v>
      </c>
      <c r="E125">
        <f ca="1">COUNTIF(C$2:C125,1)</f>
        <v>92</v>
      </c>
      <c r="F125">
        <f ca="1">COUNTIF(C$2:C125,2)</f>
        <v>20</v>
      </c>
      <c r="G125">
        <f ca="1">COUNTIF(C$2:C125,3)</f>
        <v>12</v>
      </c>
      <c r="L125">
        <v>122</v>
      </c>
      <c r="M125">
        <v>15.547499999999999</v>
      </c>
      <c r="N125">
        <v>15.12125</v>
      </c>
      <c r="O125">
        <v>14.091888888888889</v>
      </c>
      <c r="P125">
        <v>13.870569444444444</v>
      </c>
      <c r="AG125">
        <v>1</v>
      </c>
      <c r="AH125" t="e">
        <f t="shared" si="8"/>
        <v>#N/A</v>
      </c>
      <c r="AI125">
        <f t="shared" si="12"/>
        <v>2</v>
      </c>
      <c r="AJ125" t="e">
        <f t="shared" si="9"/>
        <v>#N/A</v>
      </c>
      <c r="AK125">
        <f t="shared" si="13"/>
        <v>3</v>
      </c>
      <c r="AL125" t="e">
        <f t="shared" si="10"/>
        <v>#N/A</v>
      </c>
      <c r="AM125">
        <f t="shared" si="14"/>
        <v>4</v>
      </c>
      <c r="AN125" t="e">
        <f t="shared" si="11"/>
        <v>#N/A</v>
      </c>
    </row>
    <row r="126" spans="1:40" x14ac:dyDescent="0.25">
      <c r="A126">
        <v>125</v>
      </c>
      <c r="B126">
        <f ca="1">SMALL(dados!A$23:A$422,A126)</f>
        <v>0.34309329715543702</v>
      </c>
      <c r="C126">
        <f ca="1">VLOOKUP(B126,dados!A$23:E$422,4,0)</f>
        <v>1</v>
      </c>
      <c r="D126">
        <f ca="1">VLOOKUP(B126,dados!A$23:E$422,5,0)</f>
        <v>10</v>
      </c>
      <c r="E126">
        <f ca="1">COUNTIF(C$2:C126,1)</f>
        <v>93</v>
      </c>
      <c r="F126">
        <f ca="1">COUNTIF(C$2:C126,2)</f>
        <v>20</v>
      </c>
      <c r="G126">
        <f ca="1">COUNTIF(C$2:C126,3)</f>
        <v>12</v>
      </c>
      <c r="L126">
        <v>123</v>
      </c>
      <c r="M126">
        <v>14.4125</v>
      </c>
      <c r="N126">
        <v>13.671250000000001</v>
      </c>
      <c r="O126">
        <v>14.136111111111113</v>
      </c>
      <c r="P126">
        <v>13.956381944444443</v>
      </c>
      <c r="AG126">
        <v>1</v>
      </c>
      <c r="AH126" t="e">
        <f t="shared" si="8"/>
        <v>#N/A</v>
      </c>
      <c r="AI126">
        <f t="shared" si="12"/>
        <v>2</v>
      </c>
      <c r="AJ126" t="e">
        <f t="shared" si="9"/>
        <v>#N/A</v>
      </c>
      <c r="AK126">
        <f t="shared" si="13"/>
        <v>3</v>
      </c>
      <c r="AL126" t="e">
        <f t="shared" si="10"/>
        <v>#N/A</v>
      </c>
      <c r="AM126">
        <f t="shared" si="14"/>
        <v>4</v>
      </c>
      <c r="AN126" t="e">
        <f t="shared" si="11"/>
        <v>#N/A</v>
      </c>
    </row>
    <row r="127" spans="1:40" x14ac:dyDescent="0.25">
      <c r="A127">
        <v>126</v>
      </c>
      <c r="B127">
        <f ca="1">SMALL(dados!A$23:A$422,A127)</f>
        <v>0.34389755537688305</v>
      </c>
      <c r="C127">
        <f ca="1">VLOOKUP(B127,dados!A$23:E$422,4,0)</f>
        <v>3</v>
      </c>
      <c r="D127">
        <f ca="1">VLOOKUP(B127,dados!A$23:E$422,5,0)</f>
        <v>26</v>
      </c>
      <c r="E127">
        <f ca="1">COUNTIF(C$2:C127,1)</f>
        <v>93</v>
      </c>
      <c r="F127">
        <f ca="1">COUNTIF(C$2:C127,2)</f>
        <v>20</v>
      </c>
      <c r="G127">
        <f ca="1">COUNTIF(C$2:C127,3)</f>
        <v>13</v>
      </c>
      <c r="L127">
        <v>124</v>
      </c>
      <c r="M127">
        <v>15.365</v>
      </c>
      <c r="N127">
        <v>15.381875000000001</v>
      </c>
      <c r="O127">
        <v>14.384555555555556</v>
      </c>
      <c r="P127">
        <v>14.161736111111113</v>
      </c>
      <c r="AG127">
        <v>1</v>
      </c>
      <c r="AH127" t="e">
        <f t="shared" si="8"/>
        <v>#N/A</v>
      </c>
      <c r="AI127">
        <f t="shared" si="12"/>
        <v>2</v>
      </c>
      <c r="AJ127" t="e">
        <f t="shared" si="9"/>
        <v>#N/A</v>
      </c>
      <c r="AK127">
        <f t="shared" si="13"/>
        <v>3</v>
      </c>
      <c r="AL127" t="e">
        <f t="shared" si="10"/>
        <v>#N/A</v>
      </c>
      <c r="AM127">
        <f t="shared" si="14"/>
        <v>4</v>
      </c>
      <c r="AN127" t="e">
        <f t="shared" si="11"/>
        <v>#N/A</v>
      </c>
    </row>
    <row r="128" spans="1:40" x14ac:dyDescent="0.25">
      <c r="A128">
        <v>127</v>
      </c>
      <c r="B128">
        <f ca="1">SMALL(dados!A$23:A$422,A128)</f>
        <v>0.34522166313131997</v>
      </c>
      <c r="C128">
        <f ca="1">VLOOKUP(B128,dados!A$23:E$422,4,0)</f>
        <v>1</v>
      </c>
      <c r="D128">
        <f ca="1">VLOOKUP(B128,dados!A$23:E$422,5,0)</f>
        <v>11</v>
      </c>
      <c r="E128">
        <f ca="1">COUNTIF(C$2:C128,1)</f>
        <v>94</v>
      </c>
      <c r="F128">
        <f ca="1">COUNTIF(C$2:C128,2)</f>
        <v>20</v>
      </c>
      <c r="G128">
        <f ca="1">COUNTIF(C$2:C128,3)</f>
        <v>13</v>
      </c>
      <c r="L128">
        <v>125</v>
      </c>
      <c r="M128">
        <v>13.0525</v>
      </c>
      <c r="N128">
        <v>13.1175</v>
      </c>
      <c r="O128">
        <v>14.259722222222221</v>
      </c>
      <c r="P128">
        <v>14.547249999999998</v>
      </c>
      <c r="AG128">
        <v>1</v>
      </c>
      <c r="AH128" t="e">
        <f t="shared" si="8"/>
        <v>#N/A</v>
      </c>
      <c r="AI128">
        <f t="shared" si="12"/>
        <v>2</v>
      </c>
      <c r="AJ128" t="e">
        <f t="shared" si="9"/>
        <v>#N/A</v>
      </c>
      <c r="AK128">
        <f t="shared" si="13"/>
        <v>3</v>
      </c>
      <c r="AL128" t="e">
        <f t="shared" si="10"/>
        <v>#N/A</v>
      </c>
      <c r="AM128">
        <f t="shared" si="14"/>
        <v>4</v>
      </c>
      <c r="AN128" t="e">
        <f t="shared" si="11"/>
        <v>#N/A</v>
      </c>
    </row>
    <row r="129" spans="1:40" x14ac:dyDescent="0.25">
      <c r="A129">
        <v>128</v>
      </c>
      <c r="B129">
        <f ca="1">SMALL(dados!A$23:A$422,A129)</f>
        <v>0.35312700529055485</v>
      </c>
      <c r="C129">
        <f ca="1">VLOOKUP(B129,dados!A$23:E$422,4,0)</f>
        <v>1</v>
      </c>
      <c r="D129">
        <f ca="1">VLOOKUP(B129,dados!A$23:E$422,5,0)</f>
        <v>13</v>
      </c>
      <c r="E129">
        <f ca="1">COUNTIF(C$2:C129,1)</f>
        <v>95</v>
      </c>
      <c r="F129">
        <f ca="1">COUNTIF(C$2:C129,2)</f>
        <v>20</v>
      </c>
      <c r="G129">
        <f ca="1">COUNTIF(C$2:C129,3)</f>
        <v>13</v>
      </c>
      <c r="L129">
        <v>126</v>
      </c>
      <c r="M129">
        <v>15.508749999999999</v>
      </c>
      <c r="N129">
        <v>15.116250000000001</v>
      </c>
      <c r="O129">
        <v>14.042430555555557</v>
      </c>
      <c r="P129">
        <v>14.225173611111114</v>
      </c>
      <c r="AG129">
        <v>1</v>
      </c>
      <c r="AH129" t="e">
        <f t="shared" si="8"/>
        <v>#N/A</v>
      </c>
      <c r="AI129">
        <f t="shared" si="12"/>
        <v>2</v>
      </c>
      <c r="AJ129" t="e">
        <f t="shared" si="9"/>
        <v>#N/A</v>
      </c>
      <c r="AK129">
        <f t="shared" si="13"/>
        <v>3</v>
      </c>
      <c r="AL129" t="e">
        <f t="shared" si="10"/>
        <v>#N/A</v>
      </c>
      <c r="AM129">
        <f t="shared" si="14"/>
        <v>4</v>
      </c>
      <c r="AN129" t="e">
        <f t="shared" si="11"/>
        <v>#N/A</v>
      </c>
    </row>
    <row r="130" spans="1:40" x14ac:dyDescent="0.25">
      <c r="A130">
        <v>129</v>
      </c>
      <c r="B130">
        <f ca="1">SMALL(dados!A$23:A$422,A130)</f>
        <v>0.35551311253163398</v>
      </c>
      <c r="C130">
        <f ca="1">VLOOKUP(B130,dados!A$23:E$422,4,0)</f>
        <v>3</v>
      </c>
      <c r="D130">
        <f ca="1">VLOOKUP(B130,dados!A$23:E$422,5,0)</f>
        <v>27</v>
      </c>
      <c r="E130">
        <f ca="1">COUNTIF(C$2:C130,1)</f>
        <v>95</v>
      </c>
      <c r="F130">
        <f ca="1">COUNTIF(C$2:C130,2)</f>
        <v>20</v>
      </c>
      <c r="G130">
        <f ca="1">COUNTIF(C$2:C130,3)</f>
        <v>14</v>
      </c>
      <c r="L130">
        <v>127</v>
      </c>
      <c r="M130">
        <v>16.555</v>
      </c>
      <c r="N130">
        <v>15.544375</v>
      </c>
      <c r="O130">
        <v>14.259680555555555</v>
      </c>
      <c r="P130">
        <v>14.711437499999999</v>
      </c>
      <c r="AG130">
        <v>1</v>
      </c>
      <c r="AH130" t="e">
        <f t="shared" si="8"/>
        <v>#N/A</v>
      </c>
      <c r="AI130">
        <f t="shared" si="12"/>
        <v>2</v>
      </c>
      <c r="AJ130" t="e">
        <f t="shared" si="9"/>
        <v>#N/A</v>
      </c>
      <c r="AK130">
        <f t="shared" si="13"/>
        <v>3</v>
      </c>
      <c r="AL130" t="e">
        <f t="shared" si="10"/>
        <v>#N/A</v>
      </c>
      <c r="AM130">
        <f t="shared" si="14"/>
        <v>4</v>
      </c>
      <c r="AN130" t="e">
        <f t="shared" si="11"/>
        <v>#N/A</v>
      </c>
    </row>
    <row r="131" spans="1:40" x14ac:dyDescent="0.25">
      <c r="A131">
        <v>130</v>
      </c>
      <c r="B131">
        <f ca="1">SMALL(dados!A$23:A$422,A131)</f>
        <v>0.35578873477218087</v>
      </c>
      <c r="C131">
        <f ca="1">VLOOKUP(B131,dados!A$23:E$422,4,0)</f>
        <v>1</v>
      </c>
      <c r="D131">
        <f ca="1">VLOOKUP(B131,dados!A$23:E$422,5,0)</f>
        <v>12</v>
      </c>
      <c r="E131">
        <f ca="1">COUNTIF(C$2:C131,1)</f>
        <v>96</v>
      </c>
      <c r="F131">
        <f ca="1">COUNTIF(C$2:C131,2)</f>
        <v>20</v>
      </c>
      <c r="G131">
        <f ca="1">COUNTIF(C$2:C131,3)</f>
        <v>14</v>
      </c>
      <c r="L131">
        <v>128</v>
      </c>
      <c r="M131">
        <v>15.205</v>
      </c>
      <c r="N131">
        <v>14.63125</v>
      </c>
      <c r="O131">
        <v>14.734583333333335</v>
      </c>
      <c r="P131">
        <v>14.182208333333334</v>
      </c>
      <c r="AG131">
        <v>1</v>
      </c>
      <c r="AH131" t="e">
        <f t="shared" si="8"/>
        <v>#N/A</v>
      </c>
      <c r="AI131">
        <f t="shared" si="12"/>
        <v>2</v>
      </c>
      <c r="AJ131" t="e">
        <f t="shared" si="9"/>
        <v>#N/A</v>
      </c>
      <c r="AK131">
        <f t="shared" si="13"/>
        <v>3</v>
      </c>
      <c r="AL131" t="e">
        <f t="shared" si="10"/>
        <v>#N/A</v>
      </c>
      <c r="AM131">
        <f t="shared" si="14"/>
        <v>4</v>
      </c>
      <c r="AN131" t="e">
        <f t="shared" si="11"/>
        <v>#N/A</v>
      </c>
    </row>
    <row r="132" spans="1:40" x14ac:dyDescent="0.25">
      <c r="A132">
        <v>131</v>
      </c>
      <c r="B132">
        <f ca="1">SMALL(dados!A$23:A$422,A132)</f>
        <v>0.35784941326795994</v>
      </c>
      <c r="C132">
        <f ca="1">VLOOKUP(B132,dados!A$23:E$422,4,0)</f>
        <v>1</v>
      </c>
      <c r="D132">
        <f ca="1">VLOOKUP(B132,dados!A$23:E$422,5,0)</f>
        <v>11</v>
      </c>
      <c r="E132">
        <f ca="1">COUNTIF(C$2:C132,1)</f>
        <v>97</v>
      </c>
      <c r="F132">
        <f ca="1">COUNTIF(C$2:C132,2)</f>
        <v>20</v>
      </c>
      <c r="G132">
        <f ca="1">COUNTIF(C$2:C132,3)</f>
        <v>14</v>
      </c>
      <c r="L132">
        <v>129</v>
      </c>
      <c r="M132">
        <v>14.202500000000001</v>
      </c>
      <c r="N132">
        <v>14.376250000000001</v>
      </c>
      <c r="O132">
        <v>14.25726388888889</v>
      </c>
      <c r="P132">
        <v>14.488499999999998</v>
      </c>
      <c r="AG132">
        <v>1</v>
      </c>
      <c r="AH132" t="e">
        <f t="shared" ref="AH132:AH195" si="15">IF(OR(M132&lt;S$3,M132&gt;S$7),M132,#N/A)</f>
        <v>#N/A</v>
      </c>
      <c r="AI132">
        <f t="shared" si="12"/>
        <v>2</v>
      </c>
      <c r="AJ132" t="e">
        <f t="shared" ref="AJ132:AJ195" si="16">IF(OR(N132&lt;T$3,N132&gt;T$7),N132,#N/A)</f>
        <v>#N/A</v>
      </c>
      <c r="AK132">
        <f t="shared" si="13"/>
        <v>3</v>
      </c>
      <c r="AL132" t="e">
        <f t="shared" ref="AL132:AL195" si="17">IF(OR(O132&lt;U$3,O132&gt;U$7),O132,#N/A)</f>
        <v>#N/A</v>
      </c>
      <c r="AM132">
        <f t="shared" si="14"/>
        <v>4</v>
      </c>
      <c r="AN132" t="e">
        <f t="shared" ref="AN132:AN195" si="18">IF(OR(P132&lt;V$3,P132&gt;V$7),P132,#N/A)</f>
        <v>#N/A</v>
      </c>
    </row>
    <row r="133" spans="1:40" x14ac:dyDescent="0.25">
      <c r="A133">
        <v>132</v>
      </c>
      <c r="B133">
        <f ca="1">SMALL(dados!A$23:A$422,A133)</f>
        <v>0.36173149201754273</v>
      </c>
      <c r="C133">
        <f ca="1">VLOOKUP(B133,dados!A$23:E$422,4,0)</f>
        <v>2</v>
      </c>
      <c r="D133">
        <f ca="1">VLOOKUP(B133,dados!A$23:E$422,5,0)</f>
        <v>19</v>
      </c>
      <c r="E133">
        <f ca="1">COUNTIF(C$2:C133,1)</f>
        <v>97</v>
      </c>
      <c r="F133">
        <f ca="1">COUNTIF(C$2:C133,2)</f>
        <v>21</v>
      </c>
      <c r="G133">
        <f ca="1">COUNTIF(C$2:C133,3)</f>
        <v>14</v>
      </c>
      <c r="L133">
        <v>130</v>
      </c>
      <c r="M133">
        <v>13.45125</v>
      </c>
      <c r="N133">
        <v>13.09625</v>
      </c>
      <c r="O133">
        <v>14.008958333333334</v>
      </c>
      <c r="P133">
        <v>14.711131944444444</v>
      </c>
      <c r="AG133">
        <v>1</v>
      </c>
      <c r="AH133" t="e">
        <f t="shared" si="15"/>
        <v>#N/A</v>
      </c>
      <c r="AI133">
        <f t="shared" ref="AI133:AI196" si="19">AG133+1</f>
        <v>2</v>
      </c>
      <c r="AJ133" t="e">
        <f t="shared" si="16"/>
        <v>#N/A</v>
      </c>
      <c r="AK133">
        <f t="shared" ref="AK133:AK196" si="20">AI133+1</f>
        <v>3</v>
      </c>
      <c r="AL133" t="e">
        <f t="shared" si="17"/>
        <v>#N/A</v>
      </c>
      <c r="AM133">
        <f t="shared" ref="AM133:AM196" si="21">AK133+1</f>
        <v>4</v>
      </c>
      <c r="AN133" t="e">
        <f t="shared" si="18"/>
        <v>#N/A</v>
      </c>
    </row>
    <row r="134" spans="1:40" x14ac:dyDescent="0.25">
      <c r="A134">
        <v>133</v>
      </c>
      <c r="B134">
        <f ca="1">SMALL(dados!A$23:A$422,A134)</f>
        <v>0.36429447669264059</v>
      </c>
      <c r="C134">
        <f ca="1">VLOOKUP(B134,dados!A$23:E$422,4,0)</f>
        <v>1</v>
      </c>
      <c r="D134">
        <f ca="1">VLOOKUP(B134,dados!A$23:E$422,5,0)</f>
        <v>12</v>
      </c>
      <c r="E134">
        <f ca="1">COUNTIF(C$2:C134,1)</f>
        <v>98</v>
      </c>
      <c r="F134">
        <f ca="1">COUNTIF(C$2:C134,2)</f>
        <v>21</v>
      </c>
      <c r="G134">
        <f ca="1">COUNTIF(C$2:C134,3)</f>
        <v>14</v>
      </c>
      <c r="L134">
        <v>131</v>
      </c>
      <c r="M134">
        <v>14.3225</v>
      </c>
      <c r="N134">
        <v>13.584375</v>
      </c>
      <c r="O134">
        <v>14.739916666666668</v>
      </c>
      <c r="P134">
        <v>14.373319444444444</v>
      </c>
      <c r="AG134">
        <v>1</v>
      </c>
      <c r="AH134" t="e">
        <f t="shared" si="15"/>
        <v>#N/A</v>
      </c>
      <c r="AI134">
        <f t="shared" si="19"/>
        <v>2</v>
      </c>
      <c r="AJ134" t="e">
        <f t="shared" si="16"/>
        <v>#N/A</v>
      </c>
      <c r="AK134">
        <f t="shared" si="20"/>
        <v>3</v>
      </c>
      <c r="AL134" t="e">
        <f t="shared" si="17"/>
        <v>#N/A</v>
      </c>
      <c r="AM134">
        <f t="shared" si="21"/>
        <v>4</v>
      </c>
      <c r="AN134" t="e">
        <f t="shared" si="18"/>
        <v>#N/A</v>
      </c>
    </row>
    <row r="135" spans="1:40" x14ac:dyDescent="0.25">
      <c r="A135">
        <v>134</v>
      </c>
      <c r="B135">
        <f ca="1">SMALL(dados!A$23:A$422,A135)</f>
        <v>0.36563414427563978</v>
      </c>
      <c r="C135">
        <f ca="1">VLOOKUP(B135,dados!A$23:E$422,4,0)</f>
        <v>1</v>
      </c>
      <c r="D135">
        <f ca="1">VLOOKUP(B135,dados!A$23:E$422,5,0)</f>
        <v>13</v>
      </c>
      <c r="E135">
        <f ca="1">COUNTIF(C$2:C135,1)</f>
        <v>99</v>
      </c>
      <c r="F135">
        <f ca="1">COUNTIF(C$2:C135,2)</f>
        <v>21</v>
      </c>
      <c r="G135">
        <f ca="1">COUNTIF(C$2:C135,3)</f>
        <v>14</v>
      </c>
      <c r="L135">
        <v>132</v>
      </c>
      <c r="M135">
        <v>15.815</v>
      </c>
      <c r="N135">
        <v>15.721875000000001</v>
      </c>
      <c r="O135">
        <v>14.973402777777778</v>
      </c>
      <c r="P135">
        <v>14.392104166666666</v>
      </c>
      <c r="AG135">
        <v>1</v>
      </c>
      <c r="AH135" t="e">
        <f t="shared" si="15"/>
        <v>#N/A</v>
      </c>
      <c r="AI135">
        <f t="shared" si="19"/>
        <v>2</v>
      </c>
      <c r="AJ135" t="e">
        <f t="shared" si="16"/>
        <v>#N/A</v>
      </c>
      <c r="AK135">
        <f t="shared" si="20"/>
        <v>3</v>
      </c>
      <c r="AL135" t="e">
        <f t="shared" si="17"/>
        <v>#N/A</v>
      </c>
      <c r="AM135">
        <f t="shared" si="21"/>
        <v>4</v>
      </c>
      <c r="AN135" t="e">
        <f t="shared" si="18"/>
        <v>#N/A</v>
      </c>
    </row>
    <row r="136" spans="1:40" x14ac:dyDescent="0.25">
      <c r="A136">
        <v>135</v>
      </c>
      <c r="B136">
        <f ca="1">SMALL(dados!A$23:A$422,A136)</f>
        <v>0.36595674387103416</v>
      </c>
      <c r="C136">
        <f ca="1">VLOOKUP(B136,dados!A$23:E$422,4,0)</f>
        <v>2</v>
      </c>
      <c r="D136">
        <f ca="1">VLOOKUP(B136,dados!A$23:E$422,5,0)</f>
        <v>17</v>
      </c>
      <c r="E136">
        <f ca="1">COUNTIF(C$2:C136,1)</f>
        <v>99</v>
      </c>
      <c r="F136">
        <f ca="1">COUNTIF(C$2:C136,2)</f>
        <v>22</v>
      </c>
      <c r="G136">
        <f ca="1">COUNTIF(C$2:C136,3)</f>
        <v>14</v>
      </c>
      <c r="L136">
        <v>133</v>
      </c>
      <c r="M136">
        <v>15.088749999999999</v>
      </c>
      <c r="N136">
        <v>14.675000000000001</v>
      </c>
      <c r="O136">
        <v>14.005805555555558</v>
      </c>
      <c r="P136">
        <v>14.094423611111113</v>
      </c>
      <c r="AG136">
        <v>1</v>
      </c>
      <c r="AH136" t="e">
        <f t="shared" si="15"/>
        <v>#N/A</v>
      </c>
      <c r="AI136">
        <f t="shared" si="19"/>
        <v>2</v>
      </c>
      <c r="AJ136" t="e">
        <f t="shared" si="16"/>
        <v>#N/A</v>
      </c>
      <c r="AK136">
        <f t="shared" si="20"/>
        <v>3</v>
      </c>
      <c r="AL136" t="e">
        <f t="shared" si="17"/>
        <v>#N/A</v>
      </c>
      <c r="AM136">
        <f t="shared" si="21"/>
        <v>4</v>
      </c>
      <c r="AN136" t="e">
        <f t="shared" si="18"/>
        <v>#N/A</v>
      </c>
    </row>
    <row r="137" spans="1:40" x14ac:dyDescent="0.25">
      <c r="A137">
        <v>136</v>
      </c>
      <c r="B137">
        <f ca="1">SMALL(dados!A$23:A$422,A137)</f>
        <v>0.36703981209352488</v>
      </c>
      <c r="C137">
        <f ca="1">VLOOKUP(B137,dados!A$23:E$422,4,0)</f>
        <v>1</v>
      </c>
      <c r="D137">
        <f ca="1">VLOOKUP(B137,dados!A$23:E$422,5,0)</f>
        <v>16</v>
      </c>
      <c r="E137">
        <f ca="1">COUNTIF(C$2:C137,1)</f>
        <v>100</v>
      </c>
      <c r="F137">
        <f ca="1">COUNTIF(C$2:C137,2)</f>
        <v>22</v>
      </c>
      <c r="G137">
        <f ca="1">COUNTIF(C$2:C137,3)</f>
        <v>14</v>
      </c>
      <c r="L137">
        <v>134</v>
      </c>
      <c r="M137">
        <v>12.626250000000001</v>
      </c>
      <c r="N137">
        <v>12.680624999999999</v>
      </c>
      <c r="O137">
        <v>13.240847222222222</v>
      </c>
      <c r="P137">
        <v>13.380777777777778</v>
      </c>
      <c r="AG137">
        <v>1</v>
      </c>
      <c r="AH137" t="e">
        <f t="shared" si="15"/>
        <v>#N/A</v>
      </c>
      <c r="AI137">
        <f t="shared" si="19"/>
        <v>2</v>
      </c>
      <c r="AJ137" t="e">
        <f t="shared" si="16"/>
        <v>#N/A</v>
      </c>
      <c r="AK137">
        <f t="shared" si="20"/>
        <v>3</v>
      </c>
      <c r="AL137" t="e">
        <f t="shared" si="17"/>
        <v>#N/A</v>
      </c>
      <c r="AM137">
        <f t="shared" si="21"/>
        <v>4</v>
      </c>
      <c r="AN137" t="e">
        <f t="shared" si="18"/>
        <v>#N/A</v>
      </c>
    </row>
    <row r="138" spans="1:40" x14ac:dyDescent="0.25">
      <c r="A138">
        <v>137</v>
      </c>
      <c r="B138">
        <f ca="1">SMALL(dados!A$23:A$422,A138)</f>
        <v>0.36726200473697357</v>
      </c>
      <c r="C138">
        <f ca="1">VLOOKUP(B138,dados!A$23:E$422,4,0)</f>
        <v>1</v>
      </c>
      <c r="D138">
        <f ca="1">VLOOKUP(B138,dados!A$23:E$422,5,0)</f>
        <v>9</v>
      </c>
      <c r="E138">
        <f ca="1">COUNTIF(C$2:C138,1)</f>
        <v>101</v>
      </c>
      <c r="F138">
        <f ca="1">COUNTIF(C$2:C138,2)</f>
        <v>22</v>
      </c>
      <c r="G138">
        <f ca="1">COUNTIF(C$2:C138,3)</f>
        <v>14</v>
      </c>
      <c r="L138">
        <v>135</v>
      </c>
      <c r="M138">
        <v>13.911250000000001</v>
      </c>
      <c r="N138">
        <v>13.641249999999999</v>
      </c>
      <c r="O138">
        <v>13.460347222222222</v>
      </c>
      <c r="P138">
        <v>13.501604166666667</v>
      </c>
      <c r="AG138">
        <v>1</v>
      </c>
      <c r="AH138" t="e">
        <f t="shared" si="15"/>
        <v>#N/A</v>
      </c>
      <c r="AI138">
        <f t="shared" si="19"/>
        <v>2</v>
      </c>
      <c r="AJ138" t="e">
        <f t="shared" si="16"/>
        <v>#N/A</v>
      </c>
      <c r="AK138">
        <f t="shared" si="20"/>
        <v>3</v>
      </c>
      <c r="AL138" t="e">
        <f t="shared" si="17"/>
        <v>#N/A</v>
      </c>
      <c r="AM138">
        <f t="shared" si="21"/>
        <v>4</v>
      </c>
      <c r="AN138" t="e">
        <f t="shared" si="18"/>
        <v>#N/A</v>
      </c>
    </row>
    <row r="139" spans="1:40" x14ac:dyDescent="0.25">
      <c r="A139">
        <v>138</v>
      </c>
      <c r="B139">
        <f ca="1">SMALL(dados!A$23:A$422,A139)</f>
        <v>0.37172198035162574</v>
      </c>
      <c r="C139">
        <f ca="1">VLOOKUP(B139,dados!A$23:E$422,4,0)</f>
        <v>1</v>
      </c>
      <c r="D139">
        <f ca="1">VLOOKUP(B139,dados!A$23:E$422,5,0)</f>
        <v>13</v>
      </c>
      <c r="E139">
        <f ca="1">COUNTIF(C$2:C139,1)</f>
        <v>102</v>
      </c>
      <c r="F139">
        <f ca="1">COUNTIF(C$2:C139,2)</f>
        <v>22</v>
      </c>
      <c r="G139">
        <f ca="1">COUNTIF(C$2:C139,3)</f>
        <v>14</v>
      </c>
      <c r="L139">
        <v>136</v>
      </c>
      <c r="M139">
        <v>14.4025</v>
      </c>
      <c r="N139">
        <v>13.91375</v>
      </c>
      <c r="O139">
        <v>13.85275</v>
      </c>
      <c r="P139">
        <v>14.092888888888888</v>
      </c>
      <c r="AG139">
        <v>1</v>
      </c>
      <c r="AH139" t="e">
        <f t="shared" si="15"/>
        <v>#N/A</v>
      </c>
      <c r="AI139">
        <f t="shared" si="19"/>
        <v>2</v>
      </c>
      <c r="AJ139" t="e">
        <f t="shared" si="16"/>
        <v>#N/A</v>
      </c>
      <c r="AK139">
        <f t="shared" si="20"/>
        <v>3</v>
      </c>
      <c r="AL139" t="e">
        <f t="shared" si="17"/>
        <v>#N/A</v>
      </c>
      <c r="AM139">
        <f t="shared" si="21"/>
        <v>4</v>
      </c>
      <c r="AN139" t="e">
        <f t="shared" si="18"/>
        <v>#N/A</v>
      </c>
    </row>
    <row r="140" spans="1:40" x14ac:dyDescent="0.25">
      <c r="A140">
        <v>139</v>
      </c>
      <c r="B140">
        <f ca="1">SMALL(dados!A$23:A$422,A140)</f>
        <v>0.38050407497966732</v>
      </c>
      <c r="C140">
        <f ca="1">VLOOKUP(B140,dados!A$23:E$422,4,0)</f>
        <v>1</v>
      </c>
      <c r="D140">
        <f ca="1">VLOOKUP(B140,dados!A$23:E$422,5,0)</f>
        <v>9</v>
      </c>
      <c r="E140">
        <f ca="1">COUNTIF(C$2:C140,1)</f>
        <v>103</v>
      </c>
      <c r="F140">
        <f ca="1">COUNTIF(C$2:C140,2)</f>
        <v>22</v>
      </c>
      <c r="G140">
        <f ca="1">COUNTIF(C$2:C140,3)</f>
        <v>14</v>
      </c>
      <c r="L140">
        <v>137</v>
      </c>
      <c r="M140">
        <v>13.4375</v>
      </c>
      <c r="N140">
        <v>14.178750000000001</v>
      </c>
      <c r="O140">
        <v>14.67688888888889</v>
      </c>
      <c r="P140">
        <v>14.39211111111111</v>
      </c>
      <c r="AG140">
        <v>1</v>
      </c>
      <c r="AH140" t="e">
        <f t="shared" si="15"/>
        <v>#N/A</v>
      </c>
      <c r="AI140">
        <f t="shared" si="19"/>
        <v>2</v>
      </c>
      <c r="AJ140" t="e">
        <f t="shared" si="16"/>
        <v>#N/A</v>
      </c>
      <c r="AK140">
        <f t="shared" si="20"/>
        <v>3</v>
      </c>
      <c r="AL140" t="e">
        <f t="shared" si="17"/>
        <v>#N/A</v>
      </c>
      <c r="AM140">
        <f t="shared" si="21"/>
        <v>4</v>
      </c>
      <c r="AN140" t="e">
        <f t="shared" si="18"/>
        <v>#N/A</v>
      </c>
    </row>
    <row r="141" spans="1:40" x14ac:dyDescent="0.25">
      <c r="A141">
        <v>140</v>
      </c>
      <c r="B141">
        <f ca="1">SMALL(dados!A$23:A$422,A141)</f>
        <v>0.38221917437167885</v>
      </c>
      <c r="C141">
        <f ca="1">VLOOKUP(B141,dados!A$23:E$422,4,0)</f>
        <v>1</v>
      </c>
      <c r="D141">
        <f ca="1">VLOOKUP(B141,dados!A$23:E$422,5,0)</f>
        <v>7</v>
      </c>
      <c r="E141">
        <f ca="1">COUNTIF(C$2:C141,1)</f>
        <v>104</v>
      </c>
      <c r="F141">
        <f ca="1">COUNTIF(C$2:C141,2)</f>
        <v>22</v>
      </c>
      <c r="G141">
        <f ca="1">COUNTIF(C$2:C141,3)</f>
        <v>14</v>
      </c>
      <c r="L141">
        <v>138</v>
      </c>
      <c r="M141">
        <v>12.483750000000001</v>
      </c>
      <c r="N141">
        <v>13.13625</v>
      </c>
      <c r="O141">
        <v>13.819833333333335</v>
      </c>
      <c r="P141">
        <v>14.15865277777778</v>
      </c>
      <c r="AG141">
        <v>1</v>
      </c>
      <c r="AH141" t="e">
        <f t="shared" si="15"/>
        <v>#N/A</v>
      </c>
      <c r="AI141">
        <f t="shared" si="19"/>
        <v>2</v>
      </c>
      <c r="AJ141" t="e">
        <f t="shared" si="16"/>
        <v>#N/A</v>
      </c>
      <c r="AK141">
        <f t="shared" si="20"/>
        <v>3</v>
      </c>
      <c r="AL141" t="e">
        <f t="shared" si="17"/>
        <v>#N/A</v>
      </c>
      <c r="AM141">
        <f t="shared" si="21"/>
        <v>4</v>
      </c>
      <c r="AN141" t="e">
        <f t="shared" si="18"/>
        <v>#N/A</v>
      </c>
    </row>
    <row r="142" spans="1:40" x14ac:dyDescent="0.25">
      <c r="A142">
        <v>141</v>
      </c>
      <c r="B142">
        <f ca="1">SMALL(dados!A$23:A$422,A142)</f>
        <v>0.3827263007616426</v>
      </c>
      <c r="C142">
        <f ca="1">VLOOKUP(B142,dados!A$23:E$422,4,0)</f>
        <v>1</v>
      </c>
      <c r="D142">
        <f ca="1">VLOOKUP(B142,dados!A$23:E$422,5,0)</f>
        <v>11</v>
      </c>
      <c r="E142">
        <f ca="1">COUNTIF(C$2:C142,1)</f>
        <v>105</v>
      </c>
      <c r="F142">
        <f ca="1">COUNTIF(C$2:C142,2)</f>
        <v>22</v>
      </c>
      <c r="G142">
        <f ca="1">COUNTIF(C$2:C142,3)</f>
        <v>14</v>
      </c>
      <c r="L142">
        <v>139</v>
      </c>
      <c r="M142">
        <v>15.6075</v>
      </c>
      <c r="N142">
        <v>15.361875</v>
      </c>
      <c r="O142">
        <v>13.762847222222222</v>
      </c>
      <c r="P142">
        <v>13.784034722222223</v>
      </c>
      <c r="AG142">
        <v>1</v>
      </c>
      <c r="AH142" t="e">
        <f t="shared" si="15"/>
        <v>#N/A</v>
      </c>
      <c r="AI142">
        <f t="shared" si="19"/>
        <v>2</v>
      </c>
      <c r="AJ142" t="e">
        <f t="shared" si="16"/>
        <v>#N/A</v>
      </c>
      <c r="AK142">
        <f t="shared" si="20"/>
        <v>3</v>
      </c>
      <c r="AL142" t="e">
        <f t="shared" si="17"/>
        <v>#N/A</v>
      </c>
      <c r="AM142">
        <f t="shared" si="21"/>
        <v>4</v>
      </c>
      <c r="AN142" t="e">
        <f t="shared" si="18"/>
        <v>#N/A</v>
      </c>
    </row>
    <row r="143" spans="1:40" x14ac:dyDescent="0.25">
      <c r="A143">
        <v>142</v>
      </c>
      <c r="B143">
        <f ca="1">SMALL(dados!A$23:A$422,A143)</f>
        <v>0.38591763207101382</v>
      </c>
      <c r="C143">
        <f ca="1">VLOOKUP(B143,dados!A$23:E$422,4,0)</f>
        <v>1</v>
      </c>
      <c r="D143">
        <f ca="1">VLOOKUP(B143,dados!A$23:E$422,5,0)</f>
        <v>9</v>
      </c>
      <c r="E143">
        <f ca="1">COUNTIF(C$2:C143,1)</f>
        <v>106</v>
      </c>
      <c r="F143">
        <f ca="1">COUNTIF(C$2:C143,2)</f>
        <v>22</v>
      </c>
      <c r="G143">
        <f ca="1">COUNTIF(C$2:C143,3)</f>
        <v>14</v>
      </c>
      <c r="L143">
        <v>140</v>
      </c>
      <c r="M143">
        <v>15.8475</v>
      </c>
      <c r="N143">
        <v>14.244999999999999</v>
      </c>
      <c r="O143">
        <v>13.90197222222222</v>
      </c>
      <c r="P143">
        <v>13.5309375</v>
      </c>
      <c r="AG143">
        <v>1</v>
      </c>
      <c r="AH143" t="e">
        <f t="shared" si="15"/>
        <v>#N/A</v>
      </c>
      <c r="AI143">
        <f t="shared" si="19"/>
        <v>2</v>
      </c>
      <c r="AJ143" t="e">
        <f t="shared" si="16"/>
        <v>#N/A</v>
      </c>
      <c r="AK143">
        <f t="shared" si="20"/>
        <v>3</v>
      </c>
      <c r="AL143" t="e">
        <f t="shared" si="17"/>
        <v>#N/A</v>
      </c>
      <c r="AM143">
        <f t="shared" si="21"/>
        <v>4</v>
      </c>
      <c r="AN143" t="e">
        <f t="shared" si="18"/>
        <v>#N/A</v>
      </c>
    </row>
    <row r="144" spans="1:40" x14ac:dyDescent="0.25">
      <c r="A144">
        <v>143</v>
      </c>
      <c r="B144">
        <f ca="1">SMALL(dados!A$23:A$422,A144)</f>
        <v>0.38683489092239132</v>
      </c>
      <c r="C144">
        <f ca="1">VLOOKUP(B144,dados!A$23:E$422,4,0)</f>
        <v>1</v>
      </c>
      <c r="D144">
        <f ca="1">VLOOKUP(B144,dados!A$23:E$422,5,0)</f>
        <v>10</v>
      </c>
      <c r="E144">
        <f ca="1">COUNTIF(C$2:C144,1)</f>
        <v>107</v>
      </c>
      <c r="F144">
        <f ca="1">COUNTIF(C$2:C144,2)</f>
        <v>22</v>
      </c>
      <c r="G144">
        <f ca="1">COUNTIF(C$2:C144,3)</f>
        <v>14</v>
      </c>
      <c r="L144">
        <v>141</v>
      </c>
      <c r="M144">
        <v>12.921250000000001</v>
      </c>
      <c r="N144">
        <v>13.775</v>
      </c>
      <c r="O144">
        <v>13.189305555555556</v>
      </c>
      <c r="P144">
        <v>13.632944444444442</v>
      </c>
      <c r="AG144">
        <v>1</v>
      </c>
      <c r="AH144" t="e">
        <f t="shared" si="15"/>
        <v>#N/A</v>
      </c>
      <c r="AI144">
        <f t="shared" si="19"/>
        <v>2</v>
      </c>
      <c r="AJ144" t="e">
        <f t="shared" si="16"/>
        <v>#N/A</v>
      </c>
      <c r="AK144">
        <f t="shared" si="20"/>
        <v>3</v>
      </c>
      <c r="AL144" t="e">
        <f t="shared" si="17"/>
        <v>#N/A</v>
      </c>
      <c r="AM144">
        <f t="shared" si="21"/>
        <v>4</v>
      </c>
      <c r="AN144" t="e">
        <f t="shared" si="18"/>
        <v>#N/A</v>
      </c>
    </row>
    <row r="145" spans="1:40" x14ac:dyDescent="0.25">
      <c r="A145">
        <v>144</v>
      </c>
      <c r="B145">
        <f ca="1">SMALL(dados!A$23:A$422,A145)</f>
        <v>0.39074866532069452</v>
      </c>
      <c r="C145">
        <f ca="1">VLOOKUP(B145,dados!A$23:E$422,4,0)</f>
        <v>2</v>
      </c>
      <c r="D145">
        <f ca="1">VLOOKUP(B145,dados!A$23:E$422,5,0)</f>
        <v>13</v>
      </c>
      <c r="E145">
        <f ca="1">COUNTIF(C$2:C145,1)</f>
        <v>107</v>
      </c>
      <c r="F145">
        <f ca="1">COUNTIF(C$2:C145,2)</f>
        <v>23</v>
      </c>
      <c r="G145">
        <f ca="1">COUNTIF(C$2:C145,3)</f>
        <v>14</v>
      </c>
      <c r="L145">
        <v>142</v>
      </c>
      <c r="M145">
        <v>14.62</v>
      </c>
      <c r="N145">
        <v>14.35375</v>
      </c>
      <c r="O145">
        <v>14.138444444444447</v>
      </c>
      <c r="P145">
        <v>13.8646875</v>
      </c>
      <c r="AG145">
        <v>1</v>
      </c>
      <c r="AH145" t="e">
        <f t="shared" si="15"/>
        <v>#N/A</v>
      </c>
      <c r="AI145">
        <f t="shared" si="19"/>
        <v>2</v>
      </c>
      <c r="AJ145" t="e">
        <f t="shared" si="16"/>
        <v>#N/A</v>
      </c>
      <c r="AK145">
        <f t="shared" si="20"/>
        <v>3</v>
      </c>
      <c r="AL145" t="e">
        <f t="shared" si="17"/>
        <v>#N/A</v>
      </c>
      <c r="AM145">
        <f t="shared" si="21"/>
        <v>4</v>
      </c>
      <c r="AN145" t="e">
        <f t="shared" si="18"/>
        <v>#N/A</v>
      </c>
    </row>
    <row r="146" spans="1:40" x14ac:dyDescent="0.25">
      <c r="A146">
        <v>145</v>
      </c>
      <c r="B146">
        <f ca="1">SMALL(dados!A$23:A$422,A146)</f>
        <v>0.39234574809373801</v>
      </c>
      <c r="C146">
        <f ca="1">VLOOKUP(B146,dados!A$23:E$422,4,0)</f>
        <v>2</v>
      </c>
      <c r="D146">
        <f ca="1">VLOOKUP(B146,dados!A$23:E$422,5,0)</f>
        <v>14</v>
      </c>
      <c r="E146">
        <f ca="1">COUNTIF(C$2:C146,1)</f>
        <v>107</v>
      </c>
      <c r="F146">
        <f ca="1">COUNTIF(C$2:C146,2)</f>
        <v>24</v>
      </c>
      <c r="G146">
        <f ca="1">COUNTIF(C$2:C146,3)</f>
        <v>14</v>
      </c>
      <c r="L146">
        <v>143</v>
      </c>
      <c r="M146">
        <v>14.22125</v>
      </c>
      <c r="N146">
        <v>14.405625000000001</v>
      </c>
      <c r="O146">
        <v>13.103708333333332</v>
      </c>
      <c r="P146">
        <v>13.700118055555556</v>
      </c>
      <c r="AG146">
        <v>1</v>
      </c>
      <c r="AH146" t="e">
        <f t="shared" si="15"/>
        <v>#N/A</v>
      </c>
      <c r="AI146">
        <f t="shared" si="19"/>
        <v>2</v>
      </c>
      <c r="AJ146" t="e">
        <f t="shared" si="16"/>
        <v>#N/A</v>
      </c>
      <c r="AK146">
        <f t="shared" si="20"/>
        <v>3</v>
      </c>
      <c r="AL146" t="e">
        <f t="shared" si="17"/>
        <v>#N/A</v>
      </c>
      <c r="AM146">
        <f t="shared" si="21"/>
        <v>4</v>
      </c>
      <c r="AN146" t="e">
        <f t="shared" si="18"/>
        <v>#N/A</v>
      </c>
    </row>
    <row r="147" spans="1:40" x14ac:dyDescent="0.25">
      <c r="A147">
        <v>146</v>
      </c>
      <c r="B147">
        <f ca="1">SMALL(dados!A$23:A$422,A147)</f>
        <v>0.39270545020651837</v>
      </c>
      <c r="C147">
        <f ca="1">VLOOKUP(B147,dados!A$23:E$422,4,0)</f>
        <v>1</v>
      </c>
      <c r="D147">
        <f ca="1">VLOOKUP(B147,dados!A$23:E$422,5,0)</f>
        <v>10</v>
      </c>
      <c r="E147">
        <f ca="1">COUNTIF(C$2:C147,1)</f>
        <v>108</v>
      </c>
      <c r="F147">
        <f ca="1">COUNTIF(C$2:C147,2)</f>
        <v>24</v>
      </c>
      <c r="G147">
        <f ca="1">COUNTIF(C$2:C147,3)</f>
        <v>14</v>
      </c>
      <c r="L147">
        <v>144</v>
      </c>
      <c r="M147">
        <v>14.40625</v>
      </c>
      <c r="N147">
        <v>13.624375000000001</v>
      </c>
      <c r="O147">
        <v>14.217194444444445</v>
      </c>
      <c r="P147">
        <v>14.02213888888889</v>
      </c>
      <c r="AG147">
        <v>1</v>
      </c>
      <c r="AH147" t="e">
        <f t="shared" si="15"/>
        <v>#N/A</v>
      </c>
      <c r="AI147">
        <f t="shared" si="19"/>
        <v>2</v>
      </c>
      <c r="AJ147" t="e">
        <f t="shared" si="16"/>
        <v>#N/A</v>
      </c>
      <c r="AK147">
        <f t="shared" si="20"/>
        <v>3</v>
      </c>
      <c r="AL147" t="e">
        <f t="shared" si="17"/>
        <v>#N/A</v>
      </c>
      <c r="AM147">
        <f t="shared" si="21"/>
        <v>4</v>
      </c>
      <c r="AN147" t="e">
        <f t="shared" si="18"/>
        <v>#N/A</v>
      </c>
    </row>
    <row r="148" spans="1:40" x14ac:dyDescent="0.25">
      <c r="A148">
        <v>147</v>
      </c>
      <c r="B148">
        <f ca="1">SMALL(dados!A$23:A$422,A148)</f>
        <v>0.39310323712167217</v>
      </c>
      <c r="C148">
        <f ca="1">VLOOKUP(B148,dados!A$23:E$422,4,0)</f>
        <v>1</v>
      </c>
      <c r="D148">
        <f ca="1">VLOOKUP(B148,dados!A$23:E$422,5,0)</f>
        <v>13</v>
      </c>
      <c r="E148">
        <f ca="1">COUNTIF(C$2:C148,1)</f>
        <v>109</v>
      </c>
      <c r="F148">
        <f ca="1">COUNTIF(C$2:C148,2)</f>
        <v>24</v>
      </c>
      <c r="G148">
        <f ca="1">COUNTIF(C$2:C148,3)</f>
        <v>14</v>
      </c>
      <c r="L148">
        <v>145</v>
      </c>
      <c r="M148">
        <v>12.45125</v>
      </c>
      <c r="N148">
        <v>13.08625</v>
      </c>
      <c r="O148">
        <v>14.551916666666665</v>
      </c>
      <c r="P148">
        <v>14.382736111111107</v>
      </c>
      <c r="AG148">
        <v>1</v>
      </c>
      <c r="AH148" t="e">
        <f t="shared" si="15"/>
        <v>#N/A</v>
      </c>
      <c r="AI148">
        <f t="shared" si="19"/>
        <v>2</v>
      </c>
      <c r="AJ148" t="e">
        <f t="shared" si="16"/>
        <v>#N/A</v>
      </c>
      <c r="AK148">
        <f t="shared" si="20"/>
        <v>3</v>
      </c>
      <c r="AL148" t="e">
        <f t="shared" si="17"/>
        <v>#N/A</v>
      </c>
      <c r="AM148">
        <f t="shared" si="21"/>
        <v>4</v>
      </c>
      <c r="AN148" t="e">
        <f t="shared" si="18"/>
        <v>#N/A</v>
      </c>
    </row>
    <row r="149" spans="1:40" x14ac:dyDescent="0.25">
      <c r="A149">
        <v>148</v>
      </c>
      <c r="B149">
        <f ca="1">SMALL(dados!A$23:A$422,A149)</f>
        <v>0.39585658182289851</v>
      </c>
      <c r="C149">
        <f ca="1">VLOOKUP(B149,dados!A$23:E$422,4,0)</f>
        <v>1</v>
      </c>
      <c r="D149">
        <f ca="1">VLOOKUP(B149,dados!A$23:E$422,5,0)</f>
        <v>11</v>
      </c>
      <c r="E149">
        <f ca="1">COUNTIF(C$2:C149,1)</f>
        <v>110</v>
      </c>
      <c r="F149">
        <f ca="1">COUNTIF(C$2:C149,2)</f>
        <v>24</v>
      </c>
      <c r="G149">
        <f ca="1">COUNTIF(C$2:C149,3)</f>
        <v>14</v>
      </c>
      <c r="L149">
        <v>146</v>
      </c>
      <c r="M149">
        <v>14.526249999999999</v>
      </c>
      <c r="N149">
        <v>13.1225</v>
      </c>
      <c r="O149">
        <v>13.771333333333333</v>
      </c>
      <c r="P149">
        <v>14.090381944444443</v>
      </c>
      <c r="AG149">
        <v>1</v>
      </c>
      <c r="AH149" t="e">
        <f t="shared" si="15"/>
        <v>#N/A</v>
      </c>
      <c r="AI149">
        <f t="shared" si="19"/>
        <v>2</v>
      </c>
      <c r="AJ149" t="e">
        <f t="shared" si="16"/>
        <v>#N/A</v>
      </c>
      <c r="AK149">
        <f t="shared" si="20"/>
        <v>3</v>
      </c>
      <c r="AL149" t="e">
        <f t="shared" si="17"/>
        <v>#N/A</v>
      </c>
      <c r="AM149">
        <f t="shared" si="21"/>
        <v>4</v>
      </c>
      <c r="AN149" t="e">
        <f t="shared" si="18"/>
        <v>#N/A</v>
      </c>
    </row>
    <row r="150" spans="1:40" x14ac:dyDescent="0.25">
      <c r="A150">
        <v>149</v>
      </c>
      <c r="B150">
        <f ca="1">SMALL(dados!A$23:A$422,A150)</f>
        <v>0.39665004847339658</v>
      </c>
      <c r="C150">
        <f ca="1">VLOOKUP(B150,dados!A$23:E$422,4,0)</f>
        <v>3</v>
      </c>
      <c r="D150">
        <f ca="1">VLOOKUP(B150,dados!A$23:E$422,5,0)</f>
        <v>21</v>
      </c>
      <c r="E150">
        <f ca="1">COUNTIF(C$2:C150,1)</f>
        <v>110</v>
      </c>
      <c r="F150">
        <f ca="1">COUNTIF(C$2:C150,2)</f>
        <v>24</v>
      </c>
      <c r="G150">
        <f ca="1">COUNTIF(C$2:C150,3)</f>
        <v>15</v>
      </c>
      <c r="L150">
        <v>147</v>
      </c>
      <c r="M150">
        <v>13.223750000000001</v>
      </c>
      <c r="N150">
        <v>13.964375</v>
      </c>
      <c r="O150">
        <v>13.484222222222222</v>
      </c>
      <c r="P150">
        <v>14.474423611111108</v>
      </c>
      <c r="AG150">
        <v>1</v>
      </c>
      <c r="AH150" t="e">
        <f t="shared" si="15"/>
        <v>#N/A</v>
      </c>
      <c r="AI150">
        <f t="shared" si="19"/>
        <v>2</v>
      </c>
      <c r="AJ150" t="e">
        <f t="shared" si="16"/>
        <v>#N/A</v>
      </c>
      <c r="AK150">
        <f t="shared" si="20"/>
        <v>3</v>
      </c>
      <c r="AL150" t="e">
        <f t="shared" si="17"/>
        <v>#N/A</v>
      </c>
      <c r="AM150">
        <f t="shared" si="21"/>
        <v>4</v>
      </c>
      <c r="AN150" t="e">
        <f t="shared" si="18"/>
        <v>#N/A</v>
      </c>
    </row>
    <row r="151" spans="1:40" x14ac:dyDescent="0.25">
      <c r="A151">
        <v>150</v>
      </c>
      <c r="B151">
        <f ca="1">SMALL(dados!A$23:A$422,A151)</f>
        <v>0.39676205341472004</v>
      </c>
      <c r="C151">
        <f ca="1">VLOOKUP(B151,dados!A$23:E$422,4,0)</f>
        <v>1</v>
      </c>
      <c r="D151">
        <f ca="1">VLOOKUP(B151,dados!A$23:E$422,5,0)</f>
        <v>8</v>
      </c>
      <c r="E151">
        <f ca="1">COUNTIF(C$2:C151,1)</f>
        <v>111</v>
      </c>
      <c r="F151">
        <f ca="1">COUNTIF(C$2:C151,2)</f>
        <v>24</v>
      </c>
      <c r="G151">
        <f ca="1">COUNTIF(C$2:C151,3)</f>
        <v>15</v>
      </c>
      <c r="L151">
        <v>148</v>
      </c>
      <c r="M151">
        <v>15.373749999999999</v>
      </c>
      <c r="N151">
        <v>14.43375</v>
      </c>
      <c r="O151">
        <v>14.058708333333332</v>
      </c>
      <c r="P151">
        <v>14.0498125</v>
      </c>
      <c r="AG151">
        <v>1</v>
      </c>
      <c r="AH151" t="e">
        <f t="shared" si="15"/>
        <v>#N/A</v>
      </c>
      <c r="AI151">
        <f t="shared" si="19"/>
        <v>2</v>
      </c>
      <c r="AJ151" t="e">
        <f t="shared" si="16"/>
        <v>#N/A</v>
      </c>
      <c r="AK151">
        <f t="shared" si="20"/>
        <v>3</v>
      </c>
      <c r="AL151" t="e">
        <f t="shared" si="17"/>
        <v>#N/A</v>
      </c>
      <c r="AM151">
        <f t="shared" si="21"/>
        <v>4</v>
      </c>
      <c r="AN151" t="e">
        <f t="shared" si="18"/>
        <v>#N/A</v>
      </c>
    </row>
    <row r="152" spans="1:40" x14ac:dyDescent="0.25">
      <c r="A152">
        <v>151</v>
      </c>
      <c r="B152">
        <f ca="1">SMALL(dados!A$23:A$422,A152)</f>
        <v>0.39810709085465934</v>
      </c>
      <c r="C152">
        <f ca="1">VLOOKUP(B152,dados!A$23:E$422,4,0)</f>
        <v>2</v>
      </c>
      <c r="D152">
        <f ca="1">VLOOKUP(B152,dados!A$23:E$422,5,0)</f>
        <v>18</v>
      </c>
      <c r="E152">
        <f ca="1">COUNTIF(C$2:C152,1)</f>
        <v>111</v>
      </c>
      <c r="F152">
        <f ca="1">COUNTIF(C$2:C152,2)</f>
        <v>25</v>
      </c>
      <c r="G152">
        <f ca="1">COUNTIF(C$2:C152,3)</f>
        <v>15</v>
      </c>
      <c r="L152">
        <v>149</v>
      </c>
      <c r="M152">
        <v>13.126250000000001</v>
      </c>
      <c r="N152">
        <v>12.83625</v>
      </c>
      <c r="O152">
        <v>13.22302777777778</v>
      </c>
      <c r="P152">
        <v>13.359270833333335</v>
      </c>
      <c r="AG152">
        <v>1</v>
      </c>
      <c r="AH152" t="e">
        <f t="shared" si="15"/>
        <v>#N/A</v>
      </c>
      <c r="AI152">
        <f t="shared" si="19"/>
        <v>2</v>
      </c>
      <c r="AJ152" t="e">
        <f t="shared" si="16"/>
        <v>#N/A</v>
      </c>
      <c r="AK152">
        <f t="shared" si="20"/>
        <v>3</v>
      </c>
      <c r="AL152" t="e">
        <f t="shared" si="17"/>
        <v>#N/A</v>
      </c>
      <c r="AM152">
        <f t="shared" si="21"/>
        <v>4</v>
      </c>
      <c r="AN152" t="e">
        <f t="shared" si="18"/>
        <v>#N/A</v>
      </c>
    </row>
    <row r="153" spans="1:40" x14ac:dyDescent="0.25">
      <c r="A153">
        <v>152</v>
      </c>
      <c r="B153">
        <f ca="1">SMALL(dados!A$23:A$422,A153)</f>
        <v>0.39953779642046838</v>
      </c>
      <c r="C153">
        <f ca="1">VLOOKUP(B153,dados!A$23:E$422,4,0)</f>
        <v>2</v>
      </c>
      <c r="D153">
        <f ca="1">VLOOKUP(B153,dados!A$23:E$422,5,0)</f>
        <v>15</v>
      </c>
      <c r="E153">
        <f ca="1">COUNTIF(C$2:C153,1)</f>
        <v>111</v>
      </c>
      <c r="F153">
        <f ca="1">COUNTIF(C$2:C153,2)</f>
        <v>26</v>
      </c>
      <c r="G153">
        <f ca="1">COUNTIF(C$2:C153,3)</f>
        <v>15</v>
      </c>
      <c r="L153">
        <v>150</v>
      </c>
      <c r="M153">
        <v>12.928750000000001</v>
      </c>
      <c r="N153">
        <v>13.24</v>
      </c>
      <c r="O153">
        <v>14.30473611111111</v>
      </c>
      <c r="P153">
        <v>14.005333333333335</v>
      </c>
      <c r="AG153">
        <v>1</v>
      </c>
      <c r="AH153" t="e">
        <f t="shared" si="15"/>
        <v>#N/A</v>
      </c>
      <c r="AI153">
        <f t="shared" si="19"/>
        <v>2</v>
      </c>
      <c r="AJ153" t="e">
        <f t="shared" si="16"/>
        <v>#N/A</v>
      </c>
      <c r="AK153">
        <f t="shared" si="20"/>
        <v>3</v>
      </c>
      <c r="AL153" t="e">
        <f t="shared" si="17"/>
        <v>#N/A</v>
      </c>
      <c r="AM153">
        <f t="shared" si="21"/>
        <v>4</v>
      </c>
      <c r="AN153" t="e">
        <f t="shared" si="18"/>
        <v>#N/A</v>
      </c>
    </row>
    <row r="154" spans="1:40" x14ac:dyDescent="0.25">
      <c r="A154">
        <v>153</v>
      </c>
      <c r="B154">
        <f ca="1">SMALL(dados!A$23:A$422,A154)</f>
        <v>0.40594286491102638</v>
      </c>
      <c r="C154">
        <f ca="1">VLOOKUP(B154,dados!A$23:E$422,4,0)</f>
        <v>1</v>
      </c>
      <c r="D154">
        <f ca="1">VLOOKUP(B154,dados!A$23:E$422,5,0)</f>
        <v>5</v>
      </c>
      <c r="E154">
        <f ca="1">COUNTIF(C$2:C154,1)</f>
        <v>112</v>
      </c>
      <c r="F154">
        <f ca="1">COUNTIF(C$2:C154,2)</f>
        <v>26</v>
      </c>
      <c r="G154">
        <f ca="1">COUNTIF(C$2:C154,3)</f>
        <v>15</v>
      </c>
      <c r="L154">
        <v>151</v>
      </c>
      <c r="M154">
        <v>12.44375</v>
      </c>
      <c r="N154">
        <v>13.331875</v>
      </c>
      <c r="O154">
        <v>14.471958333333335</v>
      </c>
      <c r="P154">
        <v>14.534791666666665</v>
      </c>
      <c r="AG154">
        <v>1</v>
      </c>
      <c r="AH154" t="e">
        <f t="shared" si="15"/>
        <v>#N/A</v>
      </c>
      <c r="AI154">
        <f t="shared" si="19"/>
        <v>2</v>
      </c>
      <c r="AJ154" t="e">
        <f t="shared" si="16"/>
        <v>#N/A</v>
      </c>
      <c r="AK154">
        <f t="shared" si="20"/>
        <v>3</v>
      </c>
      <c r="AL154" t="e">
        <f t="shared" si="17"/>
        <v>#N/A</v>
      </c>
      <c r="AM154">
        <f t="shared" si="21"/>
        <v>4</v>
      </c>
      <c r="AN154" t="e">
        <f t="shared" si="18"/>
        <v>#N/A</v>
      </c>
    </row>
    <row r="155" spans="1:40" x14ac:dyDescent="0.25">
      <c r="A155">
        <v>154</v>
      </c>
      <c r="B155">
        <f ca="1">SMALL(dados!A$23:A$422,A155)</f>
        <v>0.40824019813629309</v>
      </c>
      <c r="C155">
        <f ca="1">VLOOKUP(B155,dados!A$23:E$422,4,0)</f>
        <v>1</v>
      </c>
      <c r="D155">
        <f ca="1">VLOOKUP(B155,dados!A$23:E$422,5,0)</f>
        <v>8</v>
      </c>
      <c r="E155">
        <f ca="1">COUNTIF(C$2:C155,1)</f>
        <v>113</v>
      </c>
      <c r="F155">
        <f ca="1">COUNTIF(C$2:C155,2)</f>
        <v>26</v>
      </c>
      <c r="G155">
        <f ca="1">COUNTIF(C$2:C155,3)</f>
        <v>15</v>
      </c>
      <c r="L155">
        <v>152</v>
      </c>
      <c r="M155">
        <v>14.668749999999999</v>
      </c>
      <c r="N155">
        <v>14.57625</v>
      </c>
      <c r="O155">
        <v>14.28263888888889</v>
      </c>
      <c r="P155">
        <v>14.425854166666667</v>
      </c>
      <c r="AG155">
        <v>1</v>
      </c>
      <c r="AH155" t="e">
        <f t="shared" si="15"/>
        <v>#N/A</v>
      </c>
      <c r="AI155">
        <f t="shared" si="19"/>
        <v>2</v>
      </c>
      <c r="AJ155" t="e">
        <f t="shared" si="16"/>
        <v>#N/A</v>
      </c>
      <c r="AK155">
        <f t="shared" si="20"/>
        <v>3</v>
      </c>
      <c r="AL155" t="e">
        <f t="shared" si="17"/>
        <v>#N/A</v>
      </c>
      <c r="AM155">
        <f t="shared" si="21"/>
        <v>4</v>
      </c>
      <c r="AN155" t="e">
        <f t="shared" si="18"/>
        <v>#N/A</v>
      </c>
    </row>
    <row r="156" spans="1:40" x14ac:dyDescent="0.25">
      <c r="A156">
        <v>155</v>
      </c>
      <c r="B156">
        <f ca="1">SMALL(dados!A$23:A$422,A156)</f>
        <v>0.41094609560352968</v>
      </c>
      <c r="C156">
        <f ca="1">VLOOKUP(B156,dados!A$23:E$422,4,0)</f>
        <v>1</v>
      </c>
      <c r="D156">
        <f ca="1">VLOOKUP(B156,dados!A$23:E$422,5,0)</f>
        <v>7</v>
      </c>
      <c r="E156">
        <f ca="1">COUNTIF(C$2:C156,1)</f>
        <v>114</v>
      </c>
      <c r="F156">
        <f ca="1">COUNTIF(C$2:C156,2)</f>
        <v>26</v>
      </c>
      <c r="G156">
        <f ca="1">COUNTIF(C$2:C156,3)</f>
        <v>15</v>
      </c>
      <c r="L156">
        <v>153</v>
      </c>
      <c r="M156">
        <v>14.914999999999999</v>
      </c>
      <c r="N156">
        <v>15.000624999999999</v>
      </c>
      <c r="O156">
        <v>14.435069444444444</v>
      </c>
      <c r="P156">
        <v>14.245125</v>
      </c>
      <c r="AG156">
        <v>1</v>
      </c>
      <c r="AH156" t="e">
        <f t="shared" si="15"/>
        <v>#N/A</v>
      </c>
      <c r="AI156">
        <f t="shared" si="19"/>
        <v>2</v>
      </c>
      <c r="AJ156" t="e">
        <f t="shared" si="16"/>
        <v>#N/A</v>
      </c>
      <c r="AK156">
        <f t="shared" si="20"/>
        <v>3</v>
      </c>
      <c r="AL156" t="e">
        <f t="shared" si="17"/>
        <v>#N/A</v>
      </c>
      <c r="AM156">
        <f t="shared" si="21"/>
        <v>4</v>
      </c>
      <c r="AN156" t="e">
        <f t="shared" si="18"/>
        <v>#N/A</v>
      </c>
    </row>
    <row r="157" spans="1:40" x14ac:dyDescent="0.25">
      <c r="A157">
        <v>156</v>
      </c>
      <c r="B157">
        <f ca="1">SMALL(dados!A$23:A$422,A157)</f>
        <v>0.41116211714842876</v>
      </c>
      <c r="C157">
        <f ca="1">VLOOKUP(B157,dados!A$23:E$422,4,0)</f>
        <v>1</v>
      </c>
      <c r="D157">
        <f ca="1">VLOOKUP(B157,dados!A$23:E$422,5,0)</f>
        <v>7</v>
      </c>
      <c r="E157">
        <f ca="1">COUNTIF(C$2:C157,1)</f>
        <v>115</v>
      </c>
      <c r="F157">
        <f ca="1">COUNTIF(C$2:C157,2)</f>
        <v>26</v>
      </c>
      <c r="G157">
        <f ca="1">COUNTIF(C$2:C157,3)</f>
        <v>15</v>
      </c>
      <c r="L157">
        <v>154</v>
      </c>
      <c r="M157">
        <v>14.723750000000001</v>
      </c>
      <c r="N157">
        <v>14.40625</v>
      </c>
      <c r="O157">
        <v>15.097291666666665</v>
      </c>
      <c r="P157">
        <v>14.370256944444446</v>
      </c>
      <c r="AG157">
        <v>1</v>
      </c>
      <c r="AH157" t="e">
        <f t="shared" si="15"/>
        <v>#N/A</v>
      </c>
      <c r="AI157">
        <f t="shared" si="19"/>
        <v>2</v>
      </c>
      <c r="AJ157" t="e">
        <f t="shared" si="16"/>
        <v>#N/A</v>
      </c>
      <c r="AK157">
        <f t="shared" si="20"/>
        <v>3</v>
      </c>
      <c r="AL157" t="e">
        <f t="shared" si="17"/>
        <v>#N/A</v>
      </c>
      <c r="AM157">
        <f t="shared" si="21"/>
        <v>4</v>
      </c>
      <c r="AN157" t="e">
        <f t="shared" si="18"/>
        <v>#N/A</v>
      </c>
    </row>
    <row r="158" spans="1:40" x14ac:dyDescent="0.25">
      <c r="A158">
        <v>157</v>
      </c>
      <c r="B158">
        <f ca="1">SMALL(dados!A$23:A$422,A158)</f>
        <v>0.41274617747074738</v>
      </c>
      <c r="C158">
        <f ca="1">VLOOKUP(B158,dados!A$23:E$422,4,0)</f>
        <v>1</v>
      </c>
      <c r="D158">
        <f ca="1">VLOOKUP(B158,dados!A$23:E$422,5,0)</f>
        <v>11</v>
      </c>
      <c r="E158">
        <f ca="1">COUNTIF(C$2:C158,1)</f>
        <v>116</v>
      </c>
      <c r="F158">
        <f ca="1">COUNTIF(C$2:C158,2)</f>
        <v>26</v>
      </c>
      <c r="G158">
        <f ca="1">COUNTIF(C$2:C158,3)</f>
        <v>15</v>
      </c>
      <c r="L158">
        <v>155</v>
      </c>
      <c r="M158">
        <v>14.661250000000001</v>
      </c>
      <c r="N158">
        <v>15.03</v>
      </c>
      <c r="O158">
        <v>14.519722222222221</v>
      </c>
      <c r="P158">
        <v>14.576604166666668</v>
      </c>
      <c r="AG158">
        <v>1</v>
      </c>
      <c r="AH158" t="e">
        <f t="shared" si="15"/>
        <v>#N/A</v>
      </c>
      <c r="AI158">
        <f t="shared" si="19"/>
        <v>2</v>
      </c>
      <c r="AJ158" t="e">
        <f t="shared" si="16"/>
        <v>#N/A</v>
      </c>
      <c r="AK158">
        <f t="shared" si="20"/>
        <v>3</v>
      </c>
      <c r="AL158" t="e">
        <f t="shared" si="17"/>
        <v>#N/A</v>
      </c>
      <c r="AM158">
        <f t="shared" si="21"/>
        <v>4</v>
      </c>
      <c r="AN158" t="e">
        <f t="shared" si="18"/>
        <v>#N/A</v>
      </c>
    </row>
    <row r="159" spans="1:40" x14ac:dyDescent="0.25">
      <c r="A159">
        <v>158</v>
      </c>
      <c r="B159">
        <f ca="1">SMALL(dados!A$23:A$422,A159)</f>
        <v>0.41553760081792412</v>
      </c>
      <c r="C159">
        <f ca="1">VLOOKUP(B159,dados!A$23:E$422,4,0)</f>
        <v>1</v>
      </c>
      <c r="D159">
        <f ca="1">VLOOKUP(B159,dados!A$23:E$422,5,0)</f>
        <v>8</v>
      </c>
      <c r="E159">
        <f ca="1">COUNTIF(C$2:C159,1)</f>
        <v>117</v>
      </c>
      <c r="F159">
        <f ca="1">COUNTIF(C$2:C159,2)</f>
        <v>26</v>
      </c>
      <c r="G159">
        <f ca="1">COUNTIF(C$2:C159,3)</f>
        <v>15</v>
      </c>
      <c r="L159">
        <v>156</v>
      </c>
      <c r="M159">
        <v>15.1075</v>
      </c>
      <c r="N159">
        <v>14.564375</v>
      </c>
      <c r="O159">
        <v>14.419388888888886</v>
      </c>
      <c r="P159">
        <v>14.418215277777779</v>
      </c>
      <c r="AG159">
        <v>1</v>
      </c>
      <c r="AH159" t="e">
        <f t="shared" si="15"/>
        <v>#N/A</v>
      </c>
      <c r="AI159">
        <f t="shared" si="19"/>
        <v>2</v>
      </c>
      <c r="AJ159" t="e">
        <f t="shared" si="16"/>
        <v>#N/A</v>
      </c>
      <c r="AK159">
        <f t="shared" si="20"/>
        <v>3</v>
      </c>
      <c r="AL159" t="e">
        <f t="shared" si="17"/>
        <v>#N/A</v>
      </c>
      <c r="AM159">
        <f t="shared" si="21"/>
        <v>4</v>
      </c>
      <c r="AN159" t="e">
        <f t="shared" si="18"/>
        <v>#N/A</v>
      </c>
    </row>
    <row r="160" spans="1:40" x14ac:dyDescent="0.25">
      <c r="A160">
        <v>159</v>
      </c>
      <c r="B160">
        <f ca="1">SMALL(dados!A$23:A$422,A160)</f>
        <v>0.41642024565453883</v>
      </c>
      <c r="C160">
        <f ca="1">VLOOKUP(B160,dados!A$23:E$422,4,0)</f>
        <v>3</v>
      </c>
      <c r="D160">
        <f ca="1">VLOOKUP(B160,dados!A$23:E$422,5,0)</f>
        <v>29</v>
      </c>
      <c r="E160">
        <f ca="1">COUNTIF(C$2:C160,1)</f>
        <v>117</v>
      </c>
      <c r="F160">
        <f ca="1">COUNTIF(C$2:C160,2)</f>
        <v>26</v>
      </c>
      <c r="G160">
        <f ca="1">COUNTIF(C$2:C160,3)</f>
        <v>16</v>
      </c>
      <c r="L160">
        <v>157</v>
      </c>
      <c r="M160">
        <v>13.88875</v>
      </c>
      <c r="N160">
        <v>14.991875</v>
      </c>
      <c r="O160">
        <v>15.226083333333332</v>
      </c>
      <c r="P160">
        <v>14.708722222222223</v>
      </c>
      <c r="AG160">
        <v>1</v>
      </c>
      <c r="AH160" t="e">
        <f t="shared" si="15"/>
        <v>#N/A</v>
      </c>
      <c r="AI160">
        <f t="shared" si="19"/>
        <v>2</v>
      </c>
      <c r="AJ160" t="e">
        <f t="shared" si="16"/>
        <v>#N/A</v>
      </c>
      <c r="AK160">
        <f t="shared" si="20"/>
        <v>3</v>
      </c>
      <c r="AL160" t="e">
        <f t="shared" si="17"/>
        <v>#N/A</v>
      </c>
      <c r="AM160">
        <f t="shared" si="21"/>
        <v>4</v>
      </c>
      <c r="AN160" t="e">
        <f t="shared" si="18"/>
        <v>#N/A</v>
      </c>
    </row>
    <row r="161" spans="1:40" x14ac:dyDescent="0.25">
      <c r="A161">
        <v>160</v>
      </c>
      <c r="B161">
        <f ca="1">SMALL(dados!A$23:A$422,A161)</f>
        <v>0.42019037046824115</v>
      </c>
      <c r="C161">
        <f ca="1">VLOOKUP(B161,dados!A$23:E$422,4,0)</f>
        <v>2</v>
      </c>
      <c r="D161">
        <f ca="1">VLOOKUP(B161,dados!A$23:E$422,5,0)</f>
        <v>14</v>
      </c>
      <c r="E161">
        <f ca="1">COUNTIF(C$2:C161,1)</f>
        <v>117</v>
      </c>
      <c r="F161">
        <f ca="1">COUNTIF(C$2:C161,2)</f>
        <v>27</v>
      </c>
      <c r="G161">
        <f ca="1">COUNTIF(C$2:C161,3)</f>
        <v>16</v>
      </c>
      <c r="L161">
        <v>158</v>
      </c>
      <c r="M161">
        <v>16.145</v>
      </c>
      <c r="N161">
        <v>14.522500000000001</v>
      </c>
      <c r="O161">
        <v>14.771361111111114</v>
      </c>
      <c r="P161">
        <v>14.609388888888889</v>
      </c>
      <c r="AG161">
        <v>1</v>
      </c>
      <c r="AH161" t="e">
        <f t="shared" si="15"/>
        <v>#N/A</v>
      </c>
      <c r="AI161">
        <f t="shared" si="19"/>
        <v>2</v>
      </c>
      <c r="AJ161" t="e">
        <f t="shared" si="16"/>
        <v>#N/A</v>
      </c>
      <c r="AK161">
        <f t="shared" si="20"/>
        <v>3</v>
      </c>
      <c r="AL161" t="e">
        <f t="shared" si="17"/>
        <v>#N/A</v>
      </c>
      <c r="AM161">
        <f t="shared" si="21"/>
        <v>4</v>
      </c>
      <c r="AN161" t="e">
        <f t="shared" si="18"/>
        <v>#N/A</v>
      </c>
    </row>
    <row r="162" spans="1:40" x14ac:dyDescent="0.25">
      <c r="A162">
        <v>161</v>
      </c>
      <c r="B162">
        <f ca="1">SMALL(dados!A$23:A$422,A162)</f>
        <v>0.42162128492344708</v>
      </c>
      <c r="C162">
        <f ca="1">VLOOKUP(B162,dados!A$23:E$422,4,0)</f>
        <v>3</v>
      </c>
      <c r="D162">
        <f ca="1">VLOOKUP(B162,dados!A$23:E$422,5,0)</f>
        <v>30</v>
      </c>
      <c r="E162">
        <f ca="1">COUNTIF(C$2:C162,1)</f>
        <v>117</v>
      </c>
      <c r="F162">
        <f ca="1">COUNTIF(C$2:C162,2)</f>
        <v>27</v>
      </c>
      <c r="G162">
        <f ca="1">COUNTIF(C$2:C162,3)</f>
        <v>17</v>
      </c>
      <c r="L162">
        <v>159</v>
      </c>
      <c r="M162">
        <v>14.234999999999999</v>
      </c>
      <c r="N162">
        <v>14.026875</v>
      </c>
      <c r="O162">
        <v>14.063486111111112</v>
      </c>
      <c r="P162">
        <v>14.318263888888886</v>
      </c>
      <c r="AG162">
        <v>1</v>
      </c>
      <c r="AH162" t="e">
        <f t="shared" si="15"/>
        <v>#N/A</v>
      </c>
      <c r="AI162">
        <f t="shared" si="19"/>
        <v>2</v>
      </c>
      <c r="AJ162" t="e">
        <f t="shared" si="16"/>
        <v>#N/A</v>
      </c>
      <c r="AK162">
        <f t="shared" si="20"/>
        <v>3</v>
      </c>
      <c r="AL162" t="e">
        <f t="shared" si="17"/>
        <v>#N/A</v>
      </c>
      <c r="AM162">
        <f t="shared" si="21"/>
        <v>4</v>
      </c>
      <c r="AN162" t="e">
        <f t="shared" si="18"/>
        <v>#N/A</v>
      </c>
    </row>
    <row r="163" spans="1:40" x14ac:dyDescent="0.25">
      <c r="A163">
        <v>162</v>
      </c>
      <c r="B163">
        <f ca="1">SMALL(dados!A$23:A$422,A163)</f>
        <v>0.42508144568225292</v>
      </c>
      <c r="C163">
        <f ca="1">VLOOKUP(B163,dados!A$23:E$422,4,0)</f>
        <v>1</v>
      </c>
      <c r="D163">
        <f ca="1">VLOOKUP(B163,dados!A$23:E$422,5,0)</f>
        <v>9</v>
      </c>
      <c r="E163">
        <f ca="1">COUNTIF(C$2:C163,1)</f>
        <v>118</v>
      </c>
      <c r="F163">
        <f ca="1">COUNTIF(C$2:C163,2)</f>
        <v>27</v>
      </c>
      <c r="G163">
        <f ca="1">COUNTIF(C$2:C163,3)</f>
        <v>17</v>
      </c>
      <c r="L163">
        <v>160</v>
      </c>
      <c r="M163">
        <v>14.78125</v>
      </c>
      <c r="N163">
        <v>14.285625</v>
      </c>
      <c r="O163">
        <v>14.506597222222222</v>
      </c>
      <c r="P163">
        <v>14.073666666666668</v>
      </c>
      <c r="AG163">
        <v>1</v>
      </c>
      <c r="AH163" t="e">
        <f t="shared" si="15"/>
        <v>#N/A</v>
      </c>
      <c r="AI163">
        <f t="shared" si="19"/>
        <v>2</v>
      </c>
      <c r="AJ163" t="e">
        <f t="shared" si="16"/>
        <v>#N/A</v>
      </c>
      <c r="AK163">
        <f t="shared" si="20"/>
        <v>3</v>
      </c>
      <c r="AL163" t="e">
        <f t="shared" si="17"/>
        <v>#N/A</v>
      </c>
      <c r="AM163">
        <f t="shared" si="21"/>
        <v>4</v>
      </c>
      <c r="AN163" t="e">
        <f t="shared" si="18"/>
        <v>#N/A</v>
      </c>
    </row>
    <row r="164" spans="1:40" x14ac:dyDescent="0.25">
      <c r="A164">
        <v>163</v>
      </c>
      <c r="B164">
        <f ca="1">SMALL(dados!A$23:A$422,A164)</f>
        <v>0.4252353865437758</v>
      </c>
      <c r="C164">
        <f ca="1">VLOOKUP(B164,dados!A$23:E$422,4,0)</f>
        <v>2</v>
      </c>
      <c r="D164">
        <f ca="1">VLOOKUP(B164,dados!A$23:E$422,5,0)</f>
        <v>30</v>
      </c>
      <c r="E164">
        <f ca="1">COUNTIF(C$2:C164,1)</f>
        <v>118</v>
      </c>
      <c r="F164">
        <f ca="1">COUNTIF(C$2:C164,2)</f>
        <v>28</v>
      </c>
      <c r="G164">
        <f ca="1">COUNTIF(C$2:C164,3)</f>
        <v>17</v>
      </c>
      <c r="L164">
        <v>161</v>
      </c>
      <c r="M164">
        <v>12.305</v>
      </c>
      <c r="N164">
        <v>13.831875</v>
      </c>
      <c r="O164">
        <v>14.014861111111111</v>
      </c>
      <c r="P164">
        <v>13.939479166666667</v>
      </c>
      <c r="AG164">
        <v>1</v>
      </c>
      <c r="AH164" t="e">
        <f t="shared" si="15"/>
        <v>#N/A</v>
      </c>
      <c r="AI164">
        <f t="shared" si="19"/>
        <v>2</v>
      </c>
      <c r="AJ164" t="e">
        <f t="shared" si="16"/>
        <v>#N/A</v>
      </c>
      <c r="AK164">
        <f t="shared" si="20"/>
        <v>3</v>
      </c>
      <c r="AL164" t="e">
        <f t="shared" si="17"/>
        <v>#N/A</v>
      </c>
      <c r="AM164">
        <f t="shared" si="21"/>
        <v>4</v>
      </c>
      <c r="AN164" t="e">
        <f t="shared" si="18"/>
        <v>#N/A</v>
      </c>
    </row>
    <row r="165" spans="1:40" x14ac:dyDescent="0.25">
      <c r="A165">
        <v>164</v>
      </c>
      <c r="B165">
        <f ca="1">SMALL(dados!A$23:A$422,A165)</f>
        <v>0.42752464591931394</v>
      </c>
      <c r="C165">
        <f ca="1">VLOOKUP(B165,dados!A$23:E$422,4,0)</f>
        <v>2</v>
      </c>
      <c r="D165">
        <f ca="1">VLOOKUP(B165,dados!A$23:E$422,5,0)</f>
        <v>21</v>
      </c>
      <c r="E165">
        <f ca="1">COUNTIF(C$2:C165,1)</f>
        <v>118</v>
      </c>
      <c r="F165">
        <f ca="1">COUNTIF(C$2:C165,2)</f>
        <v>29</v>
      </c>
      <c r="G165">
        <f ca="1">COUNTIF(C$2:C165,3)</f>
        <v>17</v>
      </c>
      <c r="L165">
        <v>162</v>
      </c>
      <c r="M165">
        <v>13.178750000000001</v>
      </c>
      <c r="N165">
        <v>14.303125</v>
      </c>
      <c r="O165">
        <v>14.023027777777779</v>
      </c>
      <c r="P165">
        <v>14.065791666666664</v>
      </c>
      <c r="AG165">
        <v>1</v>
      </c>
      <c r="AH165" t="e">
        <f t="shared" si="15"/>
        <v>#N/A</v>
      </c>
      <c r="AI165">
        <f t="shared" si="19"/>
        <v>2</v>
      </c>
      <c r="AJ165" t="e">
        <f t="shared" si="16"/>
        <v>#N/A</v>
      </c>
      <c r="AK165">
        <f t="shared" si="20"/>
        <v>3</v>
      </c>
      <c r="AL165" t="e">
        <f t="shared" si="17"/>
        <v>#N/A</v>
      </c>
      <c r="AM165">
        <f t="shared" si="21"/>
        <v>4</v>
      </c>
      <c r="AN165" t="e">
        <f t="shared" si="18"/>
        <v>#N/A</v>
      </c>
    </row>
    <row r="166" spans="1:40" x14ac:dyDescent="0.25">
      <c r="A166">
        <v>165</v>
      </c>
      <c r="B166">
        <f ca="1">SMALL(dados!A$23:A$422,A166)</f>
        <v>0.4280344137000206</v>
      </c>
      <c r="C166">
        <f ca="1">VLOOKUP(B166,dados!A$23:E$422,4,0)</f>
        <v>1</v>
      </c>
      <c r="D166">
        <f ca="1">VLOOKUP(B166,dados!A$23:E$422,5,0)</f>
        <v>9</v>
      </c>
      <c r="E166">
        <f ca="1">COUNTIF(C$2:C166,1)</f>
        <v>119</v>
      </c>
      <c r="F166">
        <f ca="1">COUNTIF(C$2:C166,2)</f>
        <v>29</v>
      </c>
      <c r="G166">
        <f ca="1">COUNTIF(C$2:C166,3)</f>
        <v>17</v>
      </c>
      <c r="L166">
        <v>163</v>
      </c>
      <c r="M166">
        <v>14.3375</v>
      </c>
      <c r="N166">
        <v>15.00375</v>
      </c>
      <c r="O166">
        <v>14.386180555555557</v>
      </c>
      <c r="P166">
        <v>14.243798611111112</v>
      </c>
      <c r="AG166">
        <v>1</v>
      </c>
      <c r="AH166" t="e">
        <f t="shared" si="15"/>
        <v>#N/A</v>
      </c>
      <c r="AI166">
        <f t="shared" si="19"/>
        <v>2</v>
      </c>
      <c r="AJ166" t="e">
        <f t="shared" si="16"/>
        <v>#N/A</v>
      </c>
      <c r="AK166">
        <f t="shared" si="20"/>
        <v>3</v>
      </c>
      <c r="AL166" t="e">
        <f t="shared" si="17"/>
        <v>#N/A</v>
      </c>
      <c r="AM166">
        <f t="shared" si="21"/>
        <v>4</v>
      </c>
      <c r="AN166" t="e">
        <f t="shared" si="18"/>
        <v>#N/A</v>
      </c>
    </row>
    <row r="167" spans="1:40" x14ac:dyDescent="0.25">
      <c r="A167">
        <v>166</v>
      </c>
      <c r="B167">
        <f ca="1">SMALL(dados!A$23:A$422,A167)</f>
        <v>0.42890111617468185</v>
      </c>
      <c r="C167">
        <f ca="1">VLOOKUP(B167,dados!A$23:E$422,4,0)</f>
        <v>1</v>
      </c>
      <c r="D167">
        <f ca="1">VLOOKUP(B167,dados!A$23:E$422,5,0)</f>
        <v>9</v>
      </c>
      <c r="E167">
        <f ca="1">COUNTIF(C$2:C167,1)</f>
        <v>120</v>
      </c>
      <c r="F167">
        <f ca="1">COUNTIF(C$2:C167,2)</f>
        <v>29</v>
      </c>
      <c r="G167">
        <f ca="1">COUNTIF(C$2:C167,3)</f>
        <v>17</v>
      </c>
      <c r="L167">
        <v>164</v>
      </c>
      <c r="M167">
        <v>13.87</v>
      </c>
      <c r="N167">
        <v>14.170624999999999</v>
      </c>
      <c r="O167">
        <v>14.367611111111112</v>
      </c>
      <c r="P167">
        <v>14.082243055555557</v>
      </c>
      <c r="AG167">
        <v>1</v>
      </c>
      <c r="AH167" t="e">
        <f t="shared" si="15"/>
        <v>#N/A</v>
      </c>
      <c r="AI167">
        <f t="shared" si="19"/>
        <v>2</v>
      </c>
      <c r="AJ167" t="e">
        <f t="shared" si="16"/>
        <v>#N/A</v>
      </c>
      <c r="AK167">
        <f t="shared" si="20"/>
        <v>3</v>
      </c>
      <c r="AL167" t="e">
        <f t="shared" si="17"/>
        <v>#N/A</v>
      </c>
      <c r="AM167">
        <f t="shared" si="21"/>
        <v>4</v>
      </c>
      <c r="AN167" t="e">
        <f t="shared" si="18"/>
        <v>#N/A</v>
      </c>
    </row>
    <row r="168" spans="1:40" x14ac:dyDescent="0.25">
      <c r="A168">
        <v>167</v>
      </c>
      <c r="B168">
        <f ca="1">SMALL(dados!A$23:A$422,A168)</f>
        <v>0.43215820784540171</v>
      </c>
      <c r="C168">
        <f ca="1">VLOOKUP(B168,dados!A$23:E$422,4,0)</f>
        <v>1</v>
      </c>
      <c r="D168">
        <f ca="1">VLOOKUP(B168,dados!A$23:E$422,5,0)</f>
        <v>6</v>
      </c>
      <c r="E168">
        <f ca="1">COUNTIF(C$2:C168,1)</f>
        <v>121</v>
      </c>
      <c r="F168">
        <f ca="1">COUNTIF(C$2:C168,2)</f>
        <v>29</v>
      </c>
      <c r="G168">
        <f ca="1">COUNTIF(C$2:C168,3)</f>
        <v>17</v>
      </c>
      <c r="L168">
        <v>165</v>
      </c>
      <c r="M168">
        <v>13.686249999999999</v>
      </c>
      <c r="N168">
        <v>14.0275</v>
      </c>
      <c r="O168">
        <v>14.198986111111113</v>
      </c>
      <c r="P168">
        <v>14.283624999999999</v>
      </c>
      <c r="AG168">
        <v>1</v>
      </c>
      <c r="AH168" t="e">
        <f t="shared" si="15"/>
        <v>#N/A</v>
      </c>
      <c r="AI168">
        <f t="shared" si="19"/>
        <v>2</v>
      </c>
      <c r="AJ168" t="e">
        <f t="shared" si="16"/>
        <v>#N/A</v>
      </c>
      <c r="AK168">
        <f t="shared" si="20"/>
        <v>3</v>
      </c>
      <c r="AL168" t="e">
        <f t="shared" si="17"/>
        <v>#N/A</v>
      </c>
      <c r="AM168">
        <f t="shared" si="21"/>
        <v>4</v>
      </c>
      <c r="AN168" t="e">
        <f t="shared" si="18"/>
        <v>#N/A</v>
      </c>
    </row>
    <row r="169" spans="1:40" x14ac:dyDescent="0.25">
      <c r="A169">
        <v>168</v>
      </c>
      <c r="B169">
        <f ca="1">SMALL(dados!A$23:A$422,A169)</f>
        <v>0.434739865566108</v>
      </c>
      <c r="C169">
        <f ca="1">VLOOKUP(B169,dados!A$23:E$422,4,0)</f>
        <v>3</v>
      </c>
      <c r="D169">
        <f ca="1">VLOOKUP(B169,dados!A$23:E$422,5,0)</f>
        <v>29</v>
      </c>
      <c r="E169">
        <f ca="1">COUNTIF(C$2:C169,1)</f>
        <v>121</v>
      </c>
      <c r="F169">
        <f ca="1">COUNTIF(C$2:C169,2)</f>
        <v>29</v>
      </c>
      <c r="G169">
        <f ca="1">COUNTIF(C$2:C169,3)</f>
        <v>18</v>
      </c>
      <c r="L169">
        <v>166</v>
      </c>
      <c r="M169">
        <v>14.72</v>
      </c>
      <c r="N169">
        <v>15.054375</v>
      </c>
      <c r="O169">
        <v>14.437055555555558</v>
      </c>
      <c r="P169">
        <v>14.149993055555555</v>
      </c>
      <c r="AG169">
        <v>1</v>
      </c>
      <c r="AH169" t="e">
        <f t="shared" si="15"/>
        <v>#N/A</v>
      </c>
      <c r="AI169">
        <f t="shared" si="19"/>
        <v>2</v>
      </c>
      <c r="AJ169" t="e">
        <f t="shared" si="16"/>
        <v>#N/A</v>
      </c>
      <c r="AK169">
        <f t="shared" si="20"/>
        <v>3</v>
      </c>
      <c r="AL169" t="e">
        <f t="shared" si="17"/>
        <v>#N/A</v>
      </c>
      <c r="AM169">
        <f t="shared" si="21"/>
        <v>4</v>
      </c>
      <c r="AN169" t="e">
        <f t="shared" si="18"/>
        <v>#N/A</v>
      </c>
    </row>
    <row r="170" spans="1:40" x14ac:dyDescent="0.25">
      <c r="A170">
        <v>169</v>
      </c>
      <c r="B170">
        <f ca="1">SMALL(dados!A$23:A$422,A170)</f>
        <v>0.43617365968357924</v>
      </c>
      <c r="C170">
        <f ca="1">VLOOKUP(B170,dados!A$23:E$422,4,0)</f>
        <v>2</v>
      </c>
      <c r="D170">
        <f ca="1">VLOOKUP(B170,dados!A$23:E$422,5,0)</f>
        <v>18</v>
      </c>
      <c r="E170">
        <f ca="1">COUNTIF(C$2:C170,1)</f>
        <v>121</v>
      </c>
      <c r="F170">
        <f ca="1">COUNTIF(C$2:C170,2)</f>
        <v>30</v>
      </c>
      <c r="G170">
        <f ca="1">COUNTIF(C$2:C170,3)</f>
        <v>18</v>
      </c>
      <c r="L170">
        <v>167</v>
      </c>
      <c r="M170">
        <v>12.04875</v>
      </c>
      <c r="N170">
        <v>12.295</v>
      </c>
      <c r="O170">
        <v>13.634402777777778</v>
      </c>
      <c r="P170">
        <v>13.814249999999999</v>
      </c>
      <c r="AG170">
        <v>1</v>
      </c>
      <c r="AH170" t="e">
        <f t="shared" si="15"/>
        <v>#N/A</v>
      </c>
      <c r="AI170">
        <f t="shared" si="19"/>
        <v>2</v>
      </c>
      <c r="AJ170" t="e">
        <f t="shared" si="16"/>
        <v>#N/A</v>
      </c>
      <c r="AK170">
        <f t="shared" si="20"/>
        <v>3</v>
      </c>
      <c r="AL170" t="e">
        <f t="shared" si="17"/>
        <v>#N/A</v>
      </c>
      <c r="AM170">
        <f t="shared" si="21"/>
        <v>4</v>
      </c>
      <c r="AN170" t="e">
        <f t="shared" si="18"/>
        <v>#N/A</v>
      </c>
    </row>
    <row r="171" spans="1:40" x14ac:dyDescent="0.25">
      <c r="A171">
        <v>170</v>
      </c>
      <c r="B171">
        <f ca="1">SMALL(dados!A$23:A$422,A171)</f>
        <v>0.43879401145621755</v>
      </c>
      <c r="C171">
        <f ca="1">VLOOKUP(B171,dados!A$23:E$422,4,0)</f>
        <v>1</v>
      </c>
      <c r="D171">
        <f ca="1">VLOOKUP(B171,dados!A$23:E$422,5,0)</f>
        <v>8</v>
      </c>
      <c r="E171">
        <f ca="1">COUNTIF(C$2:C171,1)</f>
        <v>122</v>
      </c>
      <c r="F171">
        <f ca="1">COUNTIF(C$2:C171,2)</f>
        <v>30</v>
      </c>
      <c r="G171">
        <f ca="1">COUNTIF(C$2:C171,3)</f>
        <v>18</v>
      </c>
      <c r="L171">
        <v>168</v>
      </c>
      <c r="M171">
        <v>13.7525</v>
      </c>
      <c r="N171">
        <v>14.848750000000001</v>
      </c>
      <c r="O171">
        <v>14.57223611111111</v>
      </c>
      <c r="P171">
        <v>14.52976388888889</v>
      </c>
      <c r="AG171">
        <v>1</v>
      </c>
      <c r="AH171" t="e">
        <f t="shared" si="15"/>
        <v>#N/A</v>
      </c>
      <c r="AI171">
        <f t="shared" si="19"/>
        <v>2</v>
      </c>
      <c r="AJ171" t="e">
        <f t="shared" si="16"/>
        <v>#N/A</v>
      </c>
      <c r="AK171">
        <f t="shared" si="20"/>
        <v>3</v>
      </c>
      <c r="AL171" t="e">
        <f t="shared" si="17"/>
        <v>#N/A</v>
      </c>
      <c r="AM171">
        <f t="shared" si="21"/>
        <v>4</v>
      </c>
      <c r="AN171" t="e">
        <f t="shared" si="18"/>
        <v>#N/A</v>
      </c>
    </row>
    <row r="172" spans="1:40" x14ac:dyDescent="0.25">
      <c r="A172">
        <v>171</v>
      </c>
      <c r="B172">
        <f ca="1">SMALL(dados!A$23:A$422,A172)</f>
        <v>0.44196628116644199</v>
      </c>
      <c r="C172">
        <f ca="1">VLOOKUP(B172,dados!A$23:E$422,4,0)</f>
        <v>1</v>
      </c>
      <c r="D172">
        <f ca="1">VLOOKUP(B172,dados!A$23:E$422,5,0)</f>
        <v>14</v>
      </c>
      <c r="E172">
        <f ca="1">COUNTIF(C$2:C172,1)</f>
        <v>123</v>
      </c>
      <c r="F172">
        <f ca="1">COUNTIF(C$2:C172,2)</f>
        <v>30</v>
      </c>
      <c r="G172">
        <f ca="1">COUNTIF(C$2:C172,3)</f>
        <v>18</v>
      </c>
      <c r="L172">
        <v>169</v>
      </c>
      <c r="M172">
        <v>15.47</v>
      </c>
      <c r="N172">
        <v>15.10125</v>
      </c>
      <c r="O172">
        <v>14.636458333333335</v>
      </c>
      <c r="P172">
        <v>14.114388888888891</v>
      </c>
      <c r="AG172">
        <v>1</v>
      </c>
      <c r="AH172" t="e">
        <f t="shared" si="15"/>
        <v>#N/A</v>
      </c>
      <c r="AI172">
        <f t="shared" si="19"/>
        <v>2</v>
      </c>
      <c r="AJ172" t="e">
        <f t="shared" si="16"/>
        <v>#N/A</v>
      </c>
      <c r="AK172">
        <f t="shared" si="20"/>
        <v>3</v>
      </c>
      <c r="AL172" t="e">
        <f t="shared" si="17"/>
        <v>#N/A</v>
      </c>
      <c r="AM172">
        <f t="shared" si="21"/>
        <v>4</v>
      </c>
      <c r="AN172" t="e">
        <f t="shared" si="18"/>
        <v>#N/A</v>
      </c>
    </row>
    <row r="173" spans="1:40" x14ac:dyDescent="0.25">
      <c r="A173">
        <v>172</v>
      </c>
      <c r="B173">
        <f ca="1">SMALL(dados!A$23:A$422,A173)</f>
        <v>0.44653797909778192</v>
      </c>
      <c r="C173">
        <f ca="1">VLOOKUP(B173,dados!A$23:E$422,4,0)</f>
        <v>3</v>
      </c>
      <c r="D173">
        <f ca="1">VLOOKUP(B173,dados!A$23:E$422,5,0)</f>
        <v>24</v>
      </c>
      <c r="E173">
        <f ca="1">COUNTIF(C$2:C173,1)</f>
        <v>123</v>
      </c>
      <c r="F173">
        <f ca="1">COUNTIF(C$2:C173,2)</f>
        <v>30</v>
      </c>
      <c r="G173">
        <f ca="1">COUNTIF(C$2:C173,3)</f>
        <v>19</v>
      </c>
      <c r="L173">
        <v>170</v>
      </c>
      <c r="M173">
        <v>15.016249999999999</v>
      </c>
      <c r="N173">
        <v>14.695</v>
      </c>
      <c r="O173">
        <v>14.659291666666666</v>
      </c>
      <c r="P173">
        <v>13.829416666666669</v>
      </c>
      <c r="AG173">
        <v>1</v>
      </c>
      <c r="AH173" t="e">
        <f t="shared" si="15"/>
        <v>#N/A</v>
      </c>
      <c r="AI173">
        <f t="shared" si="19"/>
        <v>2</v>
      </c>
      <c r="AJ173" t="e">
        <f t="shared" si="16"/>
        <v>#N/A</v>
      </c>
      <c r="AK173">
        <f t="shared" si="20"/>
        <v>3</v>
      </c>
      <c r="AL173" t="e">
        <f t="shared" si="17"/>
        <v>#N/A</v>
      </c>
      <c r="AM173">
        <f t="shared" si="21"/>
        <v>4</v>
      </c>
      <c r="AN173" t="e">
        <f t="shared" si="18"/>
        <v>#N/A</v>
      </c>
    </row>
    <row r="174" spans="1:40" x14ac:dyDescent="0.25">
      <c r="A174">
        <v>173</v>
      </c>
      <c r="B174">
        <f ca="1">SMALL(dados!A$23:A$422,A174)</f>
        <v>0.44711805946394023</v>
      </c>
      <c r="C174">
        <f ca="1">VLOOKUP(B174,dados!A$23:E$422,4,0)</f>
        <v>2</v>
      </c>
      <c r="D174">
        <f ca="1">VLOOKUP(B174,dados!A$23:E$422,5,0)</f>
        <v>21</v>
      </c>
      <c r="E174">
        <f ca="1">COUNTIF(C$2:C174,1)</f>
        <v>123</v>
      </c>
      <c r="F174">
        <f ca="1">COUNTIF(C$2:C174,2)</f>
        <v>31</v>
      </c>
      <c r="G174">
        <f ca="1">COUNTIF(C$2:C174,3)</f>
        <v>19</v>
      </c>
      <c r="L174">
        <v>171</v>
      </c>
      <c r="M174">
        <v>14.93375</v>
      </c>
      <c r="N174">
        <v>14.0525</v>
      </c>
      <c r="O174">
        <v>13.93401388888889</v>
      </c>
      <c r="P174">
        <v>14.172618055555557</v>
      </c>
      <c r="AG174">
        <v>1</v>
      </c>
      <c r="AH174" t="e">
        <f t="shared" si="15"/>
        <v>#N/A</v>
      </c>
      <c r="AI174">
        <f t="shared" si="19"/>
        <v>2</v>
      </c>
      <c r="AJ174" t="e">
        <f t="shared" si="16"/>
        <v>#N/A</v>
      </c>
      <c r="AK174">
        <f t="shared" si="20"/>
        <v>3</v>
      </c>
      <c r="AL174" t="e">
        <f t="shared" si="17"/>
        <v>#N/A</v>
      </c>
      <c r="AM174">
        <f t="shared" si="21"/>
        <v>4</v>
      </c>
      <c r="AN174" t="e">
        <f t="shared" si="18"/>
        <v>#N/A</v>
      </c>
    </row>
    <row r="175" spans="1:40" x14ac:dyDescent="0.25">
      <c r="A175">
        <v>174</v>
      </c>
      <c r="B175">
        <f ca="1">SMALL(dados!A$23:A$422,A175)</f>
        <v>0.4492410480217689</v>
      </c>
      <c r="C175">
        <f ca="1">VLOOKUP(B175,dados!A$23:E$422,4,0)</f>
        <v>2</v>
      </c>
      <c r="D175">
        <f ca="1">VLOOKUP(B175,dados!A$23:E$422,5,0)</f>
        <v>16</v>
      </c>
      <c r="E175">
        <f ca="1">COUNTIF(C$2:C175,1)</f>
        <v>123</v>
      </c>
      <c r="F175">
        <f ca="1">COUNTIF(C$2:C175,2)</f>
        <v>32</v>
      </c>
      <c r="G175">
        <f ca="1">COUNTIF(C$2:C175,3)</f>
        <v>19</v>
      </c>
      <c r="L175">
        <v>172</v>
      </c>
      <c r="M175">
        <v>13.015000000000001</v>
      </c>
      <c r="N175">
        <v>13.7425</v>
      </c>
      <c r="O175">
        <v>14.804722222222221</v>
      </c>
      <c r="P175">
        <v>14.525069444444444</v>
      </c>
      <c r="AG175">
        <v>1</v>
      </c>
      <c r="AH175" t="e">
        <f t="shared" si="15"/>
        <v>#N/A</v>
      </c>
      <c r="AI175">
        <f t="shared" si="19"/>
        <v>2</v>
      </c>
      <c r="AJ175" t="e">
        <f t="shared" si="16"/>
        <v>#N/A</v>
      </c>
      <c r="AK175">
        <f t="shared" si="20"/>
        <v>3</v>
      </c>
      <c r="AL175" t="e">
        <f t="shared" si="17"/>
        <v>#N/A</v>
      </c>
      <c r="AM175">
        <f t="shared" si="21"/>
        <v>4</v>
      </c>
      <c r="AN175" t="e">
        <f t="shared" si="18"/>
        <v>#N/A</v>
      </c>
    </row>
    <row r="176" spans="1:40" x14ac:dyDescent="0.25">
      <c r="A176">
        <v>175</v>
      </c>
      <c r="B176">
        <f ca="1">SMALL(dados!A$23:A$422,A176)</f>
        <v>0.45308171021818788</v>
      </c>
      <c r="C176">
        <f ca="1">VLOOKUP(B176,dados!A$23:E$422,4,0)</f>
        <v>1</v>
      </c>
      <c r="D176">
        <f ca="1">VLOOKUP(B176,dados!A$23:E$422,5,0)</f>
        <v>4</v>
      </c>
      <c r="E176">
        <f ca="1">COUNTIF(C$2:C176,1)</f>
        <v>124</v>
      </c>
      <c r="F176">
        <f ca="1">COUNTIF(C$2:C176,2)</f>
        <v>32</v>
      </c>
      <c r="G176">
        <f ca="1">COUNTIF(C$2:C176,3)</f>
        <v>19</v>
      </c>
      <c r="L176">
        <v>173</v>
      </c>
      <c r="M176">
        <v>14.08</v>
      </c>
      <c r="N176">
        <v>14.633125</v>
      </c>
      <c r="O176">
        <v>14.766305555555554</v>
      </c>
      <c r="P176">
        <v>14.088868055555556</v>
      </c>
      <c r="AG176">
        <v>1</v>
      </c>
      <c r="AH176" t="e">
        <f t="shared" si="15"/>
        <v>#N/A</v>
      </c>
      <c r="AI176">
        <f t="shared" si="19"/>
        <v>2</v>
      </c>
      <c r="AJ176" t="e">
        <f t="shared" si="16"/>
        <v>#N/A</v>
      </c>
      <c r="AK176">
        <f t="shared" si="20"/>
        <v>3</v>
      </c>
      <c r="AL176" t="e">
        <f t="shared" si="17"/>
        <v>#N/A</v>
      </c>
      <c r="AM176">
        <f t="shared" si="21"/>
        <v>4</v>
      </c>
      <c r="AN176" t="e">
        <f t="shared" si="18"/>
        <v>#N/A</v>
      </c>
    </row>
    <row r="177" spans="1:40" x14ac:dyDescent="0.25">
      <c r="A177">
        <v>176</v>
      </c>
      <c r="B177">
        <f ca="1">SMALL(dados!A$23:A$422,A177)</f>
        <v>0.45338633183800803</v>
      </c>
      <c r="C177">
        <f ca="1">VLOOKUP(B177,dados!A$23:E$422,4,0)</f>
        <v>1</v>
      </c>
      <c r="D177">
        <f ca="1">VLOOKUP(B177,dados!A$23:E$422,5,0)</f>
        <v>6</v>
      </c>
      <c r="E177">
        <f ca="1">COUNTIF(C$2:C177,1)</f>
        <v>125</v>
      </c>
      <c r="F177">
        <f ca="1">COUNTIF(C$2:C177,2)</f>
        <v>32</v>
      </c>
      <c r="G177">
        <f ca="1">COUNTIF(C$2:C177,3)</f>
        <v>19</v>
      </c>
      <c r="L177">
        <v>174</v>
      </c>
      <c r="M177">
        <v>14.51125</v>
      </c>
      <c r="N177">
        <v>13.965</v>
      </c>
      <c r="O177">
        <v>13.402249999999999</v>
      </c>
      <c r="P177">
        <v>13.914201388888889</v>
      </c>
      <c r="AG177">
        <v>1</v>
      </c>
      <c r="AH177" t="e">
        <f t="shared" si="15"/>
        <v>#N/A</v>
      </c>
      <c r="AI177">
        <f t="shared" si="19"/>
        <v>2</v>
      </c>
      <c r="AJ177" t="e">
        <f t="shared" si="16"/>
        <v>#N/A</v>
      </c>
      <c r="AK177">
        <f t="shared" si="20"/>
        <v>3</v>
      </c>
      <c r="AL177" t="e">
        <f t="shared" si="17"/>
        <v>#N/A</v>
      </c>
      <c r="AM177">
        <f t="shared" si="21"/>
        <v>4</v>
      </c>
      <c r="AN177" t="e">
        <f t="shared" si="18"/>
        <v>#N/A</v>
      </c>
    </row>
    <row r="178" spans="1:40" x14ac:dyDescent="0.25">
      <c r="A178">
        <v>177</v>
      </c>
      <c r="B178">
        <f ca="1">SMALL(dados!A$23:A$422,A178)</f>
        <v>0.45701984683823471</v>
      </c>
      <c r="C178">
        <f ca="1">VLOOKUP(B178,dados!A$23:E$422,4,0)</f>
        <v>1</v>
      </c>
      <c r="D178">
        <f ca="1">VLOOKUP(B178,dados!A$23:E$422,5,0)</f>
        <v>7</v>
      </c>
      <c r="E178">
        <f ca="1">COUNTIF(C$2:C178,1)</f>
        <v>126</v>
      </c>
      <c r="F178">
        <f ca="1">COUNTIF(C$2:C178,2)</f>
        <v>32</v>
      </c>
      <c r="G178">
        <f ca="1">COUNTIF(C$2:C178,3)</f>
        <v>19</v>
      </c>
      <c r="L178">
        <v>175</v>
      </c>
      <c r="M178">
        <v>14.616250000000001</v>
      </c>
      <c r="N178">
        <v>13.27375</v>
      </c>
      <c r="O178">
        <v>13.508763888888888</v>
      </c>
      <c r="P178">
        <v>13.704902777777779</v>
      </c>
      <c r="AG178">
        <v>1</v>
      </c>
      <c r="AH178" t="e">
        <f t="shared" si="15"/>
        <v>#N/A</v>
      </c>
      <c r="AI178">
        <f t="shared" si="19"/>
        <v>2</v>
      </c>
      <c r="AJ178" t="e">
        <f t="shared" si="16"/>
        <v>#N/A</v>
      </c>
      <c r="AK178">
        <f t="shared" si="20"/>
        <v>3</v>
      </c>
      <c r="AL178" t="e">
        <f t="shared" si="17"/>
        <v>#N/A</v>
      </c>
      <c r="AM178">
        <f t="shared" si="21"/>
        <v>4</v>
      </c>
      <c r="AN178" t="e">
        <f t="shared" si="18"/>
        <v>#N/A</v>
      </c>
    </row>
    <row r="179" spans="1:40" x14ac:dyDescent="0.25">
      <c r="A179">
        <v>178</v>
      </c>
      <c r="B179">
        <f ca="1">SMALL(dados!A$23:A$422,A179)</f>
        <v>0.45949000934892992</v>
      </c>
      <c r="C179">
        <f ca="1">VLOOKUP(B179,dados!A$23:E$422,4,0)</f>
        <v>1</v>
      </c>
      <c r="D179">
        <f ca="1">VLOOKUP(B179,dados!A$23:E$422,5,0)</f>
        <v>9</v>
      </c>
      <c r="E179">
        <f ca="1">COUNTIF(C$2:C179,1)</f>
        <v>127</v>
      </c>
      <c r="F179">
        <f ca="1">COUNTIF(C$2:C179,2)</f>
        <v>32</v>
      </c>
      <c r="G179">
        <f ca="1">COUNTIF(C$2:C179,3)</f>
        <v>19</v>
      </c>
      <c r="L179">
        <v>176</v>
      </c>
      <c r="M179">
        <v>13.78375</v>
      </c>
      <c r="N179">
        <v>13.65375</v>
      </c>
      <c r="O179">
        <v>14.594666666666667</v>
      </c>
      <c r="P179">
        <v>14.134305555555557</v>
      </c>
      <c r="AG179">
        <v>1</v>
      </c>
      <c r="AH179" t="e">
        <f t="shared" si="15"/>
        <v>#N/A</v>
      </c>
      <c r="AI179">
        <f t="shared" si="19"/>
        <v>2</v>
      </c>
      <c r="AJ179" t="e">
        <f t="shared" si="16"/>
        <v>#N/A</v>
      </c>
      <c r="AK179">
        <f t="shared" si="20"/>
        <v>3</v>
      </c>
      <c r="AL179" t="e">
        <f t="shared" si="17"/>
        <v>#N/A</v>
      </c>
      <c r="AM179">
        <f t="shared" si="21"/>
        <v>4</v>
      </c>
      <c r="AN179" t="e">
        <f t="shared" si="18"/>
        <v>#N/A</v>
      </c>
    </row>
    <row r="180" spans="1:40" x14ac:dyDescent="0.25">
      <c r="A180">
        <v>179</v>
      </c>
      <c r="B180">
        <f ca="1">SMALL(dados!A$23:A$422,A180)</f>
        <v>0.46398445620372086</v>
      </c>
      <c r="C180">
        <f ca="1">VLOOKUP(B180,dados!A$23:E$422,4,0)</f>
        <v>1</v>
      </c>
      <c r="D180">
        <f ca="1">VLOOKUP(B180,dados!A$23:E$422,5,0)</f>
        <v>7</v>
      </c>
      <c r="E180">
        <f ca="1">COUNTIF(C$2:C180,1)</f>
        <v>128</v>
      </c>
      <c r="F180">
        <f ca="1">COUNTIF(C$2:C180,2)</f>
        <v>32</v>
      </c>
      <c r="G180">
        <f ca="1">COUNTIF(C$2:C180,3)</f>
        <v>19</v>
      </c>
      <c r="L180">
        <v>177</v>
      </c>
      <c r="M180">
        <v>14.88125</v>
      </c>
      <c r="N180">
        <v>13.795</v>
      </c>
      <c r="O180">
        <v>13.181291666666668</v>
      </c>
      <c r="P180">
        <v>13.6283125</v>
      </c>
      <c r="AG180">
        <v>1</v>
      </c>
      <c r="AH180" t="e">
        <f t="shared" si="15"/>
        <v>#N/A</v>
      </c>
      <c r="AI180">
        <f t="shared" si="19"/>
        <v>2</v>
      </c>
      <c r="AJ180" t="e">
        <f t="shared" si="16"/>
        <v>#N/A</v>
      </c>
      <c r="AK180">
        <f t="shared" si="20"/>
        <v>3</v>
      </c>
      <c r="AL180" t="e">
        <f t="shared" si="17"/>
        <v>#N/A</v>
      </c>
      <c r="AM180">
        <f t="shared" si="21"/>
        <v>4</v>
      </c>
      <c r="AN180" t="e">
        <f t="shared" si="18"/>
        <v>#N/A</v>
      </c>
    </row>
    <row r="181" spans="1:40" x14ac:dyDescent="0.25">
      <c r="A181">
        <v>180</v>
      </c>
      <c r="B181">
        <f ca="1">SMALL(dados!A$23:A$422,A181)</f>
        <v>0.46585030075713685</v>
      </c>
      <c r="C181">
        <f ca="1">VLOOKUP(B181,dados!A$23:E$422,4,0)</f>
        <v>1</v>
      </c>
      <c r="D181">
        <f ca="1">VLOOKUP(B181,dados!A$23:E$422,5,0)</f>
        <v>13</v>
      </c>
      <c r="E181">
        <f ca="1">COUNTIF(C$2:C181,1)</f>
        <v>129</v>
      </c>
      <c r="F181">
        <f ca="1">COUNTIF(C$2:C181,2)</f>
        <v>32</v>
      </c>
      <c r="G181">
        <f ca="1">COUNTIF(C$2:C181,3)</f>
        <v>19</v>
      </c>
      <c r="L181">
        <v>178</v>
      </c>
      <c r="M181">
        <v>15.9975</v>
      </c>
      <c r="N181">
        <v>14.265625</v>
      </c>
      <c r="O181">
        <v>14.480847222222222</v>
      </c>
      <c r="P181">
        <v>14.118618055555558</v>
      </c>
      <c r="AG181">
        <v>1</v>
      </c>
      <c r="AH181" t="e">
        <f t="shared" si="15"/>
        <v>#N/A</v>
      </c>
      <c r="AI181">
        <f t="shared" si="19"/>
        <v>2</v>
      </c>
      <c r="AJ181" t="e">
        <f t="shared" si="16"/>
        <v>#N/A</v>
      </c>
      <c r="AK181">
        <f t="shared" si="20"/>
        <v>3</v>
      </c>
      <c r="AL181" t="e">
        <f t="shared" si="17"/>
        <v>#N/A</v>
      </c>
      <c r="AM181">
        <f t="shared" si="21"/>
        <v>4</v>
      </c>
      <c r="AN181" t="e">
        <f t="shared" si="18"/>
        <v>#N/A</v>
      </c>
    </row>
    <row r="182" spans="1:40" x14ac:dyDescent="0.25">
      <c r="A182">
        <v>181</v>
      </c>
      <c r="B182">
        <f ca="1">SMALL(dados!A$23:A$422,A182)</f>
        <v>0.46639055272370555</v>
      </c>
      <c r="C182">
        <f ca="1">VLOOKUP(B182,dados!A$23:E$422,4,0)</f>
        <v>1</v>
      </c>
      <c r="D182">
        <f ca="1">VLOOKUP(B182,dados!A$23:E$422,5,0)</f>
        <v>15</v>
      </c>
      <c r="E182">
        <f ca="1">COUNTIF(C$2:C182,1)</f>
        <v>130</v>
      </c>
      <c r="F182">
        <f ca="1">COUNTIF(C$2:C182,2)</f>
        <v>32</v>
      </c>
      <c r="G182">
        <f ca="1">COUNTIF(C$2:C182,3)</f>
        <v>19</v>
      </c>
      <c r="L182">
        <v>179</v>
      </c>
      <c r="M182">
        <v>15.97875</v>
      </c>
      <c r="N182">
        <v>14.626250000000001</v>
      </c>
      <c r="O182">
        <v>14.245444444444443</v>
      </c>
      <c r="P182">
        <v>14.074611111111111</v>
      </c>
      <c r="AG182">
        <v>1</v>
      </c>
      <c r="AH182" t="e">
        <f t="shared" si="15"/>
        <v>#N/A</v>
      </c>
      <c r="AI182">
        <f t="shared" si="19"/>
        <v>2</v>
      </c>
      <c r="AJ182" t="e">
        <f t="shared" si="16"/>
        <v>#N/A</v>
      </c>
      <c r="AK182">
        <f t="shared" si="20"/>
        <v>3</v>
      </c>
      <c r="AL182" t="e">
        <f t="shared" si="17"/>
        <v>#N/A</v>
      </c>
      <c r="AM182">
        <f t="shared" si="21"/>
        <v>4</v>
      </c>
      <c r="AN182" t="e">
        <f t="shared" si="18"/>
        <v>#N/A</v>
      </c>
    </row>
    <row r="183" spans="1:40" x14ac:dyDescent="0.25">
      <c r="A183">
        <v>182</v>
      </c>
      <c r="B183">
        <f ca="1">SMALL(dados!A$23:A$422,A183)</f>
        <v>0.47055929791966267</v>
      </c>
      <c r="C183">
        <f ca="1">VLOOKUP(B183,dados!A$23:E$422,4,0)</f>
        <v>1</v>
      </c>
      <c r="D183">
        <f ca="1">VLOOKUP(B183,dados!A$23:E$422,5,0)</f>
        <v>12</v>
      </c>
      <c r="E183">
        <f ca="1">COUNTIF(C$2:C183,1)</f>
        <v>131</v>
      </c>
      <c r="F183">
        <f ca="1">COUNTIF(C$2:C183,2)</f>
        <v>32</v>
      </c>
      <c r="G183">
        <f ca="1">COUNTIF(C$2:C183,3)</f>
        <v>19</v>
      </c>
      <c r="L183">
        <v>180</v>
      </c>
      <c r="M183">
        <v>13.3825</v>
      </c>
      <c r="N183">
        <v>13.088749999999999</v>
      </c>
      <c r="O183">
        <v>13.779263888888886</v>
      </c>
      <c r="P183">
        <v>14.155270833333335</v>
      </c>
      <c r="AG183">
        <v>1</v>
      </c>
      <c r="AH183" t="e">
        <f t="shared" si="15"/>
        <v>#N/A</v>
      </c>
      <c r="AI183">
        <f t="shared" si="19"/>
        <v>2</v>
      </c>
      <c r="AJ183" t="e">
        <f t="shared" si="16"/>
        <v>#N/A</v>
      </c>
      <c r="AK183">
        <f t="shared" si="20"/>
        <v>3</v>
      </c>
      <c r="AL183" t="e">
        <f t="shared" si="17"/>
        <v>#N/A</v>
      </c>
      <c r="AM183">
        <f t="shared" si="21"/>
        <v>4</v>
      </c>
      <c r="AN183" t="e">
        <f t="shared" si="18"/>
        <v>#N/A</v>
      </c>
    </row>
    <row r="184" spans="1:40" x14ac:dyDescent="0.25">
      <c r="A184">
        <v>183</v>
      </c>
      <c r="B184">
        <f ca="1">SMALL(dados!A$23:A$422,A184)</f>
        <v>0.47214770731705891</v>
      </c>
      <c r="C184">
        <f ca="1">VLOOKUP(B184,dados!A$23:E$422,4,0)</f>
        <v>1</v>
      </c>
      <c r="D184">
        <f ca="1">VLOOKUP(B184,dados!A$23:E$422,5,0)</f>
        <v>14</v>
      </c>
      <c r="E184">
        <f ca="1">COUNTIF(C$2:C184,1)</f>
        <v>132</v>
      </c>
      <c r="F184">
        <f ca="1">COUNTIF(C$2:C184,2)</f>
        <v>32</v>
      </c>
      <c r="G184">
        <f ca="1">COUNTIF(C$2:C184,3)</f>
        <v>19</v>
      </c>
      <c r="L184">
        <v>181</v>
      </c>
      <c r="M184">
        <v>13.36125</v>
      </c>
      <c r="N184">
        <v>14.481249999999999</v>
      </c>
      <c r="O184">
        <v>13.932319444444445</v>
      </c>
      <c r="P184">
        <v>13.873847222222221</v>
      </c>
      <c r="AG184">
        <v>1</v>
      </c>
      <c r="AH184" t="e">
        <f t="shared" si="15"/>
        <v>#N/A</v>
      </c>
      <c r="AI184">
        <f t="shared" si="19"/>
        <v>2</v>
      </c>
      <c r="AJ184" t="e">
        <f t="shared" si="16"/>
        <v>#N/A</v>
      </c>
      <c r="AK184">
        <f t="shared" si="20"/>
        <v>3</v>
      </c>
      <c r="AL184" t="e">
        <f t="shared" si="17"/>
        <v>#N/A</v>
      </c>
      <c r="AM184">
        <f t="shared" si="21"/>
        <v>4</v>
      </c>
      <c r="AN184" t="e">
        <f t="shared" si="18"/>
        <v>#N/A</v>
      </c>
    </row>
    <row r="185" spans="1:40" x14ac:dyDescent="0.25">
      <c r="A185">
        <v>184</v>
      </c>
      <c r="B185">
        <f ca="1">SMALL(dados!A$23:A$422,A185)</f>
        <v>0.47228147544301147</v>
      </c>
      <c r="C185">
        <f ca="1">VLOOKUP(B185,dados!A$23:E$422,4,0)</f>
        <v>2</v>
      </c>
      <c r="D185">
        <f ca="1">VLOOKUP(B185,dados!A$23:E$422,5,0)</f>
        <v>29</v>
      </c>
      <c r="E185">
        <f ca="1">COUNTIF(C$2:C185,1)</f>
        <v>132</v>
      </c>
      <c r="F185">
        <f ca="1">COUNTIF(C$2:C185,2)</f>
        <v>33</v>
      </c>
      <c r="G185">
        <f ca="1">COUNTIF(C$2:C185,3)</f>
        <v>19</v>
      </c>
      <c r="L185">
        <v>182</v>
      </c>
      <c r="M185">
        <v>14.74375</v>
      </c>
      <c r="N185">
        <v>13.705</v>
      </c>
      <c r="O185">
        <v>14.702458333333334</v>
      </c>
      <c r="P185">
        <v>14.644208333333335</v>
      </c>
      <c r="AG185">
        <v>1</v>
      </c>
      <c r="AH185" t="e">
        <f t="shared" si="15"/>
        <v>#N/A</v>
      </c>
      <c r="AI185">
        <f t="shared" si="19"/>
        <v>2</v>
      </c>
      <c r="AJ185" t="e">
        <f t="shared" si="16"/>
        <v>#N/A</v>
      </c>
      <c r="AK185">
        <f t="shared" si="20"/>
        <v>3</v>
      </c>
      <c r="AL185" t="e">
        <f t="shared" si="17"/>
        <v>#N/A</v>
      </c>
      <c r="AM185">
        <f t="shared" si="21"/>
        <v>4</v>
      </c>
      <c r="AN185" t="e">
        <f t="shared" si="18"/>
        <v>#N/A</v>
      </c>
    </row>
    <row r="186" spans="1:40" x14ac:dyDescent="0.25">
      <c r="A186">
        <v>185</v>
      </c>
      <c r="B186">
        <f ca="1">SMALL(dados!A$23:A$422,A186)</f>
        <v>0.48020959634150262</v>
      </c>
      <c r="C186">
        <f ca="1">VLOOKUP(B186,dados!A$23:E$422,4,0)</f>
        <v>1</v>
      </c>
      <c r="D186">
        <f ca="1">VLOOKUP(B186,dados!A$23:E$422,5,0)</f>
        <v>7</v>
      </c>
      <c r="E186">
        <f ca="1">COUNTIF(C$2:C186,1)</f>
        <v>133</v>
      </c>
      <c r="F186">
        <f ca="1">COUNTIF(C$2:C186,2)</f>
        <v>33</v>
      </c>
      <c r="G186">
        <f ca="1">COUNTIF(C$2:C186,3)</f>
        <v>19</v>
      </c>
      <c r="L186">
        <v>183</v>
      </c>
      <c r="M186">
        <v>13.647500000000001</v>
      </c>
      <c r="N186">
        <v>13.039375</v>
      </c>
      <c r="O186">
        <v>14.21848611111111</v>
      </c>
      <c r="P186">
        <v>14.056229166666665</v>
      </c>
      <c r="AG186">
        <v>1</v>
      </c>
      <c r="AH186" t="e">
        <f t="shared" si="15"/>
        <v>#N/A</v>
      </c>
      <c r="AI186">
        <f t="shared" si="19"/>
        <v>2</v>
      </c>
      <c r="AJ186" t="e">
        <f t="shared" si="16"/>
        <v>#N/A</v>
      </c>
      <c r="AK186">
        <f t="shared" si="20"/>
        <v>3</v>
      </c>
      <c r="AL186" t="e">
        <f t="shared" si="17"/>
        <v>#N/A</v>
      </c>
      <c r="AM186">
        <f t="shared" si="21"/>
        <v>4</v>
      </c>
      <c r="AN186" t="e">
        <f t="shared" si="18"/>
        <v>#N/A</v>
      </c>
    </row>
    <row r="187" spans="1:40" x14ac:dyDescent="0.25">
      <c r="A187">
        <v>186</v>
      </c>
      <c r="B187">
        <f ca="1">SMALL(dados!A$23:A$422,A187)</f>
        <v>0.48291549558703273</v>
      </c>
      <c r="C187">
        <f ca="1">VLOOKUP(B187,dados!A$23:E$422,4,0)</f>
        <v>1</v>
      </c>
      <c r="D187">
        <f ca="1">VLOOKUP(B187,dados!A$23:E$422,5,0)</f>
        <v>5</v>
      </c>
      <c r="E187">
        <f ca="1">COUNTIF(C$2:C187,1)</f>
        <v>134</v>
      </c>
      <c r="F187">
        <f ca="1">COUNTIF(C$2:C187,2)</f>
        <v>33</v>
      </c>
      <c r="G187">
        <f ca="1">COUNTIF(C$2:C187,3)</f>
        <v>19</v>
      </c>
      <c r="L187">
        <v>184</v>
      </c>
      <c r="M187">
        <v>14.5825</v>
      </c>
      <c r="N187">
        <v>13.994999999999999</v>
      </c>
      <c r="O187">
        <v>13.933333333333335</v>
      </c>
      <c r="P187">
        <v>14.042951388888888</v>
      </c>
      <c r="AG187">
        <v>1</v>
      </c>
      <c r="AH187" t="e">
        <f t="shared" si="15"/>
        <v>#N/A</v>
      </c>
      <c r="AI187">
        <f t="shared" si="19"/>
        <v>2</v>
      </c>
      <c r="AJ187" t="e">
        <f t="shared" si="16"/>
        <v>#N/A</v>
      </c>
      <c r="AK187">
        <f t="shared" si="20"/>
        <v>3</v>
      </c>
      <c r="AL187" t="e">
        <f t="shared" si="17"/>
        <v>#N/A</v>
      </c>
      <c r="AM187">
        <f t="shared" si="21"/>
        <v>4</v>
      </c>
      <c r="AN187" t="e">
        <f t="shared" si="18"/>
        <v>#N/A</v>
      </c>
    </row>
    <row r="188" spans="1:40" x14ac:dyDescent="0.25">
      <c r="A188">
        <v>187</v>
      </c>
      <c r="B188">
        <f ca="1">SMALL(dados!A$23:A$422,A188)</f>
        <v>0.48690544933359747</v>
      </c>
      <c r="C188">
        <f ca="1">VLOOKUP(B188,dados!A$23:E$422,4,0)</f>
        <v>2</v>
      </c>
      <c r="D188">
        <f ca="1">VLOOKUP(B188,dados!A$23:E$422,5,0)</f>
        <v>22</v>
      </c>
      <c r="E188">
        <f ca="1">COUNTIF(C$2:C188,1)</f>
        <v>134</v>
      </c>
      <c r="F188">
        <f ca="1">COUNTIF(C$2:C188,2)</f>
        <v>34</v>
      </c>
      <c r="G188">
        <f ca="1">COUNTIF(C$2:C188,3)</f>
        <v>19</v>
      </c>
      <c r="L188">
        <v>185</v>
      </c>
      <c r="M188">
        <v>12.407500000000001</v>
      </c>
      <c r="N188">
        <v>12.485625000000001</v>
      </c>
      <c r="O188">
        <v>13.538069444444442</v>
      </c>
      <c r="P188">
        <v>13.652444444444443</v>
      </c>
      <c r="AG188">
        <v>1</v>
      </c>
      <c r="AH188" t="e">
        <f t="shared" si="15"/>
        <v>#N/A</v>
      </c>
      <c r="AI188">
        <f t="shared" si="19"/>
        <v>2</v>
      </c>
      <c r="AJ188" t="e">
        <f t="shared" si="16"/>
        <v>#N/A</v>
      </c>
      <c r="AK188">
        <f t="shared" si="20"/>
        <v>3</v>
      </c>
      <c r="AL188" t="e">
        <f t="shared" si="17"/>
        <v>#N/A</v>
      </c>
      <c r="AM188">
        <f t="shared" si="21"/>
        <v>4</v>
      </c>
      <c r="AN188" t="e">
        <f t="shared" si="18"/>
        <v>#N/A</v>
      </c>
    </row>
    <row r="189" spans="1:40" x14ac:dyDescent="0.25">
      <c r="A189">
        <v>188</v>
      </c>
      <c r="B189">
        <f ca="1">SMALL(dados!A$23:A$422,A189)</f>
        <v>0.49073526812512958</v>
      </c>
      <c r="C189">
        <f ca="1">VLOOKUP(B189,dados!A$23:E$422,4,0)</f>
        <v>2</v>
      </c>
      <c r="D189">
        <f ca="1">VLOOKUP(B189,dados!A$23:E$422,5,0)</f>
        <v>20</v>
      </c>
      <c r="E189">
        <f ca="1">COUNTIF(C$2:C189,1)</f>
        <v>134</v>
      </c>
      <c r="F189">
        <f ca="1">COUNTIF(C$2:C189,2)</f>
        <v>35</v>
      </c>
      <c r="G189">
        <f ca="1">COUNTIF(C$2:C189,3)</f>
        <v>19</v>
      </c>
      <c r="L189">
        <v>186</v>
      </c>
      <c r="M189">
        <v>13.401249999999999</v>
      </c>
      <c r="N189">
        <v>13.353125</v>
      </c>
      <c r="O189">
        <v>13.823375</v>
      </c>
      <c r="P189">
        <v>14.126756944444445</v>
      </c>
      <c r="AG189">
        <v>1</v>
      </c>
      <c r="AH189" t="e">
        <f t="shared" si="15"/>
        <v>#N/A</v>
      </c>
      <c r="AI189">
        <f t="shared" si="19"/>
        <v>2</v>
      </c>
      <c r="AJ189" t="e">
        <f t="shared" si="16"/>
        <v>#N/A</v>
      </c>
      <c r="AK189">
        <f t="shared" si="20"/>
        <v>3</v>
      </c>
      <c r="AL189" t="e">
        <f t="shared" si="17"/>
        <v>#N/A</v>
      </c>
      <c r="AM189">
        <f t="shared" si="21"/>
        <v>4</v>
      </c>
      <c r="AN189" t="e">
        <f t="shared" si="18"/>
        <v>#N/A</v>
      </c>
    </row>
    <row r="190" spans="1:40" x14ac:dyDescent="0.25">
      <c r="A190">
        <v>189</v>
      </c>
      <c r="B190">
        <f ca="1">SMALL(dados!A$23:A$422,A190)</f>
        <v>0.49209561187117223</v>
      </c>
      <c r="C190">
        <f ca="1">VLOOKUP(B190,dados!A$23:E$422,4,0)</f>
        <v>3</v>
      </c>
      <c r="D190">
        <f ca="1">VLOOKUP(B190,dados!A$23:E$422,5,0)</f>
        <v>22</v>
      </c>
      <c r="E190">
        <f ca="1">COUNTIF(C$2:C190,1)</f>
        <v>134</v>
      </c>
      <c r="F190">
        <f ca="1">COUNTIF(C$2:C190,2)</f>
        <v>35</v>
      </c>
      <c r="G190">
        <f ca="1">COUNTIF(C$2:C190,3)</f>
        <v>20</v>
      </c>
      <c r="L190">
        <v>187</v>
      </c>
      <c r="M190">
        <v>12.005000000000001</v>
      </c>
      <c r="N190">
        <v>13.938124999999999</v>
      </c>
      <c r="O190">
        <v>13.692236111111113</v>
      </c>
      <c r="P190">
        <v>14.021506944444443</v>
      </c>
      <c r="AG190">
        <v>1</v>
      </c>
      <c r="AH190" t="e">
        <f t="shared" si="15"/>
        <v>#N/A</v>
      </c>
      <c r="AI190">
        <f t="shared" si="19"/>
        <v>2</v>
      </c>
      <c r="AJ190" t="e">
        <f t="shared" si="16"/>
        <v>#N/A</v>
      </c>
      <c r="AK190">
        <f t="shared" si="20"/>
        <v>3</v>
      </c>
      <c r="AL190" t="e">
        <f t="shared" si="17"/>
        <v>#N/A</v>
      </c>
      <c r="AM190">
        <f t="shared" si="21"/>
        <v>4</v>
      </c>
      <c r="AN190" t="e">
        <f t="shared" si="18"/>
        <v>#N/A</v>
      </c>
    </row>
    <row r="191" spans="1:40" x14ac:dyDescent="0.25">
      <c r="A191">
        <v>190</v>
      </c>
      <c r="B191">
        <f ca="1">SMALL(dados!A$23:A$422,A191)</f>
        <v>0.50043443209574523</v>
      </c>
      <c r="C191">
        <f ca="1">VLOOKUP(B191,dados!A$23:E$422,4,0)</f>
        <v>1</v>
      </c>
      <c r="D191">
        <f ca="1">VLOOKUP(B191,dados!A$23:E$422,5,0)</f>
        <v>13</v>
      </c>
      <c r="E191">
        <f ca="1">COUNTIF(C$2:C191,1)</f>
        <v>135</v>
      </c>
      <c r="F191">
        <f ca="1">COUNTIF(C$2:C191,2)</f>
        <v>35</v>
      </c>
      <c r="G191">
        <f ca="1">COUNTIF(C$2:C191,3)</f>
        <v>20</v>
      </c>
      <c r="L191">
        <v>188</v>
      </c>
      <c r="M191">
        <v>14.452500000000001</v>
      </c>
      <c r="N191">
        <v>14.1525</v>
      </c>
      <c r="O191">
        <v>14.480152777777779</v>
      </c>
      <c r="P191">
        <v>14.17825</v>
      </c>
      <c r="AG191">
        <v>1</v>
      </c>
      <c r="AH191" t="e">
        <f t="shared" si="15"/>
        <v>#N/A</v>
      </c>
      <c r="AI191">
        <f t="shared" si="19"/>
        <v>2</v>
      </c>
      <c r="AJ191" t="e">
        <f t="shared" si="16"/>
        <v>#N/A</v>
      </c>
      <c r="AK191">
        <f t="shared" si="20"/>
        <v>3</v>
      </c>
      <c r="AL191" t="e">
        <f t="shared" si="17"/>
        <v>#N/A</v>
      </c>
      <c r="AM191">
        <f t="shared" si="21"/>
        <v>4</v>
      </c>
      <c r="AN191" t="e">
        <f t="shared" si="18"/>
        <v>#N/A</v>
      </c>
    </row>
    <row r="192" spans="1:40" x14ac:dyDescent="0.25">
      <c r="A192">
        <v>191</v>
      </c>
      <c r="B192">
        <f ca="1">SMALL(dados!A$23:A$422,A192)</f>
        <v>0.50081885497938461</v>
      </c>
      <c r="C192">
        <f ca="1">VLOOKUP(B192,dados!A$23:E$422,4,0)</f>
        <v>1</v>
      </c>
      <c r="D192">
        <f ca="1">VLOOKUP(B192,dados!A$23:E$422,5,0)</f>
        <v>7</v>
      </c>
      <c r="E192">
        <f ca="1">COUNTIF(C$2:C192,1)</f>
        <v>136</v>
      </c>
      <c r="F192">
        <f ca="1">COUNTIF(C$2:C192,2)</f>
        <v>35</v>
      </c>
      <c r="G192">
        <f ca="1">COUNTIF(C$2:C192,3)</f>
        <v>20</v>
      </c>
      <c r="L192">
        <v>189</v>
      </c>
      <c r="M192">
        <v>15.39875</v>
      </c>
      <c r="N192">
        <v>14.394375</v>
      </c>
      <c r="O192">
        <v>14.144041666666665</v>
      </c>
      <c r="P192">
        <v>14.05179861111111</v>
      </c>
      <c r="AG192">
        <v>1</v>
      </c>
      <c r="AH192" t="e">
        <f t="shared" si="15"/>
        <v>#N/A</v>
      </c>
      <c r="AI192">
        <f t="shared" si="19"/>
        <v>2</v>
      </c>
      <c r="AJ192" t="e">
        <f t="shared" si="16"/>
        <v>#N/A</v>
      </c>
      <c r="AK192">
        <f t="shared" si="20"/>
        <v>3</v>
      </c>
      <c r="AL192" t="e">
        <f t="shared" si="17"/>
        <v>#N/A</v>
      </c>
      <c r="AM192">
        <f t="shared" si="21"/>
        <v>4</v>
      </c>
      <c r="AN192" t="e">
        <f t="shared" si="18"/>
        <v>#N/A</v>
      </c>
    </row>
    <row r="193" spans="1:40" x14ac:dyDescent="0.25">
      <c r="A193">
        <v>192</v>
      </c>
      <c r="B193">
        <f ca="1">SMALL(dados!A$23:A$422,A193)</f>
        <v>0.5028014839252225</v>
      </c>
      <c r="C193">
        <f ca="1">VLOOKUP(B193,dados!A$23:E$422,4,0)</f>
        <v>3</v>
      </c>
      <c r="D193">
        <f ca="1">VLOOKUP(B193,dados!A$23:E$422,5,0)</f>
        <v>31</v>
      </c>
      <c r="E193">
        <f ca="1">COUNTIF(C$2:C193,1)</f>
        <v>136</v>
      </c>
      <c r="F193">
        <f ca="1">COUNTIF(C$2:C193,2)</f>
        <v>35</v>
      </c>
      <c r="G193">
        <f ca="1">COUNTIF(C$2:C193,3)</f>
        <v>21</v>
      </c>
      <c r="L193">
        <v>190</v>
      </c>
      <c r="M193">
        <v>14.05875</v>
      </c>
      <c r="N193">
        <v>13.921875</v>
      </c>
      <c r="O193">
        <v>14.000083333333334</v>
      </c>
      <c r="P193">
        <v>13.935916666666664</v>
      </c>
      <c r="AG193">
        <v>1</v>
      </c>
      <c r="AH193" t="e">
        <f t="shared" si="15"/>
        <v>#N/A</v>
      </c>
      <c r="AI193">
        <f t="shared" si="19"/>
        <v>2</v>
      </c>
      <c r="AJ193" t="e">
        <f t="shared" si="16"/>
        <v>#N/A</v>
      </c>
      <c r="AK193">
        <f t="shared" si="20"/>
        <v>3</v>
      </c>
      <c r="AL193" t="e">
        <f t="shared" si="17"/>
        <v>#N/A</v>
      </c>
      <c r="AM193">
        <f t="shared" si="21"/>
        <v>4</v>
      </c>
      <c r="AN193" t="e">
        <f t="shared" si="18"/>
        <v>#N/A</v>
      </c>
    </row>
    <row r="194" spans="1:40" x14ac:dyDescent="0.25">
      <c r="A194">
        <v>193</v>
      </c>
      <c r="B194">
        <f ca="1">SMALL(dados!A$23:A$422,A194)</f>
        <v>0.50593772337177623</v>
      </c>
      <c r="C194">
        <f ca="1">VLOOKUP(B194,dados!A$23:E$422,4,0)</f>
        <v>1</v>
      </c>
      <c r="D194">
        <f ca="1">VLOOKUP(B194,dados!A$23:E$422,5,0)</f>
        <v>13</v>
      </c>
      <c r="E194">
        <f ca="1">COUNTIF(C$2:C194,1)</f>
        <v>137</v>
      </c>
      <c r="F194">
        <f ca="1">COUNTIF(C$2:C194,2)</f>
        <v>35</v>
      </c>
      <c r="G194">
        <f ca="1">COUNTIF(C$2:C194,3)</f>
        <v>21</v>
      </c>
      <c r="L194">
        <v>191</v>
      </c>
      <c r="M194">
        <v>13.79875</v>
      </c>
      <c r="N194">
        <v>13.891249999999999</v>
      </c>
      <c r="O194">
        <v>14.277194444444447</v>
      </c>
      <c r="P194">
        <v>13.978090277777778</v>
      </c>
      <c r="AG194">
        <v>1</v>
      </c>
      <c r="AH194" t="e">
        <f t="shared" si="15"/>
        <v>#N/A</v>
      </c>
      <c r="AI194">
        <f t="shared" si="19"/>
        <v>2</v>
      </c>
      <c r="AJ194" t="e">
        <f t="shared" si="16"/>
        <v>#N/A</v>
      </c>
      <c r="AK194">
        <f t="shared" si="20"/>
        <v>3</v>
      </c>
      <c r="AL194" t="e">
        <f t="shared" si="17"/>
        <v>#N/A</v>
      </c>
      <c r="AM194">
        <f t="shared" si="21"/>
        <v>4</v>
      </c>
      <c r="AN194" t="e">
        <f t="shared" si="18"/>
        <v>#N/A</v>
      </c>
    </row>
    <row r="195" spans="1:40" x14ac:dyDescent="0.25">
      <c r="A195">
        <v>194</v>
      </c>
      <c r="B195">
        <f ca="1">SMALL(dados!A$23:A$422,A195)</f>
        <v>0.50626355860621153</v>
      </c>
      <c r="C195">
        <f ca="1">VLOOKUP(B195,dados!A$23:E$422,4,0)</f>
        <v>1</v>
      </c>
      <c r="D195">
        <f ca="1">VLOOKUP(B195,dados!A$23:E$422,5,0)</f>
        <v>7</v>
      </c>
      <c r="E195">
        <f ca="1">COUNTIF(C$2:C195,1)</f>
        <v>138</v>
      </c>
      <c r="F195">
        <f ca="1">COUNTIF(C$2:C195,2)</f>
        <v>35</v>
      </c>
      <c r="G195">
        <f ca="1">COUNTIF(C$2:C195,3)</f>
        <v>21</v>
      </c>
      <c r="L195">
        <v>192</v>
      </c>
      <c r="M195">
        <v>14.7925</v>
      </c>
      <c r="N195">
        <v>13.699375</v>
      </c>
      <c r="O195">
        <v>13.521722222222222</v>
      </c>
      <c r="P195">
        <v>14.141319444444445</v>
      </c>
      <c r="AG195">
        <v>1</v>
      </c>
      <c r="AH195" t="e">
        <f t="shared" si="15"/>
        <v>#N/A</v>
      </c>
      <c r="AI195">
        <f t="shared" si="19"/>
        <v>2</v>
      </c>
      <c r="AJ195" t="e">
        <f t="shared" si="16"/>
        <v>#N/A</v>
      </c>
      <c r="AK195">
        <f t="shared" si="20"/>
        <v>3</v>
      </c>
      <c r="AL195" t="e">
        <f t="shared" si="17"/>
        <v>#N/A</v>
      </c>
      <c r="AM195">
        <f t="shared" si="21"/>
        <v>4</v>
      </c>
      <c r="AN195" t="e">
        <f t="shared" si="18"/>
        <v>#N/A</v>
      </c>
    </row>
    <row r="196" spans="1:40" x14ac:dyDescent="0.25">
      <c r="A196">
        <v>195</v>
      </c>
      <c r="B196">
        <f ca="1">SMALL(dados!A$23:A$422,A196)</f>
        <v>0.50666281291912318</v>
      </c>
      <c r="C196">
        <f ca="1">VLOOKUP(B196,dados!A$23:E$422,4,0)</f>
        <v>1</v>
      </c>
      <c r="D196">
        <f ca="1">VLOOKUP(B196,dados!A$23:E$422,5,0)</f>
        <v>13</v>
      </c>
      <c r="E196">
        <f ca="1">COUNTIF(C$2:C196,1)</f>
        <v>139</v>
      </c>
      <c r="F196">
        <f ca="1">COUNTIF(C$2:C196,2)</f>
        <v>35</v>
      </c>
      <c r="G196">
        <f ca="1">COUNTIF(C$2:C196,3)</f>
        <v>21</v>
      </c>
      <c r="L196">
        <v>193</v>
      </c>
      <c r="M196">
        <v>14.97625</v>
      </c>
      <c r="N196">
        <v>14.553125</v>
      </c>
      <c r="O196">
        <v>13.517138888888892</v>
      </c>
      <c r="P196">
        <v>13.9225625</v>
      </c>
      <c r="AG196">
        <v>1</v>
      </c>
      <c r="AH196" t="e">
        <f t="shared" ref="AH196:AH259" si="22">IF(OR(M196&lt;S$3,M196&gt;S$7),M196,#N/A)</f>
        <v>#N/A</v>
      </c>
      <c r="AI196">
        <f t="shared" si="19"/>
        <v>2</v>
      </c>
      <c r="AJ196" t="e">
        <f t="shared" ref="AJ196:AJ259" si="23">IF(OR(N196&lt;T$3,N196&gt;T$7),N196,#N/A)</f>
        <v>#N/A</v>
      </c>
      <c r="AK196">
        <f t="shared" si="20"/>
        <v>3</v>
      </c>
      <c r="AL196" t="e">
        <f t="shared" ref="AL196:AL259" si="24">IF(OR(O196&lt;U$3,O196&gt;U$7),O196,#N/A)</f>
        <v>#N/A</v>
      </c>
      <c r="AM196">
        <f t="shared" si="21"/>
        <v>4</v>
      </c>
      <c r="AN196" t="e">
        <f t="shared" ref="AN196:AN259" si="25">IF(OR(P196&lt;V$3,P196&gt;V$7),P196,#N/A)</f>
        <v>#N/A</v>
      </c>
    </row>
    <row r="197" spans="1:40" x14ac:dyDescent="0.25">
      <c r="A197">
        <v>196</v>
      </c>
      <c r="B197">
        <f ca="1">SMALL(dados!A$23:A$422,A197)</f>
        <v>0.50749886518061538</v>
      </c>
      <c r="C197">
        <f ca="1">VLOOKUP(B197,dados!A$23:E$422,4,0)</f>
        <v>1</v>
      </c>
      <c r="D197">
        <f ca="1">VLOOKUP(B197,dados!A$23:E$422,5,0)</f>
        <v>8</v>
      </c>
      <c r="E197">
        <f ca="1">COUNTIF(C$2:C197,1)</f>
        <v>140</v>
      </c>
      <c r="F197">
        <f ca="1">COUNTIF(C$2:C197,2)</f>
        <v>35</v>
      </c>
      <c r="G197">
        <f ca="1">COUNTIF(C$2:C197,3)</f>
        <v>21</v>
      </c>
      <c r="L197">
        <v>194</v>
      </c>
      <c r="M197">
        <v>11.715</v>
      </c>
      <c r="N197">
        <v>11.988125</v>
      </c>
      <c r="O197">
        <v>13.436708333333335</v>
      </c>
      <c r="P197">
        <v>13.430326388888886</v>
      </c>
      <c r="AG197">
        <v>1</v>
      </c>
      <c r="AH197" t="e">
        <f t="shared" si="22"/>
        <v>#N/A</v>
      </c>
      <c r="AI197">
        <f t="shared" ref="AI197:AI260" si="26">AG197+1</f>
        <v>2</v>
      </c>
      <c r="AJ197">
        <f t="shared" si="23"/>
        <v>11.988125</v>
      </c>
      <c r="AK197">
        <f t="shared" ref="AK197:AK260" si="27">AI197+1</f>
        <v>3</v>
      </c>
      <c r="AL197" t="e">
        <f t="shared" si="24"/>
        <v>#N/A</v>
      </c>
      <c r="AM197">
        <f t="shared" ref="AM197:AM260" si="28">AK197+1</f>
        <v>4</v>
      </c>
      <c r="AN197" t="e">
        <f t="shared" si="25"/>
        <v>#N/A</v>
      </c>
    </row>
    <row r="198" spans="1:40" x14ac:dyDescent="0.25">
      <c r="A198">
        <v>197</v>
      </c>
      <c r="B198">
        <f ca="1">SMALL(dados!A$23:A$422,A198)</f>
        <v>0.50770301711619459</v>
      </c>
      <c r="C198">
        <f ca="1">VLOOKUP(B198,dados!A$23:E$422,4,0)</f>
        <v>1</v>
      </c>
      <c r="D198">
        <f ca="1">VLOOKUP(B198,dados!A$23:E$422,5,0)</f>
        <v>9</v>
      </c>
      <c r="E198">
        <f ca="1">COUNTIF(C$2:C198,1)</f>
        <v>141</v>
      </c>
      <c r="F198">
        <f ca="1">COUNTIF(C$2:C198,2)</f>
        <v>35</v>
      </c>
      <c r="G198">
        <f ca="1">COUNTIF(C$2:C198,3)</f>
        <v>21</v>
      </c>
      <c r="L198">
        <v>195</v>
      </c>
      <c r="M198">
        <v>16.342500000000001</v>
      </c>
      <c r="N198">
        <v>15.574375</v>
      </c>
      <c r="O198">
        <v>15.100708333333332</v>
      </c>
      <c r="P198">
        <v>14.515993055555557</v>
      </c>
      <c r="AG198">
        <v>1</v>
      </c>
      <c r="AH198" t="e">
        <f t="shared" si="22"/>
        <v>#N/A</v>
      </c>
      <c r="AI198">
        <f t="shared" si="26"/>
        <v>2</v>
      </c>
      <c r="AJ198" t="e">
        <f t="shared" si="23"/>
        <v>#N/A</v>
      </c>
      <c r="AK198">
        <f t="shared" si="27"/>
        <v>3</v>
      </c>
      <c r="AL198" t="e">
        <f t="shared" si="24"/>
        <v>#N/A</v>
      </c>
      <c r="AM198">
        <f t="shared" si="28"/>
        <v>4</v>
      </c>
      <c r="AN198" t="e">
        <f t="shared" si="25"/>
        <v>#N/A</v>
      </c>
    </row>
    <row r="199" spans="1:40" x14ac:dyDescent="0.25">
      <c r="A199">
        <v>198</v>
      </c>
      <c r="B199">
        <f ca="1">SMALL(dados!A$23:A$422,A199)</f>
        <v>0.5110951573887913</v>
      </c>
      <c r="C199">
        <f ca="1">VLOOKUP(B199,dados!A$23:E$422,4,0)</f>
        <v>1</v>
      </c>
      <c r="D199">
        <f ca="1">VLOOKUP(B199,dados!A$23:E$422,5,0)</f>
        <v>11</v>
      </c>
      <c r="E199">
        <f ca="1">COUNTIF(C$2:C199,1)</f>
        <v>142</v>
      </c>
      <c r="F199">
        <f ca="1">COUNTIF(C$2:C199,2)</f>
        <v>35</v>
      </c>
      <c r="G199">
        <f ca="1">COUNTIF(C$2:C199,3)</f>
        <v>21</v>
      </c>
      <c r="L199">
        <v>196</v>
      </c>
      <c r="M199">
        <v>16.5275</v>
      </c>
      <c r="N199">
        <v>16.793749999999999</v>
      </c>
      <c r="O199">
        <v>15.465486111111112</v>
      </c>
      <c r="P199">
        <v>14.333520833333331</v>
      </c>
      <c r="AG199">
        <v>1</v>
      </c>
      <c r="AH199" t="e">
        <f t="shared" si="22"/>
        <v>#N/A</v>
      </c>
      <c r="AI199">
        <f t="shared" si="26"/>
        <v>2</v>
      </c>
      <c r="AJ199">
        <f t="shared" si="23"/>
        <v>16.793749999999999</v>
      </c>
      <c r="AK199">
        <f t="shared" si="27"/>
        <v>3</v>
      </c>
      <c r="AL199">
        <f t="shared" si="24"/>
        <v>15.465486111111112</v>
      </c>
      <c r="AM199">
        <f t="shared" si="28"/>
        <v>4</v>
      </c>
      <c r="AN199" t="e">
        <f t="shared" si="25"/>
        <v>#N/A</v>
      </c>
    </row>
    <row r="200" spans="1:40" x14ac:dyDescent="0.25">
      <c r="A200">
        <v>199</v>
      </c>
      <c r="B200">
        <f ca="1">SMALL(dados!A$23:A$422,A200)</f>
        <v>0.51112036894845281</v>
      </c>
      <c r="C200">
        <f ca="1">VLOOKUP(B200,dados!A$23:E$422,4,0)</f>
        <v>1</v>
      </c>
      <c r="D200">
        <f ca="1">VLOOKUP(B200,dados!A$23:E$422,5,0)</f>
        <v>15</v>
      </c>
      <c r="E200">
        <f ca="1">COUNTIF(C$2:C200,1)</f>
        <v>143</v>
      </c>
      <c r="F200">
        <f ca="1">COUNTIF(C$2:C200,2)</f>
        <v>35</v>
      </c>
      <c r="G200">
        <f ca="1">COUNTIF(C$2:C200,3)</f>
        <v>21</v>
      </c>
      <c r="L200">
        <v>197</v>
      </c>
      <c r="M200">
        <v>15.265000000000001</v>
      </c>
      <c r="N200">
        <v>14.380625</v>
      </c>
      <c r="O200">
        <v>14.704416666666667</v>
      </c>
      <c r="P200">
        <v>14.506625</v>
      </c>
      <c r="AG200">
        <v>1</v>
      </c>
      <c r="AH200" t="e">
        <f t="shared" si="22"/>
        <v>#N/A</v>
      </c>
      <c r="AI200">
        <f t="shared" si="26"/>
        <v>2</v>
      </c>
      <c r="AJ200" t="e">
        <f t="shared" si="23"/>
        <v>#N/A</v>
      </c>
      <c r="AK200">
        <f t="shared" si="27"/>
        <v>3</v>
      </c>
      <c r="AL200" t="e">
        <f t="shared" si="24"/>
        <v>#N/A</v>
      </c>
      <c r="AM200">
        <f t="shared" si="28"/>
        <v>4</v>
      </c>
      <c r="AN200" t="e">
        <f t="shared" si="25"/>
        <v>#N/A</v>
      </c>
    </row>
    <row r="201" spans="1:40" x14ac:dyDescent="0.25">
      <c r="A201">
        <v>200</v>
      </c>
      <c r="B201">
        <f ca="1">SMALL(dados!A$23:A$422,A201)</f>
        <v>0.51250792766934838</v>
      </c>
      <c r="C201">
        <f ca="1">VLOOKUP(B201,dados!A$23:E$422,4,0)</f>
        <v>1</v>
      </c>
      <c r="D201">
        <f ca="1">VLOOKUP(B201,dados!A$23:E$422,5,0)</f>
        <v>8</v>
      </c>
      <c r="E201">
        <f ca="1">COUNTIF(C$2:C201,1)</f>
        <v>144</v>
      </c>
      <c r="F201">
        <f ca="1">COUNTIF(C$2:C201,2)</f>
        <v>35</v>
      </c>
      <c r="G201">
        <f ca="1">COUNTIF(C$2:C201,3)</f>
        <v>21</v>
      </c>
      <c r="L201">
        <v>198</v>
      </c>
      <c r="M201">
        <v>14.3575</v>
      </c>
      <c r="N201">
        <v>13.616250000000001</v>
      </c>
      <c r="O201">
        <v>13.962861111111113</v>
      </c>
      <c r="P201">
        <v>13.494458333333334</v>
      </c>
      <c r="AG201">
        <v>1</v>
      </c>
      <c r="AH201" t="e">
        <f t="shared" si="22"/>
        <v>#N/A</v>
      </c>
      <c r="AI201">
        <f t="shared" si="26"/>
        <v>2</v>
      </c>
      <c r="AJ201" t="e">
        <f t="shared" si="23"/>
        <v>#N/A</v>
      </c>
      <c r="AK201">
        <f t="shared" si="27"/>
        <v>3</v>
      </c>
      <c r="AL201" t="e">
        <f t="shared" si="24"/>
        <v>#N/A</v>
      </c>
      <c r="AM201">
        <f t="shared" si="28"/>
        <v>4</v>
      </c>
      <c r="AN201" t="e">
        <f t="shared" si="25"/>
        <v>#N/A</v>
      </c>
    </row>
    <row r="202" spans="1:40" x14ac:dyDescent="0.25">
      <c r="A202">
        <v>201</v>
      </c>
      <c r="B202">
        <f ca="1">SMALL(dados!A$23:A$422,A202)</f>
        <v>0.51297962761020532</v>
      </c>
      <c r="C202">
        <f ca="1">VLOOKUP(B202,dados!A$23:E$422,4,0)</f>
        <v>1</v>
      </c>
      <c r="D202">
        <f ca="1">VLOOKUP(B202,dados!A$23:E$422,5,0)</f>
        <v>8</v>
      </c>
      <c r="E202">
        <f ca="1">COUNTIF(C$2:C202,1)</f>
        <v>145</v>
      </c>
      <c r="F202">
        <f ca="1">COUNTIF(C$2:C202,2)</f>
        <v>35</v>
      </c>
      <c r="G202">
        <f ca="1">COUNTIF(C$2:C202,3)</f>
        <v>21</v>
      </c>
      <c r="L202">
        <v>199</v>
      </c>
      <c r="M202">
        <v>13.5425</v>
      </c>
      <c r="N202">
        <v>13.41625</v>
      </c>
      <c r="O202">
        <v>13.935833333333333</v>
      </c>
      <c r="P202">
        <v>13.685333333333336</v>
      </c>
      <c r="AG202">
        <v>1</v>
      </c>
      <c r="AH202" t="e">
        <f t="shared" si="22"/>
        <v>#N/A</v>
      </c>
      <c r="AI202">
        <f t="shared" si="26"/>
        <v>2</v>
      </c>
      <c r="AJ202" t="e">
        <f t="shared" si="23"/>
        <v>#N/A</v>
      </c>
      <c r="AK202">
        <f t="shared" si="27"/>
        <v>3</v>
      </c>
      <c r="AL202" t="e">
        <f t="shared" si="24"/>
        <v>#N/A</v>
      </c>
      <c r="AM202">
        <f t="shared" si="28"/>
        <v>4</v>
      </c>
      <c r="AN202" t="e">
        <f t="shared" si="25"/>
        <v>#N/A</v>
      </c>
    </row>
    <row r="203" spans="1:40" x14ac:dyDescent="0.25">
      <c r="A203">
        <v>202</v>
      </c>
      <c r="B203">
        <f ca="1">SMALL(dados!A$23:A$422,A203)</f>
        <v>0.51347887144394788</v>
      </c>
      <c r="C203">
        <f ca="1">VLOOKUP(B203,dados!A$23:E$422,4,0)</f>
        <v>1</v>
      </c>
      <c r="D203">
        <f ca="1">VLOOKUP(B203,dados!A$23:E$422,5,0)</f>
        <v>13</v>
      </c>
      <c r="E203">
        <f ca="1">COUNTIF(C$2:C203,1)</f>
        <v>146</v>
      </c>
      <c r="F203">
        <f ca="1">COUNTIF(C$2:C203,2)</f>
        <v>35</v>
      </c>
      <c r="G203">
        <f ca="1">COUNTIF(C$2:C203,3)</f>
        <v>21</v>
      </c>
      <c r="L203">
        <v>200</v>
      </c>
      <c r="M203">
        <v>15.885</v>
      </c>
      <c r="N203">
        <v>14.996874999999999</v>
      </c>
      <c r="O203">
        <v>14.531597222222222</v>
      </c>
      <c r="P203">
        <v>14.125</v>
      </c>
      <c r="AG203">
        <v>1</v>
      </c>
      <c r="AH203" t="e">
        <f t="shared" si="22"/>
        <v>#N/A</v>
      </c>
      <c r="AI203">
        <f t="shared" si="26"/>
        <v>2</v>
      </c>
      <c r="AJ203" t="e">
        <f t="shared" si="23"/>
        <v>#N/A</v>
      </c>
      <c r="AK203">
        <f t="shared" si="27"/>
        <v>3</v>
      </c>
      <c r="AL203" t="e">
        <f t="shared" si="24"/>
        <v>#N/A</v>
      </c>
      <c r="AM203">
        <f t="shared" si="28"/>
        <v>4</v>
      </c>
      <c r="AN203" t="e">
        <f t="shared" si="25"/>
        <v>#N/A</v>
      </c>
    </row>
    <row r="204" spans="1:40" x14ac:dyDescent="0.25">
      <c r="A204">
        <v>203</v>
      </c>
      <c r="B204">
        <f ca="1">SMALL(dados!A$23:A$422,A204)</f>
        <v>0.51480361028587973</v>
      </c>
      <c r="C204">
        <f ca="1">VLOOKUP(B204,dados!A$23:E$422,4,0)</f>
        <v>1</v>
      </c>
      <c r="D204">
        <f ca="1">VLOOKUP(B204,dados!A$23:E$422,5,0)</f>
        <v>11</v>
      </c>
      <c r="E204">
        <f ca="1">COUNTIF(C$2:C204,1)</f>
        <v>147</v>
      </c>
      <c r="F204">
        <f ca="1">COUNTIF(C$2:C204,2)</f>
        <v>35</v>
      </c>
      <c r="G204">
        <f ca="1">COUNTIF(C$2:C204,3)</f>
        <v>21</v>
      </c>
      <c r="L204">
        <v>201</v>
      </c>
      <c r="M204">
        <v>13.018750000000001</v>
      </c>
      <c r="N204">
        <v>13.729374999999999</v>
      </c>
      <c r="O204">
        <v>13.46451388888889</v>
      </c>
      <c r="P204">
        <v>13.564118055555557</v>
      </c>
      <c r="AG204">
        <v>1</v>
      </c>
      <c r="AH204" t="e">
        <f t="shared" si="22"/>
        <v>#N/A</v>
      </c>
      <c r="AI204">
        <f t="shared" si="26"/>
        <v>2</v>
      </c>
      <c r="AJ204" t="e">
        <f t="shared" si="23"/>
        <v>#N/A</v>
      </c>
      <c r="AK204">
        <f t="shared" si="27"/>
        <v>3</v>
      </c>
      <c r="AL204" t="e">
        <f t="shared" si="24"/>
        <v>#N/A</v>
      </c>
      <c r="AM204">
        <f t="shared" si="28"/>
        <v>4</v>
      </c>
      <c r="AN204" t="e">
        <f t="shared" si="25"/>
        <v>#N/A</v>
      </c>
    </row>
    <row r="205" spans="1:40" x14ac:dyDescent="0.25">
      <c r="A205">
        <v>204</v>
      </c>
      <c r="B205">
        <f ca="1">SMALL(dados!A$23:A$422,A205)</f>
        <v>0.51492721165240707</v>
      </c>
      <c r="C205">
        <f ca="1">VLOOKUP(B205,dados!A$23:E$422,4,0)</f>
        <v>3</v>
      </c>
      <c r="D205">
        <f ca="1">VLOOKUP(B205,dados!A$23:E$422,5,0)</f>
        <v>23</v>
      </c>
      <c r="E205">
        <f ca="1">COUNTIF(C$2:C205,1)</f>
        <v>147</v>
      </c>
      <c r="F205">
        <f ca="1">COUNTIF(C$2:C205,2)</f>
        <v>35</v>
      </c>
      <c r="G205">
        <f ca="1">COUNTIF(C$2:C205,3)</f>
        <v>22</v>
      </c>
      <c r="L205">
        <v>202</v>
      </c>
      <c r="M205">
        <v>14.657500000000001</v>
      </c>
      <c r="N205">
        <v>14.613125</v>
      </c>
      <c r="O205">
        <v>13.784791666666667</v>
      </c>
      <c r="P205">
        <v>13.690465277777777</v>
      </c>
      <c r="AG205">
        <v>1</v>
      </c>
      <c r="AH205" t="e">
        <f t="shared" si="22"/>
        <v>#N/A</v>
      </c>
      <c r="AI205">
        <f t="shared" si="26"/>
        <v>2</v>
      </c>
      <c r="AJ205" t="e">
        <f t="shared" si="23"/>
        <v>#N/A</v>
      </c>
      <c r="AK205">
        <f t="shared" si="27"/>
        <v>3</v>
      </c>
      <c r="AL205" t="e">
        <f t="shared" si="24"/>
        <v>#N/A</v>
      </c>
      <c r="AM205">
        <f t="shared" si="28"/>
        <v>4</v>
      </c>
      <c r="AN205" t="e">
        <f t="shared" si="25"/>
        <v>#N/A</v>
      </c>
    </row>
    <row r="206" spans="1:40" x14ac:dyDescent="0.25">
      <c r="A206">
        <v>205</v>
      </c>
      <c r="B206">
        <f ca="1">SMALL(dados!A$23:A$422,A206)</f>
        <v>0.51693942563801665</v>
      </c>
      <c r="C206">
        <f ca="1">VLOOKUP(B206,dados!A$23:E$422,4,0)</f>
        <v>1</v>
      </c>
      <c r="D206">
        <f ca="1">VLOOKUP(B206,dados!A$23:E$422,5,0)</f>
        <v>8</v>
      </c>
      <c r="E206">
        <f ca="1">COUNTIF(C$2:C206,1)</f>
        <v>148</v>
      </c>
      <c r="F206">
        <f ca="1">COUNTIF(C$2:C206,2)</f>
        <v>35</v>
      </c>
      <c r="G206">
        <f ca="1">COUNTIF(C$2:C206,3)</f>
        <v>22</v>
      </c>
      <c r="L206">
        <v>203</v>
      </c>
      <c r="M206">
        <v>13.4975</v>
      </c>
      <c r="N206">
        <v>13.886875</v>
      </c>
      <c r="O206">
        <v>14.247208333333335</v>
      </c>
      <c r="P206">
        <v>14.566020833333335</v>
      </c>
      <c r="AG206">
        <v>1</v>
      </c>
      <c r="AH206" t="e">
        <f t="shared" si="22"/>
        <v>#N/A</v>
      </c>
      <c r="AI206">
        <f t="shared" si="26"/>
        <v>2</v>
      </c>
      <c r="AJ206" t="e">
        <f t="shared" si="23"/>
        <v>#N/A</v>
      </c>
      <c r="AK206">
        <f t="shared" si="27"/>
        <v>3</v>
      </c>
      <c r="AL206" t="e">
        <f t="shared" si="24"/>
        <v>#N/A</v>
      </c>
      <c r="AM206">
        <f t="shared" si="28"/>
        <v>4</v>
      </c>
      <c r="AN206" t="e">
        <f t="shared" si="25"/>
        <v>#N/A</v>
      </c>
    </row>
    <row r="207" spans="1:40" x14ac:dyDescent="0.25">
      <c r="A207">
        <v>206</v>
      </c>
      <c r="B207">
        <f ca="1">SMALL(dados!A$23:A$422,A207)</f>
        <v>0.51917050779180107</v>
      </c>
      <c r="C207">
        <f ca="1">VLOOKUP(B207,dados!A$23:E$422,4,0)</f>
        <v>1</v>
      </c>
      <c r="D207">
        <f ca="1">VLOOKUP(B207,dados!A$23:E$422,5,0)</f>
        <v>11</v>
      </c>
      <c r="E207">
        <f ca="1">COUNTIF(C$2:C207,1)</f>
        <v>149</v>
      </c>
      <c r="F207">
        <f ca="1">COUNTIF(C$2:C207,2)</f>
        <v>35</v>
      </c>
      <c r="G207">
        <f ca="1">COUNTIF(C$2:C207,3)</f>
        <v>22</v>
      </c>
      <c r="L207">
        <v>204</v>
      </c>
      <c r="M207">
        <v>15.366250000000001</v>
      </c>
      <c r="N207">
        <v>14.379375</v>
      </c>
      <c r="O207">
        <v>14.363722222222222</v>
      </c>
      <c r="P207">
        <v>14.360875</v>
      </c>
      <c r="AG207">
        <v>1</v>
      </c>
      <c r="AH207" t="e">
        <f t="shared" si="22"/>
        <v>#N/A</v>
      </c>
      <c r="AI207">
        <f t="shared" si="26"/>
        <v>2</v>
      </c>
      <c r="AJ207" t="e">
        <f t="shared" si="23"/>
        <v>#N/A</v>
      </c>
      <c r="AK207">
        <f t="shared" si="27"/>
        <v>3</v>
      </c>
      <c r="AL207" t="e">
        <f t="shared" si="24"/>
        <v>#N/A</v>
      </c>
      <c r="AM207">
        <f t="shared" si="28"/>
        <v>4</v>
      </c>
      <c r="AN207" t="e">
        <f t="shared" si="25"/>
        <v>#N/A</v>
      </c>
    </row>
    <row r="208" spans="1:40" x14ac:dyDescent="0.25">
      <c r="A208">
        <v>207</v>
      </c>
      <c r="B208">
        <f ca="1">SMALL(dados!A$23:A$422,A208)</f>
        <v>0.51938581891085045</v>
      </c>
      <c r="C208">
        <f ca="1">VLOOKUP(B208,dados!A$23:E$422,4,0)</f>
        <v>1</v>
      </c>
      <c r="D208">
        <f ca="1">VLOOKUP(B208,dados!A$23:E$422,5,0)</f>
        <v>8</v>
      </c>
      <c r="E208">
        <f ca="1">COUNTIF(C$2:C208,1)</f>
        <v>150</v>
      </c>
      <c r="F208">
        <f ca="1">COUNTIF(C$2:C208,2)</f>
        <v>35</v>
      </c>
      <c r="G208">
        <f ca="1">COUNTIF(C$2:C208,3)</f>
        <v>22</v>
      </c>
      <c r="L208">
        <v>205</v>
      </c>
      <c r="M208">
        <v>14.543749999999999</v>
      </c>
      <c r="N208">
        <v>15.178750000000001</v>
      </c>
      <c r="O208">
        <v>13.895555555555557</v>
      </c>
      <c r="P208">
        <v>13.903986111111109</v>
      </c>
      <c r="AG208">
        <v>1</v>
      </c>
      <c r="AH208" t="e">
        <f t="shared" si="22"/>
        <v>#N/A</v>
      </c>
      <c r="AI208">
        <f t="shared" si="26"/>
        <v>2</v>
      </c>
      <c r="AJ208" t="e">
        <f t="shared" si="23"/>
        <v>#N/A</v>
      </c>
      <c r="AK208">
        <f t="shared" si="27"/>
        <v>3</v>
      </c>
      <c r="AL208" t="e">
        <f t="shared" si="24"/>
        <v>#N/A</v>
      </c>
      <c r="AM208">
        <f t="shared" si="28"/>
        <v>4</v>
      </c>
      <c r="AN208" t="e">
        <f t="shared" si="25"/>
        <v>#N/A</v>
      </c>
    </row>
    <row r="209" spans="1:40" x14ac:dyDescent="0.25">
      <c r="A209">
        <v>208</v>
      </c>
      <c r="B209">
        <f ca="1">SMALL(dados!A$23:A$422,A209)</f>
        <v>0.51950388514616141</v>
      </c>
      <c r="C209">
        <f ca="1">VLOOKUP(B209,dados!A$23:E$422,4,0)</f>
        <v>2</v>
      </c>
      <c r="D209">
        <f ca="1">VLOOKUP(B209,dados!A$23:E$422,5,0)</f>
        <v>21</v>
      </c>
      <c r="E209">
        <f ca="1">COUNTIF(C$2:C209,1)</f>
        <v>150</v>
      </c>
      <c r="F209">
        <f ca="1">COUNTIF(C$2:C209,2)</f>
        <v>36</v>
      </c>
      <c r="G209">
        <f ca="1">COUNTIF(C$2:C209,3)</f>
        <v>22</v>
      </c>
      <c r="L209">
        <v>206</v>
      </c>
      <c r="M209">
        <v>15.03125</v>
      </c>
      <c r="N209">
        <v>14.843125000000001</v>
      </c>
      <c r="O209">
        <v>14.088111111111111</v>
      </c>
      <c r="P209">
        <v>13.995291666666665</v>
      </c>
      <c r="AG209">
        <v>1</v>
      </c>
      <c r="AH209" t="e">
        <f t="shared" si="22"/>
        <v>#N/A</v>
      </c>
      <c r="AI209">
        <f t="shared" si="26"/>
        <v>2</v>
      </c>
      <c r="AJ209" t="e">
        <f t="shared" si="23"/>
        <v>#N/A</v>
      </c>
      <c r="AK209">
        <f t="shared" si="27"/>
        <v>3</v>
      </c>
      <c r="AL209" t="e">
        <f t="shared" si="24"/>
        <v>#N/A</v>
      </c>
      <c r="AM209">
        <f t="shared" si="28"/>
        <v>4</v>
      </c>
      <c r="AN209" t="e">
        <f t="shared" si="25"/>
        <v>#N/A</v>
      </c>
    </row>
    <row r="210" spans="1:40" x14ac:dyDescent="0.25">
      <c r="A210">
        <v>209</v>
      </c>
      <c r="B210">
        <f ca="1">SMALL(dados!A$23:A$422,A210)</f>
        <v>0.52186108450867552</v>
      </c>
      <c r="C210">
        <f ca="1">VLOOKUP(B210,dados!A$23:E$422,4,0)</f>
        <v>1</v>
      </c>
      <c r="D210">
        <f ca="1">VLOOKUP(B210,dados!A$23:E$422,5,0)</f>
        <v>10</v>
      </c>
      <c r="E210">
        <f ca="1">COUNTIF(C$2:C210,1)</f>
        <v>151</v>
      </c>
      <c r="F210">
        <f ca="1">COUNTIF(C$2:C210,2)</f>
        <v>36</v>
      </c>
      <c r="G210">
        <f ca="1">COUNTIF(C$2:C210,3)</f>
        <v>22</v>
      </c>
      <c r="L210">
        <v>207</v>
      </c>
      <c r="M210">
        <v>13.96875</v>
      </c>
      <c r="N210">
        <v>14.44</v>
      </c>
      <c r="O210">
        <v>14.731805555555557</v>
      </c>
      <c r="P210">
        <v>14.2291875</v>
      </c>
      <c r="AG210">
        <v>1</v>
      </c>
      <c r="AH210" t="e">
        <f t="shared" si="22"/>
        <v>#N/A</v>
      </c>
      <c r="AI210">
        <f t="shared" si="26"/>
        <v>2</v>
      </c>
      <c r="AJ210" t="e">
        <f t="shared" si="23"/>
        <v>#N/A</v>
      </c>
      <c r="AK210">
        <f t="shared" si="27"/>
        <v>3</v>
      </c>
      <c r="AL210" t="e">
        <f t="shared" si="24"/>
        <v>#N/A</v>
      </c>
      <c r="AM210">
        <f t="shared" si="28"/>
        <v>4</v>
      </c>
      <c r="AN210" t="e">
        <f t="shared" si="25"/>
        <v>#N/A</v>
      </c>
    </row>
    <row r="211" spans="1:40" x14ac:dyDescent="0.25">
      <c r="A211">
        <v>210</v>
      </c>
      <c r="B211">
        <f ca="1">SMALL(dados!A$23:A$422,A211)</f>
        <v>0.52279274821263677</v>
      </c>
      <c r="C211">
        <f ca="1">VLOOKUP(B211,dados!A$23:E$422,4,0)</f>
        <v>3</v>
      </c>
      <c r="D211">
        <f ca="1">VLOOKUP(B211,dados!A$23:E$422,5,0)</f>
        <v>33</v>
      </c>
      <c r="E211">
        <f ca="1">COUNTIF(C$2:C211,1)</f>
        <v>151</v>
      </c>
      <c r="F211">
        <f ca="1">COUNTIF(C$2:C211,2)</f>
        <v>36</v>
      </c>
      <c r="G211">
        <f ca="1">COUNTIF(C$2:C211,3)</f>
        <v>23</v>
      </c>
      <c r="L211">
        <v>208</v>
      </c>
      <c r="M211">
        <v>13.82375</v>
      </c>
      <c r="N211">
        <v>14.288125000000001</v>
      </c>
      <c r="O211">
        <v>14.060166666666664</v>
      </c>
      <c r="P211">
        <v>13.888659722222222</v>
      </c>
      <c r="AG211">
        <v>1</v>
      </c>
      <c r="AH211" t="e">
        <f t="shared" si="22"/>
        <v>#N/A</v>
      </c>
      <c r="AI211">
        <f t="shared" si="26"/>
        <v>2</v>
      </c>
      <c r="AJ211" t="e">
        <f t="shared" si="23"/>
        <v>#N/A</v>
      </c>
      <c r="AK211">
        <f t="shared" si="27"/>
        <v>3</v>
      </c>
      <c r="AL211" t="e">
        <f t="shared" si="24"/>
        <v>#N/A</v>
      </c>
      <c r="AM211">
        <f t="shared" si="28"/>
        <v>4</v>
      </c>
      <c r="AN211" t="e">
        <f t="shared" si="25"/>
        <v>#N/A</v>
      </c>
    </row>
    <row r="212" spans="1:40" x14ac:dyDescent="0.25">
      <c r="A212">
        <v>211</v>
      </c>
      <c r="B212">
        <f ca="1">SMALL(dados!A$23:A$422,A212)</f>
        <v>0.52704182517905573</v>
      </c>
      <c r="C212">
        <f ca="1">VLOOKUP(B212,dados!A$23:E$422,4,0)</f>
        <v>1</v>
      </c>
      <c r="D212">
        <f ca="1">VLOOKUP(B212,dados!A$23:E$422,5,0)</f>
        <v>9</v>
      </c>
      <c r="E212">
        <f ca="1">COUNTIF(C$2:C212,1)</f>
        <v>152</v>
      </c>
      <c r="F212">
        <f ca="1">COUNTIF(C$2:C212,2)</f>
        <v>36</v>
      </c>
      <c r="G212">
        <f ca="1">COUNTIF(C$2:C212,3)</f>
        <v>23</v>
      </c>
      <c r="L212">
        <v>209</v>
      </c>
      <c r="M212">
        <v>13.64</v>
      </c>
      <c r="N212">
        <v>14.333125000000001</v>
      </c>
      <c r="O212">
        <v>14.340819444444445</v>
      </c>
      <c r="P212">
        <v>14.320131944444443</v>
      </c>
      <c r="AG212">
        <v>1</v>
      </c>
      <c r="AH212" t="e">
        <f t="shared" si="22"/>
        <v>#N/A</v>
      </c>
      <c r="AI212">
        <f t="shared" si="26"/>
        <v>2</v>
      </c>
      <c r="AJ212" t="e">
        <f t="shared" si="23"/>
        <v>#N/A</v>
      </c>
      <c r="AK212">
        <f t="shared" si="27"/>
        <v>3</v>
      </c>
      <c r="AL212" t="e">
        <f t="shared" si="24"/>
        <v>#N/A</v>
      </c>
      <c r="AM212">
        <f t="shared" si="28"/>
        <v>4</v>
      </c>
      <c r="AN212" t="e">
        <f t="shared" si="25"/>
        <v>#N/A</v>
      </c>
    </row>
    <row r="213" spans="1:40" x14ac:dyDescent="0.25">
      <c r="A213">
        <v>212</v>
      </c>
      <c r="B213">
        <f ca="1">SMALL(dados!A$23:A$422,A213)</f>
        <v>0.52960018250392704</v>
      </c>
      <c r="C213">
        <f ca="1">VLOOKUP(B213,dados!A$23:E$422,4,0)</f>
        <v>1</v>
      </c>
      <c r="D213">
        <f ca="1">VLOOKUP(B213,dados!A$23:E$422,5,0)</f>
        <v>11</v>
      </c>
      <c r="E213">
        <f ca="1">COUNTIF(C$2:C213,1)</f>
        <v>153</v>
      </c>
      <c r="F213">
        <f ca="1">COUNTIF(C$2:C213,2)</f>
        <v>36</v>
      </c>
      <c r="G213">
        <f ca="1">COUNTIF(C$2:C213,3)</f>
        <v>23</v>
      </c>
      <c r="L213">
        <v>210</v>
      </c>
      <c r="M213">
        <v>14.7925</v>
      </c>
      <c r="N213">
        <v>14.641875000000001</v>
      </c>
      <c r="O213">
        <v>14.712222222222222</v>
      </c>
      <c r="P213">
        <v>14.036875</v>
      </c>
      <c r="AG213">
        <v>1</v>
      </c>
      <c r="AH213" t="e">
        <f t="shared" si="22"/>
        <v>#N/A</v>
      </c>
      <c r="AI213">
        <f t="shared" si="26"/>
        <v>2</v>
      </c>
      <c r="AJ213" t="e">
        <f t="shared" si="23"/>
        <v>#N/A</v>
      </c>
      <c r="AK213">
        <f t="shared" si="27"/>
        <v>3</v>
      </c>
      <c r="AL213" t="e">
        <f t="shared" si="24"/>
        <v>#N/A</v>
      </c>
      <c r="AM213">
        <f t="shared" si="28"/>
        <v>4</v>
      </c>
      <c r="AN213" t="e">
        <f t="shared" si="25"/>
        <v>#N/A</v>
      </c>
    </row>
    <row r="214" spans="1:40" x14ac:dyDescent="0.25">
      <c r="A214">
        <v>213</v>
      </c>
      <c r="B214">
        <f ca="1">SMALL(dados!A$23:A$422,A214)</f>
        <v>0.53121963752121781</v>
      </c>
      <c r="C214">
        <f ca="1">VLOOKUP(B214,dados!A$23:E$422,4,0)</f>
        <v>1</v>
      </c>
      <c r="D214">
        <f ca="1">VLOOKUP(B214,dados!A$23:E$422,5,0)</f>
        <v>11</v>
      </c>
      <c r="E214">
        <f ca="1">COUNTIF(C$2:C214,1)</f>
        <v>154</v>
      </c>
      <c r="F214">
        <f ca="1">COUNTIF(C$2:C214,2)</f>
        <v>36</v>
      </c>
      <c r="G214">
        <f ca="1">COUNTIF(C$2:C214,3)</f>
        <v>23</v>
      </c>
      <c r="L214">
        <v>211</v>
      </c>
      <c r="M214">
        <v>15.678750000000001</v>
      </c>
      <c r="N214">
        <v>15.067500000000001</v>
      </c>
      <c r="O214">
        <v>14.592374999999999</v>
      </c>
      <c r="P214">
        <v>14.174444444444443</v>
      </c>
      <c r="AG214">
        <v>1</v>
      </c>
      <c r="AH214" t="e">
        <f t="shared" si="22"/>
        <v>#N/A</v>
      </c>
      <c r="AI214">
        <f t="shared" si="26"/>
        <v>2</v>
      </c>
      <c r="AJ214" t="e">
        <f t="shared" si="23"/>
        <v>#N/A</v>
      </c>
      <c r="AK214">
        <f t="shared" si="27"/>
        <v>3</v>
      </c>
      <c r="AL214" t="e">
        <f t="shared" si="24"/>
        <v>#N/A</v>
      </c>
      <c r="AM214">
        <f t="shared" si="28"/>
        <v>4</v>
      </c>
      <c r="AN214" t="e">
        <f t="shared" si="25"/>
        <v>#N/A</v>
      </c>
    </row>
    <row r="215" spans="1:40" x14ac:dyDescent="0.25">
      <c r="A215">
        <v>214</v>
      </c>
      <c r="B215">
        <f ca="1">SMALL(dados!A$23:A$422,A215)</f>
        <v>0.53155151687157431</v>
      </c>
      <c r="C215">
        <f ca="1">VLOOKUP(B215,dados!A$23:E$422,4,0)</f>
        <v>3</v>
      </c>
      <c r="D215">
        <f ca="1">VLOOKUP(B215,dados!A$23:E$422,5,0)</f>
        <v>25</v>
      </c>
      <c r="E215">
        <f ca="1">COUNTIF(C$2:C215,1)</f>
        <v>154</v>
      </c>
      <c r="F215">
        <f ca="1">COUNTIF(C$2:C215,2)</f>
        <v>36</v>
      </c>
      <c r="G215">
        <f ca="1">COUNTIF(C$2:C215,3)</f>
        <v>24</v>
      </c>
      <c r="L215">
        <v>212</v>
      </c>
      <c r="M215">
        <v>14.15</v>
      </c>
      <c r="N215">
        <v>14.306875</v>
      </c>
      <c r="O215">
        <v>13.757375</v>
      </c>
      <c r="P215">
        <v>14.351576388888889</v>
      </c>
      <c r="AG215">
        <v>1</v>
      </c>
      <c r="AH215" t="e">
        <f t="shared" si="22"/>
        <v>#N/A</v>
      </c>
      <c r="AI215">
        <f t="shared" si="26"/>
        <v>2</v>
      </c>
      <c r="AJ215" t="e">
        <f t="shared" si="23"/>
        <v>#N/A</v>
      </c>
      <c r="AK215">
        <f t="shared" si="27"/>
        <v>3</v>
      </c>
      <c r="AL215" t="e">
        <f t="shared" si="24"/>
        <v>#N/A</v>
      </c>
      <c r="AM215">
        <f t="shared" si="28"/>
        <v>4</v>
      </c>
      <c r="AN215" t="e">
        <f t="shared" si="25"/>
        <v>#N/A</v>
      </c>
    </row>
    <row r="216" spans="1:40" x14ac:dyDescent="0.25">
      <c r="A216">
        <v>215</v>
      </c>
      <c r="B216">
        <f ca="1">SMALL(dados!A$23:A$422,A216)</f>
        <v>0.53343150597707478</v>
      </c>
      <c r="C216">
        <f ca="1">VLOOKUP(B216,dados!A$23:E$422,4,0)</f>
        <v>1</v>
      </c>
      <c r="D216">
        <f ca="1">VLOOKUP(B216,dados!A$23:E$422,5,0)</f>
        <v>5</v>
      </c>
      <c r="E216">
        <f ca="1">COUNTIF(C$2:C216,1)</f>
        <v>155</v>
      </c>
      <c r="F216">
        <f ca="1">COUNTIF(C$2:C216,2)</f>
        <v>36</v>
      </c>
      <c r="G216">
        <f ca="1">COUNTIF(C$2:C216,3)</f>
        <v>24</v>
      </c>
      <c r="L216">
        <v>213</v>
      </c>
      <c r="M216">
        <v>14.45125</v>
      </c>
      <c r="N216">
        <v>14.6425</v>
      </c>
      <c r="O216">
        <v>15.079361111111114</v>
      </c>
      <c r="P216">
        <v>14.435076388888893</v>
      </c>
      <c r="AG216">
        <v>1</v>
      </c>
      <c r="AH216" t="e">
        <f t="shared" si="22"/>
        <v>#N/A</v>
      </c>
      <c r="AI216">
        <f t="shared" si="26"/>
        <v>2</v>
      </c>
      <c r="AJ216" t="e">
        <f t="shared" si="23"/>
        <v>#N/A</v>
      </c>
      <c r="AK216">
        <f t="shared" si="27"/>
        <v>3</v>
      </c>
      <c r="AL216" t="e">
        <f t="shared" si="24"/>
        <v>#N/A</v>
      </c>
      <c r="AM216">
        <f t="shared" si="28"/>
        <v>4</v>
      </c>
      <c r="AN216" t="e">
        <f t="shared" si="25"/>
        <v>#N/A</v>
      </c>
    </row>
    <row r="217" spans="1:40" x14ac:dyDescent="0.25">
      <c r="A217">
        <v>216</v>
      </c>
      <c r="B217">
        <f ca="1">SMALL(dados!A$23:A$422,A217)</f>
        <v>0.53937025461592836</v>
      </c>
      <c r="C217">
        <f ca="1">VLOOKUP(B217,dados!A$23:E$422,4,0)</f>
        <v>1</v>
      </c>
      <c r="D217">
        <f ca="1">VLOOKUP(B217,dados!A$23:E$422,5,0)</f>
        <v>16</v>
      </c>
      <c r="E217">
        <f ca="1">COUNTIF(C$2:C217,1)</f>
        <v>156</v>
      </c>
      <c r="F217">
        <f ca="1">COUNTIF(C$2:C217,2)</f>
        <v>36</v>
      </c>
      <c r="G217">
        <f ca="1">COUNTIF(C$2:C217,3)</f>
        <v>24</v>
      </c>
      <c r="L217">
        <v>214</v>
      </c>
      <c r="M217">
        <v>13.352499999999999</v>
      </c>
      <c r="N217">
        <v>13.946249999999999</v>
      </c>
      <c r="O217">
        <v>14.421680555555556</v>
      </c>
      <c r="P217">
        <v>14.053277777777778</v>
      </c>
      <c r="AG217">
        <v>1</v>
      </c>
      <c r="AH217" t="e">
        <f t="shared" si="22"/>
        <v>#N/A</v>
      </c>
      <c r="AI217">
        <f t="shared" si="26"/>
        <v>2</v>
      </c>
      <c r="AJ217" t="e">
        <f t="shared" si="23"/>
        <v>#N/A</v>
      </c>
      <c r="AK217">
        <f t="shared" si="27"/>
        <v>3</v>
      </c>
      <c r="AL217" t="e">
        <f t="shared" si="24"/>
        <v>#N/A</v>
      </c>
      <c r="AM217">
        <f t="shared" si="28"/>
        <v>4</v>
      </c>
      <c r="AN217" t="e">
        <f t="shared" si="25"/>
        <v>#N/A</v>
      </c>
    </row>
    <row r="218" spans="1:40" x14ac:dyDescent="0.25">
      <c r="A218">
        <v>217</v>
      </c>
      <c r="B218">
        <f ca="1">SMALL(dados!A$23:A$422,A218)</f>
        <v>0.54112745601627488</v>
      </c>
      <c r="C218">
        <f ca="1">VLOOKUP(B218,dados!A$23:E$422,4,0)</f>
        <v>1</v>
      </c>
      <c r="D218">
        <f ca="1">VLOOKUP(B218,dados!A$23:E$422,5,0)</f>
        <v>11</v>
      </c>
      <c r="E218">
        <f ca="1">COUNTIF(C$2:C218,1)</f>
        <v>157</v>
      </c>
      <c r="F218">
        <f ca="1">COUNTIF(C$2:C218,2)</f>
        <v>36</v>
      </c>
      <c r="G218">
        <f ca="1">COUNTIF(C$2:C218,3)</f>
        <v>24</v>
      </c>
      <c r="L218">
        <v>215</v>
      </c>
      <c r="M218">
        <v>13.805</v>
      </c>
      <c r="N218">
        <v>13.661875</v>
      </c>
      <c r="O218">
        <v>14.438902777777777</v>
      </c>
      <c r="P218">
        <v>14.318729166666667</v>
      </c>
      <c r="AG218">
        <v>1</v>
      </c>
      <c r="AH218" t="e">
        <f t="shared" si="22"/>
        <v>#N/A</v>
      </c>
      <c r="AI218">
        <f t="shared" si="26"/>
        <v>2</v>
      </c>
      <c r="AJ218" t="e">
        <f t="shared" si="23"/>
        <v>#N/A</v>
      </c>
      <c r="AK218">
        <f t="shared" si="27"/>
        <v>3</v>
      </c>
      <c r="AL218" t="e">
        <f t="shared" si="24"/>
        <v>#N/A</v>
      </c>
      <c r="AM218">
        <f t="shared" si="28"/>
        <v>4</v>
      </c>
      <c r="AN218" t="e">
        <f t="shared" si="25"/>
        <v>#N/A</v>
      </c>
    </row>
    <row r="219" spans="1:40" x14ac:dyDescent="0.25">
      <c r="A219">
        <v>218</v>
      </c>
      <c r="B219">
        <f ca="1">SMALL(dados!A$23:A$422,A219)</f>
        <v>0.54163665753694901</v>
      </c>
      <c r="C219">
        <f ca="1">VLOOKUP(B219,dados!A$23:E$422,4,0)</f>
        <v>1</v>
      </c>
      <c r="D219">
        <f ca="1">VLOOKUP(B219,dados!A$23:E$422,5,0)</f>
        <v>10</v>
      </c>
      <c r="E219">
        <f ca="1">COUNTIF(C$2:C219,1)</f>
        <v>158</v>
      </c>
      <c r="F219">
        <f ca="1">COUNTIF(C$2:C219,2)</f>
        <v>36</v>
      </c>
      <c r="G219">
        <f ca="1">COUNTIF(C$2:C219,3)</f>
        <v>24</v>
      </c>
      <c r="L219">
        <v>216</v>
      </c>
      <c r="M219">
        <v>12.8925</v>
      </c>
      <c r="N219">
        <v>14.050625</v>
      </c>
      <c r="O219">
        <v>13.918152777777777</v>
      </c>
      <c r="P219">
        <v>14.255861111111107</v>
      </c>
      <c r="AG219">
        <v>1</v>
      </c>
      <c r="AH219" t="e">
        <f t="shared" si="22"/>
        <v>#N/A</v>
      </c>
      <c r="AI219">
        <f t="shared" si="26"/>
        <v>2</v>
      </c>
      <c r="AJ219" t="e">
        <f t="shared" si="23"/>
        <v>#N/A</v>
      </c>
      <c r="AK219">
        <f t="shared" si="27"/>
        <v>3</v>
      </c>
      <c r="AL219" t="e">
        <f t="shared" si="24"/>
        <v>#N/A</v>
      </c>
      <c r="AM219">
        <f t="shared" si="28"/>
        <v>4</v>
      </c>
      <c r="AN219" t="e">
        <f t="shared" si="25"/>
        <v>#N/A</v>
      </c>
    </row>
    <row r="220" spans="1:40" x14ac:dyDescent="0.25">
      <c r="A220">
        <v>219</v>
      </c>
      <c r="B220">
        <f ca="1">SMALL(dados!A$23:A$422,A220)</f>
        <v>0.54761375255332279</v>
      </c>
      <c r="C220">
        <f ca="1">VLOOKUP(B220,dados!A$23:E$422,4,0)</f>
        <v>1</v>
      </c>
      <c r="D220">
        <f ca="1">VLOOKUP(B220,dados!A$23:E$422,5,0)</f>
        <v>11</v>
      </c>
      <c r="E220">
        <f ca="1">COUNTIF(C$2:C220,1)</f>
        <v>159</v>
      </c>
      <c r="F220">
        <f ca="1">COUNTIF(C$2:C220,2)</f>
        <v>36</v>
      </c>
      <c r="G220">
        <f ca="1">COUNTIF(C$2:C220,3)</f>
        <v>24</v>
      </c>
      <c r="L220">
        <v>217</v>
      </c>
      <c r="M220">
        <v>15.481249999999999</v>
      </c>
      <c r="N220">
        <v>15.02</v>
      </c>
      <c r="O220">
        <v>14.416708333333334</v>
      </c>
      <c r="P220">
        <v>14.162812499999999</v>
      </c>
      <c r="AG220">
        <v>1</v>
      </c>
      <c r="AH220" t="e">
        <f t="shared" si="22"/>
        <v>#N/A</v>
      </c>
      <c r="AI220">
        <f t="shared" si="26"/>
        <v>2</v>
      </c>
      <c r="AJ220" t="e">
        <f t="shared" si="23"/>
        <v>#N/A</v>
      </c>
      <c r="AK220">
        <f t="shared" si="27"/>
        <v>3</v>
      </c>
      <c r="AL220" t="e">
        <f t="shared" si="24"/>
        <v>#N/A</v>
      </c>
      <c r="AM220">
        <f t="shared" si="28"/>
        <v>4</v>
      </c>
      <c r="AN220" t="e">
        <f t="shared" si="25"/>
        <v>#N/A</v>
      </c>
    </row>
    <row r="221" spans="1:40" x14ac:dyDescent="0.25">
      <c r="A221">
        <v>220</v>
      </c>
      <c r="B221">
        <f ca="1">SMALL(dados!A$23:A$422,A221)</f>
        <v>0.55076178243813156</v>
      </c>
      <c r="C221">
        <f ca="1">VLOOKUP(B221,dados!A$23:E$422,4,0)</f>
        <v>1</v>
      </c>
      <c r="D221">
        <f ca="1">VLOOKUP(B221,dados!A$23:E$422,5,0)</f>
        <v>4</v>
      </c>
      <c r="E221">
        <f ca="1">COUNTIF(C$2:C221,1)</f>
        <v>160</v>
      </c>
      <c r="F221">
        <f ca="1">COUNTIF(C$2:C221,2)</f>
        <v>36</v>
      </c>
      <c r="G221">
        <f ca="1">COUNTIF(C$2:C221,3)</f>
        <v>24</v>
      </c>
      <c r="L221">
        <v>218</v>
      </c>
      <c r="M221">
        <v>13.561249999999999</v>
      </c>
      <c r="N221">
        <v>12.97</v>
      </c>
      <c r="O221">
        <v>12.772166666666667</v>
      </c>
      <c r="P221">
        <v>13.041388888888887</v>
      </c>
      <c r="AG221">
        <v>1</v>
      </c>
      <c r="AH221" t="e">
        <f t="shared" si="22"/>
        <v>#N/A</v>
      </c>
      <c r="AI221">
        <f t="shared" si="26"/>
        <v>2</v>
      </c>
      <c r="AJ221" t="e">
        <f t="shared" si="23"/>
        <v>#N/A</v>
      </c>
      <c r="AK221">
        <f t="shared" si="27"/>
        <v>3</v>
      </c>
      <c r="AL221" t="e">
        <f t="shared" si="24"/>
        <v>#N/A</v>
      </c>
      <c r="AM221">
        <f t="shared" si="28"/>
        <v>4</v>
      </c>
      <c r="AN221">
        <f t="shared" si="25"/>
        <v>13.041388888888887</v>
      </c>
    </row>
    <row r="222" spans="1:40" x14ac:dyDescent="0.25">
      <c r="A222">
        <v>221</v>
      </c>
      <c r="B222">
        <f ca="1">SMALL(dados!A$23:A$422,A222)</f>
        <v>0.55087220688848282</v>
      </c>
      <c r="C222">
        <f ca="1">VLOOKUP(B222,dados!A$23:E$422,4,0)</f>
        <v>1</v>
      </c>
      <c r="D222">
        <f ca="1">VLOOKUP(B222,dados!A$23:E$422,5,0)</f>
        <v>9</v>
      </c>
      <c r="E222">
        <f ca="1">COUNTIF(C$2:C222,1)</f>
        <v>161</v>
      </c>
      <c r="F222">
        <f ca="1">COUNTIF(C$2:C222,2)</f>
        <v>36</v>
      </c>
      <c r="G222">
        <f ca="1">COUNTIF(C$2:C222,3)</f>
        <v>24</v>
      </c>
      <c r="L222">
        <v>219</v>
      </c>
      <c r="M222">
        <v>15.516249999999999</v>
      </c>
      <c r="N222">
        <v>15.000624999999999</v>
      </c>
      <c r="O222">
        <v>14.350944444444444</v>
      </c>
      <c r="P222">
        <v>14.094055555555556</v>
      </c>
      <c r="AG222">
        <v>1</v>
      </c>
      <c r="AH222" t="e">
        <f t="shared" si="22"/>
        <v>#N/A</v>
      </c>
      <c r="AI222">
        <f t="shared" si="26"/>
        <v>2</v>
      </c>
      <c r="AJ222" t="e">
        <f t="shared" si="23"/>
        <v>#N/A</v>
      </c>
      <c r="AK222">
        <f t="shared" si="27"/>
        <v>3</v>
      </c>
      <c r="AL222" t="e">
        <f t="shared" si="24"/>
        <v>#N/A</v>
      </c>
      <c r="AM222">
        <f t="shared" si="28"/>
        <v>4</v>
      </c>
      <c r="AN222" t="e">
        <f t="shared" si="25"/>
        <v>#N/A</v>
      </c>
    </row>
    <row r="223" spans="1:40" x14ac:dyDescent="0.25">
      <c r="A223">
        <v>222</v>
      </c>
      <c r="B223">
        <f ca="1">SMALL(dados!A$23:A$422,A223)</f>
        <v>0.5561716833222935</v>
      </c>
      <c r="C223">
        <f ca="1">VLOOKUP(B223,dados!A$23:E$422,4,0)</f>
        <v>1</v>
      </c>
      <c r="D223">
        <f ca="1">VLOOKUP(B223,dados!A$23:E$422,5,0)</f>
        <v>9</v>
      </c>
      <c r="E223">
        <f ca="1">COUNTIF(C$2:C223,1)</f>
        <v>162</v>
      </c>
      <c r="F223">
        <f ca="1">COUNTIF(C$2:C223,2)</f>
        <v>36</v>
      </c>
      <c r="G223">
        <f ca="1">COUNTIF(C$2:C223,3)</f>
        <v>24</v>
      </c>
      <c r="L223">
        <v>220</v>
      </c>
      <c r="M223">
        <v>12.87875</v>
      </c>
      <c r="N223">
        <v>13.168749999999999</v>
      </c>
      <c r="O223">
        <v>13.858513888888892</v>
      </c>
      <c r="P223">
        <v>14.011715277777778</v>
      </c>
      <c r="AG223">
        <v>1</v>
      </c>
      <c r="AH223" t="e">
        <f t="shared" si="22"/>
        <v>#N/A</v>
      </c>
      <c r="AI223">
        <f t="shared" si="26"/>
        <v>2</v>
      </c>
      <c r="AJ223" t="e">
        <f t="shared" si="23"/>
        <v>#N/A</v>
      </c>
      <c r="AK223">
        <f t="shared" si="27"/>
        <v>3</v>
      </c>
      <c r="AL223" t="e">
        <f t="shared" si="24"/>
        <v>#N/A</v>
      </c>
      <c r="AM223">
        <f t="shared" si="28"/>
        <v>4</v>
      </c>
      <c r="AN223" t="e">
        <f t="shared" si="25"/>
        <v>#N/A</v>
      </c>
    </row>
    <row r="224" spans="1:40" x14ac:dyDescent="0.25">
      <c r="A224">
        <v>223</v>
      </c>
      <c r="B224">
        <f ca="1">SMALL(dados!A$23:A$422,A224)</f>
        <v>0.55665586173305381</v>
      </c>
      <c r="C224">
        <f ca="1">VLOOKUP(B224,dados!A$23:E$422,4,0)</f>
        <v>1</v>
      </c>
      <c r="D224">
        <f ca="1">VLOOKUP(B224,dados!A$23:E$422,5,0)</f>
        <v>10</v>
      </c>
      <c r="E224">
        <f ca="1">COUNTIF(C$2:C224,1)</f>
        <v>163</v>
      </c>
      <c r="F224">
        <f ca="1">COUNTIF(C$2:C224,2)</f>
        <v>36</v>
      </c>
      <c r="G224">
        <f ca="1">COUNTIF(C$2:C224,3)</f>
        <v>24</v>
      </c>
      <c r="L224">
        <v>221</v>
      </c>
      <c r="M224">
        <v>11.55625</v>
      </c>
      <c r="N224">
        <v>12.06875</v>
      </c>
      <c r="O224">
        <v>13.373375000000001</v>
      </c>
      <c r="P224">
        <v>13.785770833333336</v>
      </c>
      <c r="AG224">
        <v>1</v>
      </c>
      <c r="AH224" t="e">
        <f t="shared" si="22"/>
        <v>#N/A</v>
      </c>
      <c r="AI224">
        <f t="shared" si="26"/>
        <v>2</v>
      </c>
      <c r="AJ224">
        <f t="shared" si="23"/>
        <v>12.06875</v>
      </c>
      <c r="AK224">
        <f t="shared" si="27"/>
        <v>3</v>
      </c>
      <c r="AL224" t="e">
        <f t="shared" si="24"/>
        <v>#N/A</v>
      </c>
      <c r="AM224">
        <f t="shared" si="28"/>
        <v>4</v>
      </c>
      <c r="AN224" t="e">
        <f t="shared" si="25"/>
        <v>#N/A</v>
      </c>
    </row>
    <row r="225" spans="1:40" x14ac:dyDescent="0.25">
      <c r="A225">
        <v>224</v>
      </c>
      <c r="B225">
        <f ca="1">SMALL(dados!A$23:A$422,A225)</f>
        <v>0.56135480385853476</v>
      </c>
      <c r="C225">
        <f ca="1">VLOOKUP(B225,dados!A$23:E$422,4,0)</f>
        <v>3</v>
      </c>
      <c r="D225">
        <f ca="1">VLOOKUP(B225,dados!A$23:E$422,5,0)</f>
        <v>35</v>
      </c>
      <c r="E225">
        <f ca="1">COUNTIF(C$2:C225,1)</f>
        <v>163</v>
      </c>
      <c r="F225">
        <f ca="1">COUNTIF(C$2:C225,2)</f>
        <v>36</v>
      </c>
      <c r="G225">
        <f ca="1">COUNTIF(C$2:C225,3)</f>
        <v>25</v>
      </c>
      <c r="L225">
        <v>222</v>
      </c>
      <c r="M225">
        <v>13.295</v>
      </c>
      <c r="N225">
        <v>13.500624999999999</v>
      </c>
      <c r="O225">
        <v>13.684805555555556</v>
      </c>
      <c r="P225">
        <v>13.501541666666666</v>
      </c>
      <c r="AG225">
        <v>1</v>
      </c>
      <c r="AH225" t="e">
        <f t="shared" si="22"/>
        <v>#N/A</v>
      </c>
      <c r="AI225">
        <f t="shared" si="26"/>
        <v>2</v>
      </c>
      <c r="AJ225" t="e">
        <f t="shared" si="23"/>
        <v>#N/A</v>
      </c>
      <c r="AK225">
        <f t="shared" si="27"/>
        <v>3</v>
      </c>
      <c r="AL225" t="e">
        <f t="shared" si="24"/>
        <v>#N/A</v>
      </c>
      <c r="AM225">
        <f t="shared" si="28"/>
        <v>4</v>
      </c>
      <c r="AN225" t="e">
        <f t="shared" si="25"/>
        <v>#N/A</v>
      </c>
    </row>
    <row r="226" spans="1:40" x14ac:dyDescent="0.25">
      <c r="A226">
        <v>225</v>
      </c>
      <c r="B226">
        <f ca="1">SMALL(dados!A$23:A$422,A226)</f>
        <v>0.56237348907760465</v>
      </c>
      <c r="C226">
        <f ca="1">VLOOKUP(B226,dados!A$23:E$422,4,0)</f>
        <v>2</v>
      </c>
      <c r="D226">
        <f ca="1">VLOOKUP(B226,dados!A$23:E$422,5,0)</f>
        <v>18</v>
      </c>
      <c r="E226">
        <f ca="1">COUNTIF(C$2:C226,1)</f>
        <v>163</v>
      </c>
      <c r="F226">
        <f ca="1">COUNTIF(C$2:C226,2)</f>
        <v>37</v>
      </c>
      <c r="G226">
        <f ca="1">COUNTIF(C$2:C226,3)</f>
        <v>25</v>
      </c>
      <c r="L226">
        <v>223</v>
      </c>
      <c r="M226">
        <v>15.2675</v>
      </c>
      <c r="N226">
        <v>14.424375</v>
      </c>
      <c r="O226">
        <v>14.366486111111112</v>
      </c>
      <c r="P226">
        <v>14.035715277777779</v>
      </c>
      <c r="AG226">
        <v>1</v>
      </c>
      <c r="AH226" t="e">
        <f t="shared" si="22"/>
        <v>#N/A</v>
      </c>
      <c r="AI226">
        <f t="shared" si="26"/>
        <v>2</v>
      </c>
      <c r="AJ226" t="e">
        <f t="shared" si="23"/>
        <v>#N/A</v>
      </c>
      <c r="AK226">
        <f t="shared" si="27"/>
        <v>3</v>
      </c>
      <c r="AL226" t="e">
        <f t="shared" si="24"/>
        <v>#N/A</v>
      </c>
      <c r="AM226">
        <f t="shared" si="28"/>
        <v>4</v>
      </c>
      <c r="AN226" t="e">
        <f t="shared" si="25"/>
        <v>#N/A</v>
      </c>
    </row>
    <row r="227" spans="1:40" x14ac:dyDescent="0.25">
      <c r="A227">
        <v>226</v>
      </c>
      <c r="B227">
        <f ca="1">SMALL(dados!A$23:A$422,A227)</f>
        <v>0.57141376731653881</v>
      </c>
      <c r="C227">
        <f ca="1">VLOOKUP(B227,dados!A$23:E$422,4,0)</f>
        <v>1</v>
      </c>
      <c r="D227">
        <f ca="1">VLOOKUP(B227,dados!A$23:E$422,5,0)</f>
        <v>7</v>
      </c>
      <c r="E227">
        <f ca="1">COUNTIF(C$2:C227,1)</f>
        <v>164</v>
      </c>
      <c r="F227">
        <f ca="1">COUNTIF(C$2:C227,2)</f>
        <v>37</v>
      </c>
      <c r="G227">
        <f ca="1">COUNTIF(C$2:C227,3)</f>
        <v>25</v>
      </c>
      <c r="L227">
        <v>224</v>
      </c>
      <c r="M227">
        <v>13.24</v>
      </c>
      <c r="N227">
        <v>13.734999999999999</v>
      </c>
      <c r="O227">
        <v>14.161569444444444</v>
      </c>
      <c r="P227">
        <v>14.001749999999999</v>
      </c>
      <c r="AG227">
        <v>1</v>
      </c>
      <c r="AH227" t="e">
        <f t="shared" si="22"/>
        <v>#N/A</v>
      </c>
      <c r="AI227">
        <f t="shared" si="26"/>
        <v>2</v>
      </c>
      <c r="AJ227" t="e">
        <f t="shared" si="23"/>
        <v>#N/A</v>
      </c>
      <c r="AK227">
        <f t="shared" si="27"/>
        <v>3</v>
      </c>
      <c r="AL227" t="e">
        <f t="shared" si="24"/>
        <v>#N/A</v>
      </c>
      <c r="AM227">
        <f t="shared" si="28"/>
        <v>4</v>
      </c>
      <c r="AN227" t="e">
        <f t="shared" si="25"/>
        <v>#N/A</v>
      </c>
    </row>
    <row r="228" spans="1:40" x14ac:dyDescent="0.25">
      <c r="A228">
        <v>227</v>
      </c>
      <c r="B228">
        <f ca="1">SMALL(dados!A$23:A$422,A228)</f>
        <v>0.5768447959284283</v>
      </c>
      <c r="C228">
        <f ca="1">VLOOKUP(B228,dados!A$23:E$422,4,0)</f>
        <v>1</v>
      </c>
      <c r="D228">
        <f ca="1">VLOOKUP(B228,dados!A$23:E$422,5,0)</f>
        <v>8</v>
      </c>
      <c r="E228">
        <f ca="1">COUNTIF(C$2:C228,1)</f>
        <v>165</v>
      </c>
      <c r="F228">
        <f ca="1">COUNTIF(C$2:C228,2)</f>
        <v>37</v>
      </c>
      <c r="G228">
        <f ca="1">COUNTIF(C$2:C228,3)</f>
        <v>25</v>
      </c>
      <c r="L228">
        <v>225</v>
      </c>
      <c r="M228">
        <v>13.82625</v>
      </c>
      <c r="N228">
        <v>12.979374999999999</v>
      </c>
      <c r="O228">
        <v>13.911180555555553</v>
      </c>
      <c r="P228">
        <v>14.096034722222221</v>
      </c>
      <c r="AG228">
        <v>1</v>
      </c>
      <c r="AH228" t="e">
        <f t="shared" si="22"/>
        <v>#N/A</v>
      </c>
      <c r="AI228">
        <f t="shared" si="26"/>
        <v>2</v>
      </c>
      <c r="AJ228" t="e">
        <f t="shared" si="23"/>
        <v>#N/A</v>
      </c>
      <c r="AK228">
        <f t="shared" si="27"/>
        <v>3</v>
      </c>
      <c r="AL228" t="e">
        <f t="shared" si="24"/>
        <v>#N/A</v>
      </c>
      <c r="AM228">
        <f t="shared" si="28"/>
        <v>4</v>
      </c>
      <c r="AN228" t="e">
        <f t="shared" si="25"/>
        <v>#N/A</v>
      </c>
    </row>
    <row r="229" spans="1:40" x14ac:dyDescent="0.25">
      <c r="A229">
        <v>228</v>
      </c>
      <c r="B229">
        <f ca="1">SMALL(dados!A$23:A$422,A229)</f>
        <v>0.57789800372226408</v>
      </c>
      <c r="C229">
        <f ca="1">VLOOKUP(B229,dados!A$23:E$422,4,0)</f>
        <v>1</v>
      </c>
      <c r="D229">
        <f ca="1">VLOOKUP(B229,dados!A$23:E$422,5,0)</f>
        <v>11</v>
      </c>
      <c r="E229">
        <f ca="1">COUNTIF(C$2:C229,1)</f>
        <v>166</v>
      </c>
      <c r="F229">
        <f ca="1">COUNTIF(C$2:C229,2)</f>
        <v>37</v>
      </c>
      <c r="G229">
        <f ca="1">COUNTIF(C$2:C229,3)</f>
        <v>25</v>
      </c>
      <c r="L229">
        <v>226</v>
      </c>
      <c r="M229">
        <v>15.0375</v>
      </c>
      <c r="N229">
        <v>13.736875</v>
      </c>
      <c r="O229">
        <v>14.470027777777778</v>
      </c>
      <c r="P229">
        <v>14.729972222222223</v>
      </c>
      <c r="AG229">
        <v>1</v>
      </c>
      <c r="AH229" t="e">
        <f t="shared" si="22"/>
        <v>#N/A</v>
      </c>
      <c r="AI229">
        <f t="shared" si="26"/>
        <v>2</v>
      </c>
      <c r="AJ229" t="e">
        <f t="shared" si="23"/>
        <v>#N/A</v>
      </c>
      <c r="AK229">
        <f t="shared" si="27"/>
        <v>3</v>
      </c>
      <c r="AL229" t="e">
        <f t="shared" si="24"/>
        <v>#N/A</v>
      </c>
      <c r="AM229">
        <f t="shared" si="28"/>
        <v>4</v>
      </c>
      <c r="AN229" t="e">
        <f t="shared" si="25"/>
        <v>#N/A</v>
      </c>
    </row>
    <row r="230" spans="1:40" x14ac:dyDescent="0.25">
      <c r="A230">
        <v>229</v>
      </c>
      <c r="B230">
        <f ca="1">SMALL(dados!A$23:A$422,A230)</f>
        <v>0.58208388342116046</v>
      </c>
      <c r="C230">
        <f ca="1">VLOOKUP(B230,dados!A$23:E$422,4,0)</f>
        <v>2</v>
      </c>
      <c r="D230">
        <f ca="1">VLOOKUP(B230,dados!A$23:E$422,5,0)</f>
        <v>28</v>
      </c>
      <c r="E230">
        <f ca="1">COUNTIF(C$2:C230,1)</f>
        <v>166</v>
      </c>
      <c r="F230">
        <f ca="1">COUNTIF(C$2:C230,2)</f>
        <v>38</v>
      </c>
      <c r="G230">
        <f ca="1">COUNTIF(C$2:C230,3)</f>
        <v>25</v>
      </c>
      <c r="L230">
        <v>227</v>
      </c>
      <c r="M230">
        <v>13.438750000000001</v>
      </c>
      <c r="N230">
        <v>14.046250000000001</v>
      </c>
      <c r="O230">
        <v>14.39384722222222</v>
      </c>
      <c r="P230">
        <v>13.996215277777779</v>
      </c>
      <c r="AG230">
        <v>1</v>
      </c>
      <c r="AH230" t="e">
        <f t="shared" si="22"/>
        <v>#N/A</v>
      </c>
      <c r="AI230">
        <f t="shared" si="26"/>
        <v>2</v>
      </c>
      <c r="AJ230" t="e">
        <f t="shared" si="23"/>
        <v>#N/A</v>
      </c>
      <c r="AK230">
        <f t="shared" si="27"/>
        <v>3</v>
      </c>
      <c r="AL230" t="e">
        <f t="shared" si="24"/>
        <v>#N/A</v>
      </c>
      <c r="AM230">
        <f t="shared" si="28"/>
        <v>4</v>
      </c>
      <c r="AN230" t="e">
        <f t="shared" si="25"/>
        <v>#N/A</v>
      </c>
    </row>
    <row r="231" spans="1:40" x14ac:dyDescent="0.25">
      <c r="A231">
        <v>230</v>
      </c>
      <c r="B231">
        <f ca="1">SMALL(dados!A$23:A$422,A231)</f>
        <v>0.58514002426200729</v>
      </c>
      <c r="C231">
        <f ca="1">VLOOKUP(B231,dados!A$23:E$422,4,0)</f>
        <v>1</v>
      </c>
      <c r="D231">
        <f ca="1">VLOOKUP(B231,dados!A$23:E$422,5,0)</f>
        <v>14</v>
      </c>
      <c r="E231">
        <f ca="1">COUNTIF(C$2:C231,1)</f>
        <v>167</v>
      </c>
      <c r="F231">
        <f ca="1">COUNTIF(C$2:C231,2)</f>
        <v>38</v>
      </c>
      <c r="G231">
        <f ca="1">COUNTIF(C$2:C231,3)</f>
        <v>25</v>
      </c>
      <c r="L231">
        <v>228</v>
      </c>
      <c r="M231">
        <v>15.397500000000001</v>
      </c>
      <c r="N231">
        <v>14.29</v>
      </c>
      <c r="O231">
        <v>13.793736111111111</v>
      </c>
      <c r="P231">
        <v>13.610034722222222</v>
      </c>
      <c r="AG231">
        <v>1</v>
      </c>
      <c r="AH231" t="e">
        <f t="shared" si="22"/>
        <v>#N/A</v>
      </c>
      <c r="AI231">
        <f t="shared" si="26"/>
        <v>2</v>
      </c>
      <c r="AJ231" t="e">
        <f t="shared" si="23"/>
        <v>#N/A</v>
      </c>
      <c r="AK231">
        <f t="shared" si="27"/>
        <v>3</v>
      </c>
      <c r="AL231" t="e">
        <f t="shared" si="24"/>
        <v>#N/A</v>
      </c>
      <c r="AM231">
        <f t="shared" si="28"/>
        <v>4</v>
      </c>
      <c r="AN231" t="e">
        <f t="shared" si="25"/>
        <v>#N/A</v>
      </c>
    </row>
    <row r="232" spans="1:40" x14ac:dyDescent="0.25">
      <c r="A232">
        <v>231</v>
      </c>
      <c r="B232">
        <f ca="1">SMALL(dados!A$23:A$422,A232)</f>
        <v>0.58705640800845504</v>
      </c>
      <c r="C232">
        <f ca="1">VLOOKUP(B232,dados!A$23:E$422,4,0)</f>
        <v>1</v>
      </c>
      <c r="D232">
        <f ca="1">VLOOKUP(B232,dados!A$23:E$422,5,0)</f>
        <v>14</v>
      </c>
      <c r="E232">
        <f ca="1">COUNTIF(C$2:C232,1)</f>
        <v>168</v>
      </c>
      <c r="F232">
        <f ca="1">COUNTIF(C$2:C232,2)</f>
        <v>38</v>
      </c>
      <c r="G232">
        <f ca="1">COUNTIF(C$2:C232,3)</f>
        <v>25</v>
      </c>
      <c r="L232">
        <v>229</v>
      </c>
      <c r="M232">
        <v>14.61375</v>
      </c>
      <c r="N232">
        <v>14.81875</v>
      </c>
      <c r="O232">
        <v>14.280972222222221</v>
      </c>
      <c r="P232">
        <v>14.088583333333334</v>
      </c>
      <c r="AG232">
        <v>1</v>
      </c>
      <c r="AH232" t="e">
        <f t="shared" si="22"/>
        <v>#N/A</v>
      </c>
      <c r="AI232">
        <f t="shared" si="26"/>
        <v>2</v>
      </c>
      <c r="AJ232" t="e">
        <f t="shared" si="23"/>
        <v>#N/A</v>
      </c>
      <c r="AK232">
        <f t="shared" si="27"/>
        <v>3</v>
      </c>
      <c r="AL232" t="e">
        <f t="shared" si="24"/>
        <v>#N/A</v>
      </c>
      <c r="AM232">
        <f t="shared" si="28"/>
        <v>4</v>
      </c>
      <c r="AN232" t="e">
        <f t="shared" si="25"/>
        <v>#N/A</v>
      </c>
    </row>
    <row r="233" spans="1:40" x14ac:dyDescent="0.25">
      <c r="A233">
        <v>232</v>
      </c>
      <c r="B233">
        <f ca="1">SMALL(dados!A$23:A$422,A233)</f>
        <v>0.58707386212704638</v>
      </c>
      <c r="C233">
        <f ca="1">VLOOKUP(B233,dados!A$23:E$422,4,0)</f>
        <v>1</v>
      </c>
      <c r="D233">
        <f ca="1">VLOOKUP(B233,dados!A$23:E$422,5,0)</f>
        <v>11</v>
      </c>
      <c r="E233">
        <f ca="1">COUNTIF(C$2:C233,1)</f>
        <v>169</v>
      </c>
      <c r="F233">
        <f ca="1">COUNTIF(C$2:C233,2)</f>
        <v>38</v>
      </c>
      <c r="G233">
        <f ca="1">COUNTIF(C$2:C233,3)</f>
        <v>25</v>
      </c>
      <c r="L233">
        <v>230</v>
      </c>
      <c r="M233">
        <v>14.251250000000001</v>
      </c>
      <c r="N233">
        <v>15.112500000000001</v>
      </c>
      <c r="O233">
        <v>13.639958333333333</v>
      </c>
      <c r="P233">
        <v>14.439659722222222</v>
      </c>
      <c r="AG233">
        <v>1</v>
      </c>
      <c r="AH233" t="e">
        <f t="shared" si="22"/>
        <v>#N/A</v>
      </c>
      <c r="AI233">
        <f t="shared" si="26"/>
        <v>2</v>
      </c>
      <c r="AJ233" t="e">
        <f t="shared" si="23"/>
        <v>#N/A</v>
      </c>
      <c r="AK233">
        <f t="shared" si="27"/>
        <v>3</v>
      </c>
      <c r="AL233" t="e">
        <f t="shared" si="24"/>
        <v>#N/A</v>
      </c>
      <c r="AM233">
        <f t="shared" si="28"/>
        <v>4</v>
      </c>
      <c r="AN233" t="e">
        <f t="shared" si="25"/>
        <v>#N/A</v>
      </c>
    </row>
    <row r="234" spans="1:40" x14ac:dyDescent="0.25">
      <c r="A234">
        <v>233</v>
      </c>
      <c r="B234">
        <f ca="1">SMALL(dados!A$23:A$422,A234)</f>
        <v>0.59109483223137593</v>
      </c>
      <c r="C234">
        <f ca="1">VLOOKUP(B234,dados!A$23:E$422,4,0)</f>
        <v>2</v>
      </c>
      <c r="D234">
        <f ca="1">VLOOKUP(B234,dados!A$23:E$422,5,0)</f>
        <v>17</v>
      </c>
      <c r="E234">
        <f ca="1">COUNTIF(C$2:C234,1)</f>
        <v>169</v>
      </c>
      <c r="F234">
        <f ca="1">COUNTIF(C$2:C234,2)</f>
        <v>39</v>
      </c>
      <c r="G234">
        <f ca="1">COUNTIF(C$2:C234,3)</f>
        <v>25</v>
      </c>
      <c r="L234">
        <v>231</v>
      </c>
      <c r="M234">
        <v>14.547499999999999</v>
      </c>
      <c r="N234">
        <v>14.435</v>
      </c>
      <c r="O234">
        <v>14.539888888888891</v>
      </c>
      <c r="P234">
        <v>14.026520833333331</v>
      </c>
      <c r="AG234">
        <v>1</v>
      </c>
      <c r="AH234" t="e">
        <f t="shared" si="22"/>
        <v>#N/A</v>
      </c>
      <c r="AI234">
        <f t="shared" si="26"/>
        <v>2</v>
      </c>
      <c r="AJ234" t="e">
        <f t="shared" si="23"/>
        <v>#N/A</v>
      </c>
      <c r="AK234">
        <f t="shared" si="27"/>
        <v>3</v>
      </c>
      <c r="AL234" t="e">
        <f t="shared" si="24"/>
        <v>#N/A</v>
      </c>
      <c r="AM234">
        <f t="shared" si="28"/>
        <v>4</v>
      </c>
      <c r="AN234" t="e">
        <f t="shared" si="25"/>
        <v>#N/A</v>
      </c>
    </row>
    <row r="235" spans="1:40" x14ac:dyDescent="0.25">
      <c r="A235">
        <v>234</v>
      </c>
      <c r="B235">
        <f ca="1">SMALL(dados!A$23:A$422,A235)</f>
        <v>0.59120818897042049</v>
      </c>
      <c r="C235">
        <f ca="1">VLOOKUP(B235,dados!A$23:E$422,4,0)</f>
        <v>2</v>
      </c>
      <c r="D235">
        <f ca="1">VLOOKUP(B235,dados!A$23:E$422,5,0)</f>
        <v>23</v>
      </c>
      <c r="E235">
        <f ca="1">COUNTIF(C$2:C235,1)</f>
        <v>169</v>
      </c>
      <c r="F235">
        <f ca="1">COUNTIF(C$2:C235,2)</f>
        <v>40</v>
      </c>
      <c r="G235">
        <f ca="1">COUNTIF(C$2:C235,3)</f>
        <v>25</v>
      </c>
      <c r="L235">
        <v>232</v>
      </c>
      <c r="M235">
        <v>13.71125</v>
      </c>
      <c r="N235">
        <v>13.786250000000001</v>
      </c>
      <c r="O235">
        <v>14.01973611111111</v>
      </c>
      <c r="P235">
        <v>13.985104166666666</v>
      </c>
      <c r="AG235">
        <v>1</v>
      </c>
      <c r="AH235" t="e">
        <f t="shared" si="22"/>
        <v>#N/A</v>
      </c>
      <c r="AI235">
        <f t="shared" si="26"/>
        <v>2</v>
      </c>
      <c r="AJ235" t="e">
        <f t="shared" si="23"/>
        <v>#N/A</v>
      </c>
      <c r="AK235">
        <f t="shared" si="27"/>
        <v>3</v>
      </c>
      <c r="AL235" t="e">
        <f t="shared" si="24"/>
        <v>#N/A</v>
      </c>
      <c r="AM235">
        <f t="shared" si="28"/>
        <v>4</v>
      </c>
      <c r="AN235" t="e">
        <f t="shared" si="25"/>
        <v>#N/A</v>
      </c>
    </row>
    <row r="236" spans="1:40" x14ac:dyDescent="0.25">
      <c r="A236">
        <v>235</v>
      </c>
      <c r="B236">
        <f ca="1">SMALL(dados!A$23:A$422,A236)</f>
        <v>0.59802747090721864</v>
      </c>
      <c r="C236">
        <f ca="1">VLOOKUP(B236,dados!A$23:E$422,4,0)</f>
        <v>2</v>
      </c>
      <c r="D236">
        <f ca="1">VLOOKUP(B236,dados!A$23:E$422,5,0)</f>
        <v>15</v>
      </c>
      <c r="E236">
        <f ca="1">COUNTIF(C$2:C236,1)</f>
        <v>169</v>
      </c>
      <c r="F236">
        <f ca="1">COUNTIF(C$2:C236,2)</f>
        <v>41</v>
      </c>
      <c r="G236">
        <f ca="1">COUNTIF(C$2:C236,3)</f>
        <v>25</v>
      </c>
      <c r="L236">
        <v>233</v>
      </c>
      <c r="M236">
        <v>13.928750000000001</v>
      </c>
      <c r="N236">
        <v>14.444375000000001</v>
      </c>
      <c r="O236">
        <v>14.237541666666665</v>
      </c>
      <c r="P236">
        <v>13.774256944444444</v>
      </c>
      <c r="AG236">
        <v>1</v>
      </c>
      <c r="AH236" t="e">
        <f t="shared" si="22"/>
        <v>#N/A</v>
      </c>
      <c r="AI236">
        <f t="shared" si="26"/>
        <v>2</v>
      </c>
      <c r="AJ236" t="e">
        <f t="shared" si="23"/>
        <v>#N/A</v>
      </c>
      <c r="AK236">
        <f t="shared" si="27"/>
        <v>3</v>
      </c>
      <c r="AL236" t="e">
        <f t="shared" si="24"/>
        <v>#N/A</v>
      </c>
      <c r="AM236">
        <f t="shared" si="28"/>
        <v>4</v>
      </c>
      <c r="AN236" t="e">
        <f t="shared" si="25"/>
        <v>#N/A</v>
      </c>
    </row>
    <row r="237" spans="1:40" x14ac:dyDescent="0.25">
      <c r="A237">
        <v>236</v>
      </c>
      <c r="B237">
        <f ca="1">SMALL(dados!A$23:A$422,A237)</f>
        <v>0.59935627286264137</v>
      </c>
      <c r="C237">
        <f ca="1">VLOOKUP(B237,dados!A$23:E$422,4,0)</f>
        <v>3</v>
      </c>
      <c r="D237">
        <f ca="1">VLOOKUP(B237,dados!A$23:E$422,5,0)</f>
        <v>37</v>
      </c>
      <c r="E237">
        <f ca="1">COUNTIF(C$2:C237,1)</f>
        <v>169</v>
      </c>
      <c r="F237">
        <f ca="1">COUNTIF(C$2:C237,2)</f>
        <v>41</v>
      </c>
      <c r="G237">
        <f ca="1">COUNTIF(C$2:C237,3)</f>
        <v>26</v>
      </c>
      <c r="L237">
        <v>234</v>
      </c>
      <c r="M237">
        <v>13.171250000000001</v>
      </c>
      <c r="N237">
        <v>13.595000000000001</v>
      </c>
      <c r="O237">
        <v>13.561875000000001</v>
      </c>
      <c r="P237">
        <v>13.75557638888889</v>
      </c>
      <c r="AG237">
        <v>1</v>
      </c>
      <c r="AH237" t="e">
        <f t="shared" si="22"/>
        <v>#N/A</v>
      </c>
      <c r="AI237">
        <f t="shared" si="26"/>
        <v>2</v>
      </c>
      <c r="AJ237" t="e">
        <f t="shared" si="23"/>
        <v>#N/A</v>
      </c>
      <c r="AK237">
        <f t="shared" si="27"/>
        <v>3</v>
      </c>
      <c r="AL237" t="e">
        <f t="shared" si="24"/>
        <v>#N/A</v>
      </c>
      <c r="AM237">
        <f t="shared" si="28"/>
        <v>4</v>
      </c>
      <c r="AN237" t="e">
        <f t="shared" si="25"/>
        <v>#N/A</v>
      </c>
    </row>
    <row r="238" spans="1:40" x14ac:dyDescent="0.25">
      <c r="A238">
        <v>237</v>
      </c>
      <c r="B238">
        <f ca="1">SMALL(dados!A$23:A$422,A238)</f>
        <v>0.60387898349461822</v>
      </c>
      <c r="C238">
        <f ca="1">VLOOKUP(B238,dados!A$23:E$422,4,0)</f>
        <v>1</v>
      </c>
      <c r="D238">
        <f ca="1">VLOOKUP(B238,dados!A$23:E$422,5,0)</f>
        <v>7</v>
      </c>
      <c r="E238">
        <f ca="1">COUNTIF(C$2:C238,1)</f>
        <v>170</v>
      </c>
      <c r="F238">
        <f ca="1">COUNTIF(C$2:C238,2)</f>
        <v>41</v>
      </c>
      <c r="G238">
        <f ca="1">COUNTIF(C$2:C238,3)</f>
        <v>26</v>
      </c>
      <c r="L238">
        <v>235</v>
      </c>
      <c r="M238">
        <v>12.733750000000001</v>
      </c>
      <c r="N238">
        <v>13.99375</v>
      </c>
      <c r="O238">
        <v>14.526347222222221</v>
      </c>
      <c r="P238">
        <v>14.118944444444447</v>
      </c>
      <c r="AG238">
        <v>1</v>
      </c>
      <c r="AH238" t="e">
        <f t="shared" si="22"/>
        <v>#N/A</v>
      </c>
      <c r="AI238">
        <f t="shared" si="26"/>
        <v>2</v>
      </c>
      <c r="AJ238" t="e">
        <f t="shared" si="23"/>
        <v>#N/A</v>
      </c>
      <c r="AK238">
        <f t="shared" si="27"/>
        <v>3</v>
      </c>
      <c r="AL238" t="e">
        <f t="shared" si="24"/>
        <v>#N/A</v>
      </c>
      <c r="AM238">
        <f t="shared" si="28"/>
        <v>4</v>
      </c>
      <c r="AN238" t="e">
        <f t="shared" si="25"/>
        <v>#N/A</v>
      </c>
    </row>
    <row r="239" spans="1:40" x14ac:dyDescent="0.25">
      <c r="A239">
        <v>238</v>
      </c>
      <c r="B239">
        <f ca="1">SMALL(dados!A$23:A$422,A239)</f>
        <v>0.60670456366769465</v>
      </c>
      <c r="C239">
        <f ca="1">VLOOKUP(B239,dados!A$23:E$422,4,0)</f>
        <v>1</v>
      </c>
      <c r="D239">
        <f ca="1">VLOOKUP(B239,dados!A$23:E$422,5,0)</f>
        <v>9</v>
      </c>
      <c r="E239">
        <f ca="1">COUNTIF(C$2:C239,1)</f>
        <v>171</v>
      </c>
      <c r="F239">
        <f ca="1">COUNTIF(C$2:C239,2)</f>
        <v>41</v>
      </c>
      <c r="G239">
        <f ca="1">COUNTIF(C$2:C239,3)</f>
        <v>26</v>
      </c>
      <c r="L239">
        <v>236</v>
      </c>
      <c r="M239">
        <v>14.55625</v>
      </c>
      <c r="N239">
        <v>15.000624999999999</v>
      </c>
      <c r="O239">
        <v>14.151194444444442</v>
      </c>
      <c r="P239">
        <v>14.39146527777778</v>
      </c>
      <c r="AG239">
        <v>1</v>
      </c>
      <c r="AH239" t="e">
        <f t="shared" si="22"/>
        <v>#N/A</v>
      </c>
      <c r="AI239">
        <f t="shared" si="26"/>
        <v>2</v>
      </c>
      <c r="AJ239" t="e">
        <f t="shared" si="23"/>
        <v>#N/A</v>
      </c>
      <c r="AK239">
        <f t="shared" si="27"/>
        <v>3</v>
      </c>
      <c r="AL239" t="e">
        <f t="shared" si="24"/>
        <v>#N/A</v>
      </c>
      <c r="AM239">
        <f t="shared" si="28"/>
        <v>4</v>
      </c>
      <c r="AN239" t="e">
        <f t="shared" si="25"/>
        <v>#N/A</v>
      </c>
    </row>
    <row r="240" spans="1:40" x14ac:dyDescent="0.25">
      <c r="A240">
        <v>239</v>
      </c>
      <c r="B240">
        <f ca="1">SMALL(dados!A$23:A$422,A240)</f>
        <v>0.61139268120474133</v>
      </c>
      <c r="C240">
        <f ca="1">VLOOKUP(B240,dados!A$23:E$422,4,0)</f>
        <v>1</v>
      </c>
      <c r="D240">
        <f ca="1">VLOOKUP(B240,dados!A$23:E$422,5,0)</f>
        <v>11</v>
      </c>
      <c r="E240">
        <f ca="1">COUNTIF(C$2:C240,1)</f>
        <v>172</v>
      </c>
      <c r="F240">
        <f ca="1">COUNTIF(C$2:C240,2)</f>
        <v>41</v>
      </c>
      <c r="G240">
        <f ca="1">COUNTIF(C$2:C240,3)</f>
        <v>26</v>
      </c>
      <c r="L240">
        <v>237</v>
      </c>
      <c r="M240">
        <v>12.6075</v>
      </c>
      <c r="N240">
        <v>13.020625000000001</v>
      </c>
      <c r="O240">
        <v>13.945277777777779</v>
      </c>
      <c r="P240">
        <v>14.272805555555555</v>
      </c>
      <c r="AG240">
        <v>1</v>
      </c>
      <c r="AH240" t="e">
        <f t="shared" si="22"/>
        <v>#N/A</v>
      </c>
      <c r="AI240">
        <f t="shared" si="26"/>
        <v>2</v>
      </c>
      <c r="AJ240" t="e">
        <f t="shared" si="23"/>
        <v>#N/A</v>
      </c>
      <c r="AK240">
        <f t="shared" si="27"/>
        <v>3</v>
      </c>
      <c r="AL240" t="e">
        <f t="shared" si="24"/>
        <v>#N/A</v>
      </c>
      <c r="AM240">
        <f t="shared" si="28"/>
        <v>4</v>
      </c>
      <c r="AN240" t="e">
        <f t="shared" si="25"/>
        <v>#N/A</v>
      </c>
    </row>
    <row r="241" spans="1:40" x14ac:dyDescent="0.25">
      <c r="A241">
        <v>240</v>
      </c>
      <c r="B241">
        <f ca="1">SMALL(dados!A$23:A$422,A241)</f>
        <v>0.61194883370644915</v>
      </c>
      <c r="C241">
        <f ca="1">VLOOKUP(B241,dados!A$23:E$422,4,0)</f>
        <v>2</v>
      </c>
      <c r="D241">
        <f ca="1">VLOOKUP(B241,dados!A$23:E$422,5,0)</f>
        <v>14</v>
      </c>
      <c r="E241">
        <f ca="1">COUNTIF(C$2:C241,1)</f>
        <v>172</v>
      </c>
      <c r="F241">
        <f ca="1">COUNTIF(C$2:C241,2)</f>
        <v>42</v>
      </c>
      <c r="G241">
        <f ca="1">COUNTIF(C$2:C241,3)</f>
        <v>26</v>
      </c>
      <c r="L241">
        <v>238</v>
      </c>
      <c r="M241">
        <v>12.858750000000001</v>
      </c>
      <c r="N241">
        <v>13.139374999999999</v>
      </c>
      <c r="O241">
        <v>14.193763888888887</v>
      </c>
      <c r="P241">
        <v>14.06947222222222</v>
      </c>
      <c r="AG241">
        <v>1</v>
      </c>
      <c r="AH241" t="e">
        <f t="shared" si="22"/>
        <v>#N/A</v>
      </c>
      <c r="AI241">
        <f t="shared" si="26"/>
        <v>2</v>
      </c>
      <c r="AJ241" t="e">
        <f t="shared" si="23"/>
        <v>#N/A</v>
      </c>
      <c r="AK241">
        <f t="shared" si="27"/>
        <v>3</v>
      </c>
      <c r="AL241" t="e">
        <f t="shared" si="24"/>
        <v>#N/A</v>
      </c>
      <c r="AM241">
        <f t="shared" si="28"/>
        <v>4</v>
      </c>
      <c r="AN241" t="e">
        <f t="shared" si="25"/>
        <v>#N/A</v>
      </c>
    </row>
    <row r="242" spans="1:40" x14ac:dyDescent="0.25">
      <c r="A242">
        <v>241</v>
      </c>
      <c r="B242">
        <f ca="1">SMALL(dados!A$23:A$422,A242)</f>
        <v>0.61378528751816452</v>
      </c>
      <c r="C242">
        <f ca="1">VLOOKUP(B242,dados!A$23:E$422,4,0)</f>
        <v>1</v>
      </c>
      <c r="D242">
        <f ca="1">VLOOKUP(B242,dados!A$23:E$422,5,0)</f>
        <v>7</v>
      </c>
      <c r="E242">
        <f ca="1">COUNTIF(C$2:C242,1)</f>
        <v>173</v>
      </c>
      <c r="F242">
        <f ca="1">COUNTIF(C$2:C242,2)</f>
        <v>42</v>
      </c>
      <c r="G242">
        <f ca="1">COUNTIF(C$2:C242,3)</f>
        <v>26</v>
      </c>
      <c r="L242">
        <v>239</v>
      </c>
      <c r="M242">
        <v>14.515000000000001</v>
      </c>
      <c r="N242">
        <v>14.40625</v>
      </c>
      <c r="O242">
        <v>14.028680555555557</v>
      </c>
      <c r="P242">
        <v>14.212569444444444</v>
      </c>
      <c r="AG242">
        <v>1</v>
      </c>
      <c r="AH242" t="e">
        <f t="shared" si="22"/>
        <v>#N/A</v>
      </c>
      <c r="AI242">
        <f t="shared" si="26"/>
        <v>2</v>
      </c>
      <c r="AJ242" t="e">
        <f t="shared" si="23"/>
        <v>#N/A</v>
      </c>
      <c r="AK242">
        <f t="shared" si="27"/>
        <v>3</v>
      </c>
      <c r="AL242" t="e">
        <f t="shared" si="24"/>
        <v>#N/A</v>
      </c>
      <c r="AM242">
        <f t="shared" si="28"/>
        <v>4</v>
      </c>
      <c r="AN242" t="e">
        <f t="shared" si="25"/>
        <v>#N/A</v>
      </c>
    </row>
    <row r="243" spans="1:40" x14ac:dyDescent="0.25">
      <c r="A243">
        <v>242</v>
      </c>
      <c r="B243">
        <f ca="1">SMALL(dados!A$23:A$422,A243)</f>
        <v>0.61983125946434847</v>
      </c>
      <c r="C243">
        <f ca="1">VLOOKUP(B243,dados!A$23:E$422,4,0)</f>
        <v>1</v>
      </c>
      <c r="D243">
        <f ca="1">VLOOKUP(B243,dados!A$23:E$422,5,0)</f>
        <v>6</v>
      </c>
      <c r="E243">
        <f ca="1">COUNTIF(C$2:C243,1)</f>
        <v>174</v>
      </c>
      <c r="F243">
        <f ca="1">COUNTIF(C$2:C243,2)</f>
        <v>42</v>
      </c>
      <c r="G243">
        <f ca="1">COUNTIF(C$2:C243,3)</f>
        <v>26</v>
      </c>
      <c r="L243">
        <v>240</v>
      </c>
      <c r="M243">
        <v>14.303750000000001</v>
      </c>
      <c r="N243">
        <v>14.5875</v>
      </c>
      <c r="O243">
        <v>14.832916666666666</v>
      </c>
      <c r="P243">
        <v>14.285479166666669</v>
      </c>
      <c r="AG243">
        <v>1</v>
      </c>
      <c r="AH243" t="e">
        <f t="shared" si="22"/>
        <v>#N/A</v>
      </c>
      <c r="AI243">
        <f t="shared" si="26"/>
        <v>2</v>
      </c>
      <c r="AJ243" t="e">
        <f t="shared" si="23"/>
        <v>#N/A</v>
      </c>
      <c r="AK243">
        <f t="shared" si="27"/>
        <v>3</v>
      </c>
      <c r="AL243" t="e">
        <f t="shared" si="24"/>
        <v>#N/A</v>
      </c>
      <c r="AM243">
        <f t="shared" si="28"/>
        <v>4</v>
      </c>
      <c r="AN243" t="e">
        <f t="shared" si="25"/>
        <v>#N/A</v>
      </c>
    </row>
    <row r="244" spans="1:40" x14ac:dyDescent="0.25">
      <c r="A244">
        <v>243</v>
      </c>
      <c r="B244">
        <f ca="1">SMALL(dados!A$23:A$422,A244)</f>
        <v>0.61999336620037337</v>
      </c>
      <c r="C244">
        <f ca="1">VLOOKUP(B244,dados!A$23:E$422,4,0)</f>
        <v>2</v>
      </c>
      <c r="D244">
        <f ca="1">VLOOKUP(B244,dados!A$23:E$422,5,0)</f>
        <v>22</v>
      </c>
      <c r="E244">
        <f ca="1">COUNTIF(C$2:C244,1)</f>
        <v>174</v>
      </c>
      <c r="F244">
        <f ca="1">COUNTIF(C$2:C244,2)</f>
        <v>43</v>
      </c>
      <c r="G244">
        <f ca="1">COUNTIF(C$2:C244,3)</f>
        <v>26</v>
      </c>
      <c r="L244">
        <v>241</v>
      </c>
      <c r="M244">
        <v>15.196249999999999</v>
      </c>
      <c r="N244">
        <v>13.543125</v>
      </c>
      <c r="O244">
        <v>14.106583333333335</v>
      </c>
      <c r="P244">
        <v>14.193659722222222</v>
      </c>
      <c r="AG244">
        <v>1</v>
      </c>
      <c r="AH244" t="e">
        <f t="shared" si="22"/>
        <v>#N/A</v>
      </c>
      <c r="AI244">
        <f t="shared" si="26"/>
        <v>2</v>
      </c>
      <c r="AJ244" t="e">
        <f t="shared" si="23"/>
        <v>#N/A</v>
      </c>
      <c r="AK244">
        <f t="shared" si="27"/>
        <v>3</v>
      </c>
      <c r="AL244" t="e">
        <f t="shared" si="24"/>
        <v>#N/A</v>
      </c>
      <c r="AM244">
        <f t="shared" si="28"/>
        <v>4</v>
      </c>
      <c r="AN244" t="e">
        <f t="shared" si="25"/>
        <v>#N/A</v>
      </c>
    </row>
    <row r="245" spans="1:40" x14ac:dyDescent="0.25">
      <c r="A245">
        <v>244</v>
      </c>
      <c r="B245">
        <f ca="1">SMALL(dados!A$23:A$422,A245)</f>
        <v>0.62062730486507822</v>
      </c>
      <c r="C245">
        <f ca="1">VLOOKUP(B245,dados!A$23:E$422,4,0)</f>
        <v>2</v>
      </c>
      <c r="D245">
        <f ca="1">VLOOKUP(B245,dados!A$23:E$422,5,0)</f>
        <v>27</v>
      </c>
      <c r="E245">
        <f ca="1">COUNTIF(C$2:C245,1)</f>
        <v>174</v>
      </c>
      <c r="F245">
        <f ca="1">COUNTIF(C$2:C245,2)</f>
        <v>44</v>
      </c>
      <c r="G245">
        <f ca="1">COUNTIF(C$2:C245,3)</f>
        <v>26</v>
      </c>
      <c r="L245">
        <v>242</v>
      </c>
      <c r="M245">
        <v>14.088749999999999</v>
      </c>
      <c r="N245">
        <v>14.661875</v>
      </c>
      <c r="O245">
        <v>14.598666666666668</v>
      </c>
      <c r="P245">
        <v>14.548041666666668</v>
      </c>
      <c r="AG245">
        <v>1</v>
      </c>
      <c r="AH245" t="e">
        <f t="shared" si="22"/>
        <v>#N/A</v>
      </c>
      <c r="AI245">
        <f t="shared" si="26"/>
        <v>2</v>
      </c>
      <c r="AJ245" t="e">
        <f t="shared" si="23"/>
        <v>#N/A</v>
      </c>
      <c r="AK245">
        <f t="shared" si="27"/>
        <v>3</v>
      </c>
      <c r="AL245" t="e">
        <f t="shared" si="24"/>
        <v>#N/A</v>
      </c>
      <c r="AM245">
        <f t="shared" si="28"/>
        <v>4</v>
      </c>
      <c r="AN245" t="e">
        <f t="shared" si="25"/>
        <v>#N/A</v>
      </c>
    </row>
    <row r="246" spans="1:40" x14ac:dyDescent="0.25">
      <c r="A246">
        <v>245</v>
      </c>
      <c r="B246">
        <f ca="1">SMALL(dados!A$23:A$422,A246)</f>
        <v>0.62199321003722097</v>
      </c>
      <c r="C246">
        <f ca="1">VLOOKUP(B246,dados!A$23:E$422,4,0)</f>
        <v>1</v>
      </c>
      <c r="D246">
        <f ca="1">VLOOKUP(B246,dados!A$23:E$422,5,0)</f>
        <v>6</v>
      </c>
      <c r="E246">
        <f ca="1">COUNTIF(C$2:C246,1)</f>
        <v>175</v>
      </c>
      <c r="F246">
        <f ca="1">COUNTIF(C$2:C246,2)</f>
        <v>44</v>
      </c>
      <c r="G246">
        <f ca="1">COUNTIF(C$2:C246,3)</f>
        <v>26</v>
      </c>
      <c r="L246">
        <v>243</v>
      </c>
      <c r="M246">
        <v>13.29</v>
      </c>
      <c r="N246">
        <v>13.5425</v>
      </c>
      <c r="O246">
        <v>13.980888888888892</v>
      </c>
      <c r="P246">
        <v>14.185923611111111</v>
      </c>
      <c r="AG246">
        <v>1</v>
      </c>
      <c r="AH246" t="e">
        <f t="shared" si="22"/>
        <v>#N/A</v>
      </c>
      <c r="AI246">
        <f t="shared" si="26"/>
        <v>2</v>
      </c>
      <c r="AJ246" t="e">
        <f t="shared" si="23"/>
        <v>#N/A</v>
      </c>
      <c r="AK246">
        <f t="shared" si="27"/>
        <v>3</v>
      </c>
      <c r="AL246" t="e">
        <f t="shared" si="24"/>
        <v>#N/A</v>
      </c>
      <c r="AM246">
        <f t="shared" si="28"/>
        <v>4</v>
      </c>
      <c r="AN246" t="e">
        <f t="shared" si="25"/>
        <v>#N/A</v>
      </c>
    </row>
    <row r="247" spans="1:40" x14ac:dyDescent="0.25">
      <c r="A247">
        <v>246</v>
      </c>
      <c r="B247">
        <f ca="1">SMALL(dados!A$23:A$422,A247)</f>
        <v>0.62210183349479697</v>
      </c>
      <c r="C247">
        <f ca="1">VLOOKUP(B247,dados!A$23:E$422,4,0)</f>
        <v>1</v>
      </c>
      <c r="D247">
        <f ca="1">VLOOKUP(B247,dados!A$23:E$422,5,0)</f>
        <v>9</v>
      </c>
      <c r="E247">
        <f ca="1">COUNTIF(C$2:C247,1)</f>
        <v>176</v>
      </c>
      <c r="F247">
        <f ca="1">COUNTIF(C$2:C247,2)</f>
        <v>44</v>
      </c>
      <c r="G247">
        <f ca="1">COUNTIF(C$2:C247,3)</f>
        <v>26</v>
      </c>
      <c r="L247">
        <v>244</v>
      </c>
      <c r="M247">
        <v>12.633749999999999</v>
      </c>
      <c r="N247">
        <v>13.118124999999999</v>
      </c>
      <c r="O247">
        <v>12.912958333333334</v>
      </c>
      <c r="P247">
        <v>13.729451388888888</v>
      </c>
      <c r="AG247">
        <v>1</v>
      </c>
      <c r="AH247" t="e">
        <f t="shared" si="22"/>
        <v>#N/A</v>
      </c>
      <c r="AI247">
        <f t="shared" si="26"/>
        <v>2</v>
      </c>
      <c r="AJ247" t="e">
        <f t="shared" si="23"/>
        <v>#N/A</v>
      </c>
      <c r="AK247">
        <f t="shared" si="27"/>
        <v>3</v>
      </c>
      <c r="AL247" t="e">
        <f t="shared" si="24"/>
        <v>#N/A</v>
      </c>
      <c r="AM247">
        <f t="shared" si="28"/>
        <v>4</v>
      </c>
      <c r="AN247" t="e">
        <f t="shared" si="25"/>
        <v>#N/A</v>
      </c>
    </row>
    <row r="248" spans="1:40" x14ac:dyDescent="0.25">
      <c r="A248">
        <v>247</v>
      </c>
      <c r="B248">
        <f ca="1">SMALL(dados!A$23:A$422,A248)</f>
        <v>0.62575226704197184</v>
      </c>
      <c r="C248">
        <f ca="1">VLOOKUP(B248,dados!A$23:E$422,4,0)</f>
        <v>2</v>
      </c>
      <c r="D248">
        <f ca="1">VLOOKUP(B248,dados!A$23:E$422,5,0)</f>
        <v>22</v>
      </c>
      <c r="E248">
        <f ca="1">COUNTIF(C$2:C248,1)</f>
        <v>176</v>
      </c>
      <c r="F248">
        <f ca="1">COUNTIF(C$2:C248,2)</f>
        <v>45</v>
      </c>
      <c r="G248">
        <f ca="1">COUNTIF(C$2:C248,3)</f>
        <v>26</v>
      </c>
      <c r="L248">
        <v>245</v>
      </c>
      <c r="M248">
        <v>13.901249999999999</v>
      </c>
      <c r="N248">
        <v>14.919375</v>
      </c>
      <c r="O248">
        <v>14.10884722222222</v>
      </c>
      <c r="P248">
        <v>14.313006944444446</v>
      </c>
      <c r="AG248">
        <v>1</v>
      </c>
      <c r="AH248" t="e">
        <f t="shared" si="22"/>
        <v>#N/A</v>
      </c>
      <c r="AI248">
        <f t="shared" si="26"/>
        <v>2</v>
      </c>
      <c r="AJ248" t="e">
        <f t="shared" si="23"/>
        <v>#N/A</v>
      </c>
      <c r="AK248">
        <f t="shared" si="27"/>
        <v>3</v>
      </c>
      <c r="AL248" t="e">
        <f t="shared" si="24"/>
        <v>#N/A</v>
      </c>
      <c r="AM248">
        <f t="shared" si="28"/>
        <v>4</v>
      </c>
      <c r="AN248" t="e">
        <f t="shared" si="25"/>
        <v>#N/A</v>
      </c>
    </row>
    <row r="249" spans="1:40" x14ac:dyDescent="0.25">
      <c r="A249">
        <v>248</v>
      </c>
      <c r="B249">
        <f ca="1">SMALL(dados!A$23:A$422,A249)</f>
        <v>0.62587584342628455</v>
      </c>
      <c r="C249">
        <f ca="1">VLOOKUP(B249,dados!A$23:E$422,4,0)</f>
        <v>2</v>
      </c>
      <c r="D249">
        <f ca="1">VLOOKUP(B249,dados!A$23:E$422,5,0)</f>
        <v>20</v>
      </c>
      <c r="E249">
        <f ca="1">COUNTIF(C$2:C249,1)</f>
        <v>176</v>
      </c>
      <c r="F249">
        <f ca="1">COUNTIF(C$2:C249,2)</f>
        <v>46</v>
      </c>
      <c r="G249">
        <f ca="1">COUNTIF(C$2:C249,3)</f>
        <v>26</v>
      </c>
      <c r="L249">
        <v>246</v>
      </c>
      <c r="M249">
        <v>14.623749999999999</v>
      </c>
      <c r="N249">
        <v>13.796875</v>
      </c>
      <c r="O249">
        <v>12.956555555555555</v>
      </c>
      <c r="P249">
        <v>14.154451388888891</v>
      </c>
      <c r="AG249">
        <v>1</v>
      </c>
      <c r="AH249" t="e">
        <f t="shared" si="22"/>
        <v>#N/A</v>
      </c>
      <c r="AI249">
        <f t="shared" si="26"/>
        <v>2</v>
      </c>
      <c r="AJ249" t="e">
        <f t="shared" si="23"/>
        <v>#N/A</v>
      </c>
      <c r="AK249">
        <f t="shared" si="27"/>
        <v>3</v>
      </c>
      <c r="AL249" t="e">
        <f t="shared" si="24"/>
        <v>#N/A</v>
      </c>
      <c r="AM249">
        <f t="shared" si="28"/>
        <v>4</v>
      </c>
      <c r="AN249" t="e">
        <f t="shared" si="25"/>
        <v>#N/A</v>
      </c>
    </row>
    <row r="250" spans="1:40" x14ac:dyDescent="0.25">
      <c r="A250">
        <v>249</v>
      </c>
      <c r="B250">
        <f ca="1">SMALL(dados!A$23:A$422,A250)</f>
        <v>0.62795509174576947</v>
      </c>
      <c r="C250">
        <f ca="1">VLOOKUP(B250,dados!A$23:E$422,4,0)</f>
        <v>3</v>
      </c>
      <c r="D250">
        <f ca="1">VLOOKUP(B250,dados!A$23:E$422,5,0)</f>
        <v>27</v>
      </c>
      <c r="E250">
        <f ca="1">COUNTIF(C$2:C250,1)</f>
        <v>176</v>
      </c>
      <c r="F250">
        <f ca="1">COUNTIF(C$2:C250,2)</f>
        <v>46</v>
      </c>
      <c r="G250">
        <f ca="1">COUNTIF(C$2:C250,3)</f>
        <v>27</v>
      </c>
      <c r="L250">
        <v>247</v>
      </c>
      <c r="M250">
        <v>13.06</v>
      </c>
      <c r="N250">
        <v>13.141875000000001</v>
      </c>
      <c r="O250">
        <v>13.252666666666665</v>
      </c>
      <c r="P250">
        <v>13.858611111111111</v>
      </c>
      <c r="AG250">
        <v>1</v>
      </c>
      <c r="AH250" t="e">
        <f t="shared" si="22"/>
        <v>#N/A</v>
      </c>
      <c r="AI250">
        <f t="shared" si="26"/>
        <v>2</v>
      </c>
      <c r="AJ250" t="e">
        <f t="shared" si="23"/>
        <v>#N/A</v>
      </c>
      <c r="AK250">
        <f t="shared" si="27"/>
        <v>3</v>
      </c>
      <c r="AL250" t="e">
        <f t="shared" si="24"/>
        <v>#N/A</v>
      </c>
      <c r="AM250">
        <f t="shared" si="28"/>
        <v>4</v>
      </c>
      <c r="AN250" t="e">
        <f t="shared" si="25"/>
        <v>#N/A</v>
      </c>
    </row>
    <row r="251" spans="1:40" x14ac:dyDescent="0.25">
      <c r="A251">
        <v>250</v>
      </c>
      <c r="B251">
        <f ca="1">SMALL(dados!A$23:A$422,A251)</f>
        <v>0.63025919466631541</v>
      </c>
      <c r="C251">
        <f ca="1">VLOOKUP(B251,dados!A$23:E$422,4,0)</f>
        <v>1</v>
      </c>
      <c r="D251">
        <f ca="1">VLOOKUP(B251,dados!A$23:E$422,5,0)</f>
        <v>7</v>
      </c>
      <c r="E251">
        <f ca="1">COUNTIF(C$2:C251,1)</f>
        <v>177</v>
      </c>
      <c r="F251">
        <f ca="1">COUNTIF(C$2:C251,2)</f>
        <v>46</v>
      </c>
      <c r="G251">
        <f ca="1">COUNTIF(C$2:C251,3)</f>
        <v>27</v>
      </c>
      <c r="L251">
        <v>248</v>
      </c>
      <c r="M251">
        <v>12.61875</v>
      </c>
      <c r="N251">
        <v>12.625624999999999</v>
      </c>
      <c r="O251">
        <v>13.317833333333335</v>
      </c>
      <c r="P251">
        <v>13.938458333333335</v>
      </c>
      <c r="AG251">
        <v>1</v>
      </c>
      <c r="AH251" t="e">
        <f t="shared" si="22"/>
        <v>#N/A</v>
      </c>
      <c r="AI251">
        <f t="shared" si="26"/>
        <v>2</v>
      </c>
      <c r="AJ251" t="e">
        <f t="shared" si="23"/>
        <v>#N/A</v>
      </c>
      <c r="AK251">
        <f t="shared" si="27"/>
        <v>3</v>
      </c>
      <c r="AL251" t="e">
        <f t="shared" si="24"/>
        <v>#N/A</v>
      </c>
      <c r="AM251">
        <f t="shared" si="28"/>
        <v>4</v>
      </c>
      <c r="AN251" t="e">
        <f t="shared" si="25"/>
        <v>#N/A</v>
      </c>
    </row>
    <row r="252" spans="1:40" x14ac:dyDescent="0.25">
      <c r="A252">
        <v>251</v>
      </c>
      <c r="B252">
        <f ca="1">SMALL(dados!A$23:A$422,A252)</f>
        <v>0.6343228613697115</v>
      </c>
      <c r="C252">
        <f ca="1">VLOOKUP(B252,dados!A$23:E$422,4,0)</f>
        <v>1</v>
      </c>
      <c r="D252">
        <f ca="1">VLOOKUP(B252,dados!A$23:E$422,5,0)</f>
        <v>4</v>
      </c>
      <c r="E252">
        <f ca="1">COUNTIF(C$2:C252,1)</f>
        <v>178</v>
      </c>
      <c r="F252">
        <f ca="1">COUNTIF(C$2:C252,2)</f>
        <v>46</v>
      </c>
      <c r="G252">
        <f ca="1">COUNTIF(C$2:C252,3)</f>
        <v>27</v>
      </c>
      <c r="L252">
        <v>249</v>
      </c>
      <c r="M252">
        <v>16.166250000000002</v>
      </c>
      <c r="N252">
        <v>15.851875</v>
      </c>
      <c r="O252">
        <v>14.580055555555557</v>
      </c>
      <c r="P252">
        <v>14.462770833333334</v>
      </c>
      <c r="AG252">
        <v>1</v>
      </c>
      <c r="AH252" t="e">
        <f t="shared" si="22"/>
        <v>#N/A</v>
      </c>
      <c r="AI252">
        <f t="shared" si="26"/>
        <v>2</v>
      </c>
      <c r="AJ252" t="e">
        <f t="shared" si="23"/>
        <v>#N/A</v>
      </c>
      <c r="AK252">
        <f t="shared" si="27"/>
        <v>3</v>
      </c>
      <c r="AL252" t="e">
        <f t="shared" si="24"/>
        <v>#N/A</v>
      </c>
      <c r="AM252">
        <f t="shared" si="28"/>
        <v>4</v>
      </c>
      <c r="AN252" t="e">
        <f t="shared" si="25"/>
        <v>#N/A</v>
      </c>
    </row>
    <row r="253" spans="1:40" x14ac:dyDescent="0.25">
      <c r="A253">
        <v>252</v>
      </c>
      <c r="B253">
        <f ca="1">SMALL(dados!A$23:A$422,A253)</f>
        <v>0.6348926873980224</v>
      </c>
      <c r="C253">
        <f ca="1">VLOOKUP(B253,dados!A$23:E$422,4,0)</f>
        <v>1</v>
      </c>
      <c r="D253">
        <f ca="1">VLOOKUP(B253,dados!A$23:E$422,5,0)</f>
        <v>9</v>
      </c>
      <c r="E253">
        <f ca="1">COUNTIF(C$2:C253,1)</f>
        <v>179</v>
      </c>
      <c r="F253">
        <f ca="1">COUNTIF(C$2:C253,2)</f>
        <v>46</v>
      </c>
      <c r="G253">
        <f ca="1">COUNTIF(C$2:C253,3)</f>
        <v>27</v>
      </c>
      <c r="L253">
        <v>250</v>
      </c>
      <c r="M253">
        <v>13.682499999999999</v>
      </c>
      <c r="N253">
        <v>13.525</v>
      </c>
      <c r="O253">
        <v>13.69072222222222</v>
      </c>
      <c r="P253">
        <v>13.726305555555557</v>
      </c>
      <c r="AG253">
        <v>1</v>
      </c>
      <c r="AH253" t="e">
        <f t="shared" si="22"/>
        <v>#N/A</v>
      </c>
      <c r="AI253">
        <f t="shared" si="26"/>
        <v>2</v>
      </c>
      <c r="AJ253" t="e">
        <f t="shared" si="23"/>
        <v>#N/A</v>
      </c>
      <c r="AK253">
        <f t="shared" si="27"/>
        <v>3</v>
      </c>
      <c r="AL253" t="e">
        <f t="shared" si="24"/>
        <v>#N/A</v>
      </c>
      <c r="AM253">
        <f t="shared" si="28"/>
        <v>4</v>
      </c>
      <c r="AN253" t="e">
        <f t="shared" si="25"/>
        <v>#N/A</v>
      </c>
    </row>
    <row r="254" spans="1:40" x14ac:dyDescent="0.25">
      <c r="A254">
        <v>253</v>
      </c>
      <c r="B254">
        <f ca="1">SMALL(dados!A$23:A$422,A254)</f>
        <v>0.6382285477059817</v>
      </c>
      <c r="C254">
        <f ca="1">VLOOKUP(B254,dados!A$23:E$422,4,0)</f>
        <v>1</v>
      </c>
      <c r="D254">
        <f ca="1">VLOOKUP(B254,dados!A$23:E$422,5,0)</f>
        <v>10</v>
      </c>
      <c r="E254">
        <f ca="1">COUNTIF(C$2:C254,1)</f>
        <v>180</v>
      </c>
      <c r="F254">
        <f ca="1">COUNTIF(C$2:C254,2)</f>
        <v>46</v>
      </c>
      <c r="G254">
        <f ca="1">COUNTIF(C$2:C254,3)</f>
        <v>27</v>
      </c>
      <c r="L254">
        <v>251</v>
      </c>
      <c r="M254">
        <v>15.42625</v>
      </c>
      <c r="N254">
        <v>14.48</v>
      </c>
      <c r="O254">
        <v>13.371444444444444</v>
      </c>
      <c r="P254">
        <v>13.430493055555557</v>
      </c>
      <c r="AG254">
        <v>1</v>
      </c>
      <c r="AH254" t="e">
        <f t="shared" si="22"/>
        <v>#N/A</v>
      </c>
      <c r="AI254">
        <f t="shared" si="26"/>
        <v>2</v>
      </c>
      <c r="AJ254" t="e">
        <f t="shared" si="23"/>
        <v>#N/A</v>
      </c>
      <c r="AK254">
        <f t="shared" si="27"/>
        <v>3</v>
      </c>
      <c r="AL254" t="e">
        <f t="shared" si="24"/>
        <v>#N/A</v>
      </c>
      <c r="AM254">
        <f t="shared" si="28"/>
        <v>4</v>
      </c>
      <c r="AN254" t="e">
        <f t="shared" si="25"/>
        <v>#N/A</v>
      </c>
    </row>
    <row r="255" spans="1:40" x14ac:dyDescent="0.25">
      <c r="A255">
        <v>254</v>
      </c>
      <c r="B255">
        <f ca="1">SMALL(dados!A$23:A$422,A255)</f>
        <v>0.64358256447213436</v>
      </c>
      <c r="C255">
        <f ca="1">VLOOKUP(B255,dados!A$23:E$422,4,0)</f>
        <v>1</v>
      </c>
      <c r="D255">
        <f ca="1">VLOOKUP(B255,dados!A$23:E$422,5,0)</f>
        <v>8</v>
      </c>
      <c r="E255">
        <f ca="1">COUNTIF(C$2:C255,1)</f>
        <v>181</v>
      </c>
      <c r="F255">
        <f ca="1">COUNTIF(C$2:C255,2)</f>
        <v>46</v>
      </c>
      <c r="G255">
        <f ca="1">COUNTIF(C$2:C255,3)</f>
        <v>27</v>
      </c>
      <c r="L255">
        <v>252</v>
      </c>
      <c r="M255">
        <v>13.98625</v>
      </c>
      <c r="N255">
        <v>14.280625000000001</v>
      </c>
      <c r="O255">
        <v>14.105736111111112</v>
      </c>
      <c r="P255">
        <v>14.210506944444447</v>
      </c>
      <c r="AG255">
        <v>1</v>
      </c>
      <c r="AH255" t="e">
        <f t="shared" si="22"/>
        <v>#N/A</v>
      </c>
      <c r="AI255">
        <f t="shared" si="26"/>
        <v>2</v>
      </c>
      <c r="AJ255" t="e">
        <f t="shared" si="23"/>
        <v>#N/A</v>
      </c>
      <c r="AK255">
        <f t="shared" si="27"/>
        <v>3</v>
      </c>
      <c r="AL255" t="e">
        <f t="shared" si="24"/>
        <v>#N/A</v>
      </c>
      <c r="AM255">
        <f t="shared" si="28"/>
        <v>4</v>
      </c>
      <c r="AN255" t="e">
        <f t="shared" si="25"/>
        <v>#N/A</v>
      </c>
    </row>
    <row r="256" spans="1:40" x14ac:dyDescent="0.25">
      <c r="A256">
        <v>255</v>
      </c>
      <c r="B256">
        <f ca="1">SMALL(dados!A$23:A$422,A256)</f>
        <v>0.64546975300411757</v>
      </c>
      <c r="C256">
        <f ca="1">VLOOKUP(B256,dados!A$23:E$422,4,0)</f>
        <v>2</v>
      </c>
      <c r="D256">
        <f ca="1">VLOOKUP(B256,dados!A$23:E$422,5,0)</f>
        <v>26</v>
      </c>
      <c r="E256">
        <f ca="1">COUNTIF(C$2:C256,1)</f>
        <v>181</v>
      </c>
      <c r="F256">
        <f ca="1">COUNTIF(C$2:C256,2)</f>
        <v>47</v>
      </c>
      <c r="G256">
        <f ca="1">COUNTIF(C$2:C256,3)</f>
        <v>27</v>
      </c>
      <c r="L256">
        <v>253</v>
      </c>
      <c r="M256">
        <v>12.58375</v>
      </c>
      <c r="N256">
        <v>12.276249999999999</v>
      </c>
      <c r="O256">
        <v>13.178805555555554</v>
      </c>
      <c r="P256">
        <v>13.794361111111114</v>
      </c>
      <c r="AG256">
        <v>1</v>
      </c>
      <c r="AH256" t="e">
        <f t="shared" si="22"/>
        <v>#N/A</v>
      </c>
      <c r="AI256">
        <f t="shared" si="26"/>
        <v>2</v>
      </c>
      <c r="AJ256" t="e">
        <f t="shared" si="23"/>
        <v>#N/A</v>
      </c>
      <c r="AK256">
        <f t="shared" si="27"/>
        <v>3</v>
      </c>
      <c r="AL256" t="e">
        <f t="shared" si="24"/>
        <v>#N/A</v>
      </c>
      <c r="AM256">
        <f t="shared" si="28"/>
        <v>4</v>
      </c>
      <c r="AN256" t="e">
        <f t="shared" si="25"/>
        <v>#N/A</v>
      </c>
    </row>
    <row r="257" spans="1:40" x14ac:dyDescent="0.25">
      <c r="A257">
        <v>256</v>
      </c>
      <c r="B257">
        <f ca="1">SMALL(dados!A$23:A$422,A257)</f>
        <v>0.65544453688661519</v>
      </c>
      <c r="C257">
        <f ca="1">VLOOKUP(B257,dados!A$23:E$422,4,0)</f>
        <v>2</v>
      </c>
      <c r="D257">
        <f ca="1">VLOOKUP(B257,dados!A$23:E$422,5,0)</f>
        <v>18</v>
      </c>
      <c r="E257">
        <f ca="1">COUNTIF(C$2:C257,1)</f>
        <v>181</v>
      </c>
      <c r="F257">
        <f ca="1">COUNTIF(C$2:C257,2)</f>
        <v>48</v>
      </c>
      <c r="G257">
        <f ca="1">COUNTIF(C$2:C257,3)</f>
        <v>27</v>
      </c>
      <c r="L257">
        <v>254</v>
      </c>
      <c r="M257">
        <v>12.81625</v>
      </c>
      <c r="N257">
        <v>13.352499999999999</v>
      </c>
      <c r="O257">
        <v>13.647680555555555</v>
      </c>
      <c r="P257">
        <v>14.000652777777777</v>
      </c>
      <c r="AG257">
        <v>1</v>
      </c>
      <c r="AH257" t="e">
        <f t="shared" si="22"/>
        <v>#N/A</v>
      </c>
      <c r="AI257">
        <f t="shared" si="26"/>
        <v>2</v>
      </c>
      <c r="AJ257" t="e">
        <f t="shared" si="23"/>
        <v>#N/A</v>
      </c>
      <c r="AK257">
        <f t="shared" si="27"/>
        <v>3</v>
      </c>
      <c r="AL257" t="e">
        <f t="shared" si="24"/>
        <v>#N/A</v>
      </c>
      <c r="AM257">
        <f t="shared" si="28"/>
        <v>4</v>
      </c>
      <c r="AN257" t="e">
        <f t="shared" si="25"/>
        <v>#N/A</v>
      </c>
    </row>
    <row r="258" spans="1:40" x14ac:dyDescent="0.25">
      <c r="A258">
        <v>257</v>
      </c>
      <c r="B258">
        <f ca="1">SMALL(dados!A$23:A$422,A258)</f>
        <v>0.65663887702453194</v>
      </c>
      <c r="C258">
        <f ca="1">VLOOKUP(B258,dados!A$23:E$422,4,0)</f>
        <v>1</v>
      </c>
      <c r="D258">
        <f ca="1">VLOOKUP(B258,dados!A$23:E$422,5,0)</f>
        <v>7</v>
      </c>
      <c r="E258">
        <f ca="1">COUNTIF(C$2:C258,1)</f>
        <v>182</v>
      </c>
      <c r="F258">
        <f ca="1">COUNTIF(C$2:C258,2)</f>
        <v>48</v>
      </c>
      <c r="G258">
        <f ca="1">COUNTIF(C$2:C258,3)</f>
        <v>27</v>
      </c>
      <c r="L258">
        <v>255</v>
      </c>
      <c r="M258">
        <v>11.248749999999999</v>
      </c>
      <c r="N258">
        <v>11.781874999999999</v>
      </c>
      <c r="O258">
        <v>13.362125000000001</v>
      </c>
      <c r="P258">
        <v>13.58070138888889</v>
      </c>
      <c r="AG258">
        <v>1</v>
      </c>
      <c r="AH258" t="e">
        <f t="shared" si="22"/>
        <v>#N/A</v>
      </c>
      <c r="AI258">
        <f t="shared" si="26"/>
        <v>2</v>
      </c>
      <c r="AJ258">
        <f t="shared" si="23"/>
        <v>11.781874999999999</v>
      </c>
      <c r="AK258">
        <f t="shared" si="27"/>
        <v>3</v>
      </c>
      <c r="AL258" t="e">
        <f t="shared" si="24"/>
        <v>#N/A</v>
      </c>
      <c r="AM258">
        <f t="shared" si="28"/>
        <v>4</v>
      </c>
      <c r="AN258" t="e">
        <f t="shared" si="25"/>
        <v>#N/A</v>
      </c>
    </row>
    <row r="259" spans="1:40" x14ac:dyDescent="0.25">
      <c r="A259">
        <v>258</v>
      </c>
      <c r="B259">
        <f ca="1">SMALL(dados!A$23:A$422,A259)</f>
        <v>0.65739687001813374</v>
      </c>
      <c r="C259">
        <f ca="1">VLOOKUP(B259,dados!A$23:E$422,4,0)</f>
        <v>1</v>
      </c>
      <c r="D259">
        <f ca="1">VLOOKUP(B259,dados!A$23:E$422,5,0)</f>
        <v>15</v>
      </c>
      <c r="E259">
        <f ca="1">COUNTIF(C$2:C259,1)</f>
        <v>183</v>
      </c>
      <c r="F259">
        <f ca="1">COUNTIF(C$2:C259,2)</f>
        <v>48</v>
      </c>
      <c r="G259">
        <f ca="1">COUNTIF(C$2:C259,3)</f>
        <v>27</v>
      </c>
      <c r="L259">
        <v>256</v>
      </c>
      <c r="M259">
        <v>15.3575</v>
      </c>
      <c r="N259">
        <v>14.851875</v>
      </c>
      <c r="O259">
        <v>14.829722222222221</v>
      </c>
      <c r="P259">
        <v>14.525423611111114</v>
      </c>
      <c r="AG259">
        <v>1</v>
      </c>
      <c r="AH259" t="e">
        <f t="shared" si="22"/>
        <v>#N/A</v>
      </c>
      <c r="AI259">
        <f t="shared" si="26"/>
        <v>2</v>
      </c>
      <c r="AJ259" t="e">
        <f t="shared" si="23"/>
        <v>#N/A</v>
      </c>
      <c r="AK259">
        <f t="shared" si="27"/>
        <v>3</v>
      </c>
      <c r="AL259" t="e">
        <f t="shared" si="24"/>
        <v>#N/A</v>
      </c>
      <c r="AM259">
        <f t="shared" si="28"/>
        <v>4</v>
      </c>
      <c r="AN259" t="e">
        <f t="shared" si="25"/>
        <v>#N/A</v>
      </c>
    </row>
    <row r="260" spans="1:40" x14ac:dyDescent="0.25">
      <c r="A260">
        <v>259</v>
      </c>
      <c r="B260">
        <f ca="1">SMALL(dados!A$23:A$422,A260)</f>
        <v>0.66328950687237476</v>
      </c>
      <c r="C260">
        <f ca="1">VLOOKUP(B260,dados!A$23:E$422,4,0)</f>
        <v>1</v>
      </c>
      <c r="D260">
        <f ca="1">VLOOKUP(B260,dados!A$23:E$422,5,0)</f>
        <v>11</v>
      </c>
      <c r="E260">
        <f ca="1">COUNTIF(C$2:C260,1)</f>
        <v>184</v>
      </c>
      <c r="F260">
        <f ca="1">COUNTIF(C$2:C260,2)</f>
        <v>48</v>
      </c>
      <c r="G260">
        <f ca="1">COUNTIF(C$2:C260,3)</f>
        <v>27</v>
      </c>
      <c r="L260">
        <v>257</v>
      </c>
      <c r="M260">
        <v>12.095000000000001</v>
      </c>
      <c r="N260">
        <v>13.76125</v>
      </c>
      <c r="O260">
        <v>13.536652777777778</v>
      </c>
      <c r="P260">
        <v>14.176555555555556</v>
      </c>
      <c r="AG260">
        <v>1</v>
      </c>
      <c r="AH260" t="e">
        <f t="shared" ref="AH260:AH323" si="29">IF(OR(M260&lt;S$3,M260&gt;S$7),M260,#N/A)</f>
        <v>#N/A</v>
      </c>
      <c r="AI260">
        <f t="shared" si="26"/>
        <v>2</v>
      </c>
      <c r="AJ260" t="e">
        <f t="shared" ref="AJ260:AJ323" si="30">IF(OR(N260&lt;T$3,N260&gt;T$7),N260,#N/A)</f>
        <v>#N/A</v>
      </c>
      <c r="AK260">
        <f t="shared" si="27"/>
        <v>3</v>
      </c>
      <c r="AL260" t="e">
        <f t="shared" ref="AL260:AL323" si="31">IF(OR(O260&lt;U$3,O260&gt;U$7),O260,#N/A)</f>
        <v>#N/A</v>
      </c>
      <c r="AM260">
        <f t="shared" si="28"/>
        <v>4</v>
      </c>
      <c r="AN260" t="e">
        <f t="shared" ref="AN260:AN323" si="32">IF(OR(P260&lt;V$3,P260&gt;V$7),P260,#N/A)</f>
        <v>#N/A</v>
      </c>
    </row>
    <row r="261" spans="1:40" x14ac:dyDescent="0.25">
      <c r="A261">
        <v>260</v>
      </c>
      <c r="B261">
        <f ca="1">SMALL(dados!A$23:A$422,A261)</f>
        <v>0.66532627530864352</v>
      </c>
      <c r="C261">
        <f ca="1">VLOOKUP(B261,dados!A$23:E$422,4,0)</f>
        <v>1</v>
      </c>
      <c r="D261">
        <f ca="1">VLOOKUP(B261,dados!A$23:E$422,5,0)</f>
        <v>10</v>
      </c>
      <c r="E261">
        <f ca="1">COUNTIF(C$2:C261,1)</f>
        <v>185</v>
      </c>
      <c r="F261">
        <f ca="1">COUNTIF(C$2:C261,2)</f>
        <v>48</v>
      </c>
      <c r="G261">
        <f ca="1">COUNTIF(C$2:C261,3)</f>
        <v>27</v>
      </c>
      <c r="L261">
        <v>258</v>
      </c>
      <c r="M261">
        <v>14.015000000000001</v>
      </c>
      <c r="N261">
        <v>14.315625000000001</v>
      </c>
      <c r="O261">
        <v>14.435722222222221</v>
      </c>
      <c r="P261">
        <v>14.364201388888887</v>
      </c>
      <c r="AG261">
        <v>1</v>
      </c>
      <c r="AH261" t="e">
        <f t="shared" si="29"/>
        <v>#N/A</v>
      </c>
      <c r="AI261">
        <f t="shared" ref="AI261:AI324" si="33">AG261+1</f>
        <v>2</v>
      </c>
      <c r="AJ261" t="e">
        <f t="shared" si="30"/>
        <v>#N/A</v>
      </c>
      <c r="AK261">
        <f t="shared" ref="AK261:AK324" si="34">AI261+1</f>
        <v>3</v>
      </c>
      <c r="AL261" t="e">
        <f t="shared" si="31"/>
        <v>#N/A</v>
      </c>
      <c r="AM261">
        <f t="shared" ref="AM261:AM324" si="35">AK261+1</f>
        <v>4</v>
      </c>
      <c r="AN261" t="e">
        <f t="shared" si="32"/>
        <v>#N/A</v>
      </c>
    </row>
    <row r="262" spans="1:40" x14ac:dyDescent="0.25">
      <c r="A262">
        <v>261</v>
      </c>
      <c r="B262">
        <f ca="1">SMALL(dados!A$23:A$422,A262)</f>
        <v>0.66850583159794841</v>
      </c>
      <c r="C262">
        <f ca="1">VLOOKUP(B262,dados!A$23:E$422,4,0)</f>
        <v>2</v>
      </c>
      <c r="D262">
        <f ca="1">VLOOKUP(B262,dados!A$23:E$422,5,0)</f>
        <v>23</v>
      </c>
      <c r="E262">
        <f ca="1">COUNTIF(C$2:C262,1)</f>
        <v>185</v>
      </c>
      <c r="F262">
        <f ca="1">COUNTIF(C$2:C262,2)</f>
        <v>49</v>
      </c>
      <c r="G262">
        <f ca="1">COUNTIF(C$2:C262,3)</f>
        <v>27</v>
      </c>
      <c r="L262">
        <v>259</v>
      </c>
      <c r="M262">
        <v>15.08625</v>
      </c>
      <c r="N262">
        <v>14.615</v>
      </c>
      <c r="O262">
        <v>14.119361111111111</v>
      </c>
      <c r="P262">
        <v>13.871583333333334</v>
      </c>
      <c r="AG262">
        <v>1</v>
      </c>
      <c r="AH262" t="e">
        <f t="shared" si="29"/>
        <v>#N/A</v>
      </c>
      <c r="AI262">
        <f t="shared" si="33"/>
        <v>2</v>
      </c>
      <c r="AJ262" t="e">
        <f t="shared" si="30"/>
        <v>#N/A</v>
      </c>
      <c r="AK262">
        <f t="shared" si="34"/>
        <v>3</v>
      </c>
      <c r="AL262" t="e">
        <f t="shared" si="31"/>
        <v>#N/A</v>
      </c>
      <c r="AM262">
        <f t="shared" si="35"/>
        <v>4</v>
      </c>
      <c r="AN262" t="e">
        <f t="shared" si="32"/>
        <v>#N/A</v>
      </c>
    </row>
    <row r="263" spans="1:40" x14ac:dyDescent="0.25">
      <c r="A263">
        <v>262</v>
      </c>
      <c r="B263">
        <f ca="1">SMALL(dados!A$23:A$422,A263)</f>
        <v>0.66864565504457407</v>
      </c>
      <c r="C263">
        <f ca="1">VLOOKUP(B263,dados!A$23:E$422,4,0)</f>
        <v>2</v>
      </c>
      <c r="D263">
        <f ca="1">VLOOKUP(B263,dados!A$23:E$422,5,0)</f>
        <v>19</v>
      </c>
      <c r="E263">
        <f ca="1">COUNTIF(C$2:C263,1)</f>
        <v>185</v>
      </c>
      <c r="F263">
        <f ca="1">COUNTIF(C$2:C263,2)</f>
        <v>50</v>
      </c>
      <c r="G263">
        <f ca="1">COUNTIF(C$2:C263,3)</f>
        <v>27</v>
      </c>
      <c r="L263">
        <v>260</v>
      </c>
      <c r="M263">
        <v>13.13125</v>
      </c>
      <c r="N263">
        <v>13.568125</v>
      </c>
      <c r="O263">
        <v>13.543208333333332</v>
      </c>
      <c r="P263">
        <v>13.545708333333334</v>
      </c>
      <c r="AG263">
        <v>1</v>
      </c>
      <c r="AH263" t="e">
        <f t="shared" si="29"/>
        <v>#N/A</v>
      </c>
      <c r="AI263">
        <f t="shared" si="33"/>
        <v>2</v>
      </c>
      <c r="AJ263" t="e">
        <f t="shared" si="30"/>
        <v>#N/A</v>
      </c>
      <c r="AK263">
        <f t="shared" si="34"/>
        <v>3</v>
      </c>
      <c r="AL263" t="e">
        <f t="shared" si="31"/>
        <v>#N/A</v>
      </c>
      <c r="AM263">
        <f t="shared" si="35"/>
        <v>4</v>
      </c>
      <c r="AN263" t="e">
        <f t="shared" si="32"/>
        <v>#N/A</v>
      </c>
    </row>
    <row r="264" spans="1:40" x14ac:dyDescent="0.25">
      <c r="A264">
        <v>263</v>
      </c>
      <c r="B264">
        <f ca="1">SMALL(dados!A$23:A$422,A264)</f>
        <v>0.67337154936369359</v>
      </c>
      <c r="C264">
        <f ca="1">VLOOKUP(B264,dados!A$23:E$422,4,0)</f>
        <v>1</v>
      </c>
      <c r="D264">
        <f ca="1">VLOOKUP(B264,dados!A$23:E$422,5,0)</f>
        <v>16</v>
      </c>
      <c r="E264">
        <f ca="1">COUNTIF(C$2:C264,1)</f>
        <v>186</v>
      </c>
      <c r="F264">
        <f ca="1">COUNTIF(C$2:C264,2)</f>
        <v>50</v>
      </c>
      <c r="G264">
        <f ca="1">COUNTIF(C$2:C264,3)</f>
        <v>27</v>
      </c>
      <c r="L264">
        <v>261</v>
      </c>
      <c r="M264">
        <v>12.723750000000001</v>
      </c>
      <c r="N264">
        <v>13.22625</v>
      </c>
      <c r="O264">
        <v>13.896666666666668</v>
      </c>
      <c r="P264">
        <v>14.199458333333334</v>
      </c>
      <c r="AG264">
        <v>1</v>
      </c>
      <c r="AH264" t="e">
        <f t="shared" si="29"/>
        <v>#N/A</v>
      </c>
      <c r="AI264">
        <f t="shared" si="33"/>
        <v>2</v>
      </c>
      <c r="AJ264" t="e">
        <f t="shared" si="30"/>
        <v>#N/A</v>
      </c>
      <c r="AK264">
        <f t="shared" si="34"/>
        <v>3</v>
      </c>
      <c r="AL264" t="e">
        <f t="shared" si="31"/>
        <v>#N/A</v>
      </c>
      <c r="AM264">
        <f t="shared" si="35"/>
        <v>4</v>
      </c>
      <c r="AN264" t="e">
        <f t="shared" si="32"/>
        <v>#N/A</v>
      </c>
    </row>
    <row r="265" spans="1:40" x14ac:dyDescent="0.25">
      <c r="A265">
        <v>264</v>
      </c>
      <c r="B265">
        <f ca="1">SMALL(dados!A$23:A$422,A265)</f>
        <v>0.67743762164980859</v>
      </c>
      <c r="C265">
        <f ca="1">VLOOKUP(B265,dados!A$23:E$422,4,0)</f>
        <v>1</v>
      </c>
      <c r="D265">
        <f ca="1">VLOOKUP(B265,dados!A$23:E$422,5,0)</f>
        <v>9</v>
      </c>
      <c r="E265">
        <f ca="1">COUNTIF(C$2:C265,1)</f>
        <v>187</v>
      </c>
      <c r="F265">
        <f ca="1">COUNTIF(C$2:C265,2)</f>
        <v>50</v>
      </c>
      <c r="G265">
        <f ca="1">COUNTIF(C$2:C265,3)</f>
        <v>27</v>
      </c>
      <c r="L265">
        <v>262</v>
      </c>
      <c r="M265">
        <v>11.645</v>
      </c>
      <c r="N265">
        <v>12.621874999999999</v>
      </c>
      <c r="O265">
        <v>13.731541666666667</v>
      </c>
      <c r="P265">
        <v>13.223743055555554</v>
      </c>
      <c r="AG265">
        <v>1</v>
      </c>
      <c r="AH265" t="e">
        <f t="shared" si="29"/>
        <v>#N/A</v>
      </c>
      <c r="AI265">
        <f t="shared" si="33"/>
        <v>2</v>
      </c>
      <c r="AJ265" t="e">
        <f t="shared" si="30"/>
        <v>#N/A</v>
      </c>
      <c r="AK265">
        <f t="shared" si="34"/>
        <v>3</v>
      </c>
      <c r="AL265" t="e">
        <f t="shared" si="31"/>
        <v>#N/A</v>
      </c>
      <c r="AM265">
        <f t="shared" si="35"/>
        <v>4</v>
      </c>
      <c r="AN265" t="e">
        <f t="shared" si="32"/>
        <v>#N/A</v>
      </c>
    </row>
    <row r="266" spans="1:40" x14ac:dyDescent="0.25">
      <c r="A266">
        <v>265</v>
      </c>
      <c r="B266">
        <f ca="1">SMALL(dados!A$23:A$422,A266)</f>
        <v>0.68075038601852089</v>
      </c>
      <c r="C266">
        <f ca="1">VLOOKUP(B266,dados!A$23:E$422,4,0)</f>
        <v>1</v>
      </c>
      <c r="D266">
        <f ca="1">VLOOKUP(B266,dados!A$23:E$422,5,0)</f>
        <v>10</v>
      </c>
      <c r="E266">
        <f ca="1">COUNTIF(C$2:C266,1)</f>
        <v>188</v>
      </c>
      <c r="F266">
        <f ca="1">COUNTIF(C$2:C266,2)</f>
        <v>50</v>
      </c>
      <c r="G266">
        <f ca="1">COUNTIF(C$2:C266,3)</f>
        <v>27</v>
      </c>
      <c r="L266">
        <v>263</v>
      </c>
      <c r="M266">
        <v>13.516249999999999</v>
      </c>
      <c r="N266">
        <v>14.33625</v>
      </c>
      <c r="O266">
        <v>13.658791666666668</v>
      </c>
      <c r="P266">
        <v>13.763145833333333</v>
      </c>
      <c r="AG266">
        <v>1</v>
      </c>
      <c r="AH266" t="e">
        <f t="shared" si="29"/>
        <v>#N/A</v>
      </c>
      <c r="AI266">
        <f t="shared" si="33"/>
        <v>2</v>
      </c>
      <c r="AJ266" t="e">
        <f t="shared" si="30"/>
        <v>#N/A</v>
      </c>
      <c r="AK266">
        <f t="shared" si="34"/>
        <v>3</v>
      </c>
      <c r="AL266" t="e">
        <f t="shared" si="31"/>
        <v>#N/A</v>
      </c>
      <c r="AM266">
        <f t="shared" si="35"/>
        <v>4</v>
      </c>
      <c r="AN266" t="e">
        <f t="shared" si="32"/>
        <v>#N/A</v>
      </c>
    </row>
    <row r="267" spans="1:40" x14ac:dyDescent="0.25">
      <c r="A267">
        <v>266</v>
      </c>
      <c r="B267">
        <f ca="1">SMALL(dados!A$23:A$422,A267)</f>
        <v>0.68360007790759381</v>
      </c>
      <c r="C267">
        <f ca="1">VLOOKUP(B267,dados!A$23:E$422,4,0)</f>
        <v>2</v>
      </c>
      <c r="D267">
        <f ca="1">VLOOKUP(B267,dados!A$23:E$422,5,0)</f>
        <v>22</v>
      </c>
      <c r="E267">
        <f ca="1">COUNTIF(C$2:C267,1)</f>
        <v>188</v>
      </c>
      <c r="F267">
        <f ca="1">COUNTIF(C$2:C267,2)</f>
        <v>51</v>
      </c>
      <c r="G267">
        <f ca="1">COUNTIF(C$2:C267,3)</f>
        <v>27</v>
      </c>
      <c r="L267">
        <v>264</v>
      </c>
      <c r="M267">
        <v>13.54875</v>
      </c>
      <c r="N267">
        <v>13.569375000000001</v>
      </c>
      <c r="O267">
        <v>14.613222222222221</v>
      </c>
      <c r="P267">
        <v>14.284076388888888</v>
      </c>
      <c r="AG267">
        <v>1</v>
      </c>
      <c r="AH267" t="e">
        <f t="shared" si="29"/>
        <v>#N/A</v>
      </c>
      <c r="AI267">
        <f t="shared" si="33"/>
        <v>2</v>
      </c>
      <c r="AJ267" t="e">
        <f t="shared" si="30"/>
        <v>#N/A</v>
      </c>
      <c r="AK267">
        <f t="shared" si="34"/>
        <v>3</v>
      </c>
      <c r="AL267" t="e">
        <f t="shared" si="31"/>
        <v>#N/A</v>
      </c>
      <c r="AM267">
        <f t="shared" si="35"/>
        <v>4</v>
      </c>
      <c r="AN267" t="e">
        <f t="shared" si="32"/>
        <v>#N/A</v>
      </c>
    </row>
    <row r="268" spans="1:40" x14ac:dyDescent="0.25">
      <c r="A268">
        <v>267</v>
      </c>
      <c r="B268">
        <f ca="1">SMALL(dados!A$23:A$422,A268)</f>
        <v>0.68744433038596497</v>
      </c>
      <c r="C268">
        <f ca="1">VLOOKUP(B268,dados!A$23:E$422,4,0)</f>
        <v>1</v>
      </c>
      <c r="D268">
        <f ca="1">VLOOKUP(B268,dados!A$23:E$422,5,0)</f>
        <v>15</v>
      </c>
      <c r="E268">
        <f ca="1">COUNTIF(C$2:C268,1)</f>
        <v>189</v>
      </c>
      <c r="F268">
        <f ca="1">COUNTIF(C$2:C268,2)</f>
        <v>51</v>
      </c>
      <c r="G268">
        <f ca="1">COUNTIF(C$2:C268,3)</f>
        <v>27</v>
      </c>
      <c r="L268">
        <v>265</v>
      </c>
      <c r="M268">
        <v>14.555</v>
      </c>
      <c r="N268">
        <v>13.779375</v>
      </c>
      <c r="O268">
        <v>13.569180555555556</v>
      </c>
      <c r="P268">
        <v>13.761888888888887</v>
      </c>
      <c r="AG268">
        <v>1</v>
      </c>
      <c r="AH268" t="e">
        <f t="shared" si="29"/>
        <v>#N/A</v>
      </c>
      <c r="AI268">
        <f t="shared" si="33"/>
        <v>2</v>
      </c>
      <c r="AJ268" t="e">
        <f t="shared" si="30"/>
        <v>#N/A</v>
      </c>
      <c r="AK268">
        <f t="shared" si="34"/>
        <v>3</v>
      </c>
      <c r="AL268" t="e">
        <f t="shared" si="31"/>
        <v>#N/A</v>
      </c>
      <c r="AM268">
        <f t="shared" si="35"/>
        <v>4</v>
      </c>
      <c r="AN268" t="e">
        <f t="shared" si="32"/>
        <v>#N/A</v>
      </c>
    </row>
    <row r="269" spans="1:40" x14ac:dyDescent="0.25">
      <c r="A269">
        <v>268</v>
      </c>
      <c r="B269">
        <f ca="1">SMALL(dados!A$23:A$422,A269)</f>
        <v>0.70068878288172554</v>
      </c>
      <c r="C269">
        <f ca="1">VLOOKUP(B269,dados!A$23:E$422,4,0)</f>
        <v>1</v>
      </c>
      <c r="D269">
        <f ca="1">VLOOKUP(B269,dados!A$23:E$422,5,0)</f>
        <v>8</v>
      </c>
      <c r="E269">
        <f ca="1">COUNTIF(C$2:C269,1)</f>
        <v>190</v>
      </c>
      <c r="F269">
        <f ca="1">COUNTIF(C$2:C269,2)</f>
        <v>51</v>
      </c>
      <c r="G269">
        <f ca="1">COUNTIF(C$2:C269,3)</f>
        <v>27</v>
      </c>
      <c r="L269">
        <v>266</v>
      </c>
      <c r="M269">
        <v>14.956250000000001</v>
      </c>
      <c r="N269">
        <v>15.051875000000001</v>
      </c>
      <c r="O269">
        <v>14.263444444444444</v>
      </c>
      <c r="P269">
        <v>14.144368055555555</v>
      </c>
      <c r="AG269">
        <v>1</v>
      </c>
      <c r="AH269" t="e">
        <f t="shared" si="29"/>
        <v>#N/A</v>
      </c>
      <c r="AI269">
        <f t="shared" si="33"/>
        <v>2</v>
      </c>
      <c r="AJ269" t="e">
        <f t="shared" si="30"/>
        <v>#N/A</v>
      </c>
      <c r="AK269">
        <f t="shared" si="34"/>
        <v>3</v>
      </c>
      <c r="AL269" t="e">
        <f t="shared" si="31"/>
        <v>#N/A</v>
      </c>
      <c r="AM269">
        <f t="shared" si="35"/>
        <v>4</v>
      </c>
      <c r="AN269" t="e">
        <f t="shared" si="32"/>
        <v>#N/A</v>
      </c>
    </row>
    <row r="270" spans="1:40" x14ac:dyDescent="0.25">
      <c r="A270">
        <v>269</v>
      </c>
      <c r="B270">
        <f ca="1">SMALL(dados!A$23:A$422,A270)</f>
        <v>0.70483225223264778</v>
      </c>
      <c r="C270">
        <f ca="1">VLOOKUP(B270,dados!A$23:E$422,4,0)</f>
        <v>1</v>
      </c>
      <c r="D270">
        <f ca="1">VLOOKUP(B270,dados!A$23:E$422,5,0)</f>
        <v>12</v>
      </c>
      <c r="E270">
        <f ca="1">COUNTIF(C$2:C270,1)</f>
        <v>191</v>
      </c>
      <c r="F270">
        <f ca="1">COUNTIF(C$2:C270,2)</f>
        <v>51</v>
      </c>
      <c r="G270">
        <f ca="1">COUNTIF(C$2:C270,3)</f>
        <v>27</v>
      </c>
      <c r="L270">
        <v>267</v>
      </c>
      <c r="M270">
        <v>13.786250000000001</v>
      </c>
      <c r="N270">
        <v>13.864375000000001</v>
      </c>
      <c r="O270">
        <v>13.426486111111112</v>
      </c>
      <c r="P270">
        <v>13.275479166666663</v>
      </c>
      <c r="AG270">
        <v>1</v>
      </c>
      <c r="AH270" t="e">
        <f t="shared" si="29"/>
        <v>#N/A</v>
      </c>
      <c r="AI270">
        <f t="shared" si="33"/>
        <v>2</v>
      </c>
      <c r="AJ270" t="e">
        <f t="shared" si="30"/>
        <v>#N/A</v>
      </c>
      <c r="AK270">
        <f t="shared" si="34"/>
        <v>3</v>
      </c>
      <c r="AL270" t="e">
        <f t="shared" si="31"/>
        <v>#N/A</v>
      </c>
      <c r="AM270">
        <f t="shared" si="35"/>
        <v>4</v>
      </c>
      <c r="AN270" t="e">
        <f t="shared" si="32"/>
        <v>#N/A</v>
      </c>
    </row>
    <row r="271" spans="1:40" x14ac:dyDescent="0.25">
      <c r="A271">
        <v>270</v>
      </c>
      <c r="B271">
        <f ca="1">SMALL(dados!A$23:A$422,A271)</f>
        <v>0.70581658991402241</v>
      </c>
      <c r="C271">
        <f ca="1">VLOOKUP(B271,dados!A$23:E$422,4,0)</f>
        <v>1</v>
      </c>
      <c r="D271">
        <f ca="1">VLOOKUP(B271,dados!A$23:E$422,5,0)</f>
        <v>10</v>
      </c>
      <c r="E271">
        <f ca="1">COUNTIF(C$2:C271,1)</f>
        <v>192</v>
      </c>
      <c r="F271">
        <f ca="1">COUNTIF(C$2:C271,2)</f>
        <v>51</v>
      </c>
      <c r="G271">
        <f ca="1">COUNTIF(C$2:C271,3)</f>
        <v>27</v>
      </c>
      <c r="L271">
        <v>268</v>
      </c>
      <c r="M271">
        <v>10.703749999999999</v>
      </c>
      <c r="N271">
        <v>12.121874999999999</v>
      </c>
      <c r="O271">
        <v>13.474597222222222</v>
      </c>
      <c r="P271">
        <v>13.719722222222222</v>
      </c>
      <c r="AG271">
        <v>1</v>
      </c>
      <c r="AH271">
        <f t="shared" si="29"/>
        <v>10.703749999999999</v>
      </c>
      <c r="AI271">
        <f t="shared" si="33"/>
        <v>2</v>
      </c>
      <c r="AJ271">
        <f t="shared" si="30"/>
        <v>12.121874999999999</v>
      </c>
      <c r="AK271">
        <f t="shared" si="34"/>
        <v>3</v>
      </c>
      <c r="AL271" t="e">
        <f t="shared" si="31"/>
        <v>#N/A</v>
      </c>
      <c r="AM271">
        <f t="shared" si="35"/>
        <v>4</v>
      </c>
      <c r="AN271" t="e">
        <f t="shared" si="32"/>
        <v>#N/A</v>
      </c>
    </row>
    <row r="272" spans="1:40" x14ac:dyDescent="0.25">
      <c r="A272">
        <v>271</v>
      </c>
      <c r="B272">
        <f ca="1">SMALL(dados!A$23:A$422,A272)</f>
        <v>0.71080853814323619</v>
      </c>
      <c r="C272">
        <f ca="1">VLOOKUP(B272,dados!A$23:E$422,4,0)</f>
        <v>1</v>
      </c>
      <c r="D272">
        <f ca="1">VLOOKUP(B272,dados!A$23:E$422,5,0)</f>
        <v>10</v>
      </c>
      <c r="E272">
        <f ca="1">COUNTIF(C$2:C272,1)</f>
        <v>193</v>
      </c>
      <c r="F272">
        <f ca="1">COUNTIF(C$2:C272,2)</f>
        <v>51</v>
      </c>
      <c r="G272">
        <f ca="1">COUNTIF(C$2:C272,3)</f>
        <v>27</v>
      </c>
      <c r="L272">
        <v>269</v>
      </c>
      <c r="M272">
        <v>13.713749999999999</v>
      </c>
      <c r="N272">
        <v>14.028124999999999</v>
      </c>
      <c r="O272">
        <v>13.617736111111112</v>
      </c>
      <c r="P272">
        <v>13.756402777777778</v>
      </c>
      <c r="AG272">
        <v>1</v>
      </c>
      <c r="AH272" t="e">
        <f t="shared" si="29"/>
        <v>#N/A</v>
      </c>
      <c r="AI272">
        <f t="shared" si="33"/>
        <v>2</v>
      </c>
      <c r="AJ272" t="e">
        <f t="shared" si="30"/>
        <v>#N/A</v>
      </c>
      <c r="AK272">
        <f t="shared" si="34"/>
        <v>3</v>
      </c>
      <c r="AL272" t="e">
        <f t="shared" si="31"/>
        <v>#N/A</v>
      </c>
      <c r="AM272">
        <f t="shared" si="35"/>
        <v>4</v>
      </c>
      <c r="AN272" t="e">
        <f t="shared" si="32"/>
        <v>#N/A</v>
      </c>
    </row>
    <row r="273" spans="1:40" x14ac:dyDescent="0.25">
      <c r="A273">
        <v>272</v>
      </c>
      <c r="B273">
        <f ca="1">SMALL(dados!A$23:A$422,A273)</f>
        <v>0.71343022814402735</v>
      </c>
      <c r="C273">
        <f ca="1">VLOOKUP(B273,dados!A$23:E$422,4,0)</f>
        <v>1</v>
      </c>
      <c r="D273">
        <f ca="1">VLOOKUP(B273,dados!A$23:E$422,5,0)</f>
        <v>10</v>
      </c>
      <c r="E273">
        <f ca="1">COUNTIF(C$2:C273,1)</f>
        <v>194</v>
      </c>
      <c r="F273">
        <f ca="1">COUNTIF(C$2:C273,2)</f>
        <v>51</v>
      </c>
      <c r="G273">
        <f ca="1">COUNTIF(C$2:C273,3)</f>
        <v>27</v>
      </c>
      <c r="L273">
        <v>270</v>
      </c>
      <c r="M273">
        <v>13.16375</v>
      </c>
      <c r="N273">
        <v>14.513125</v>
      </c>
      <c r="O273">
        <v>14.101027777777778</v>
      </c>
      <c r="P273">
        <v>14.095979166666668</v>
      </c>
      <c r="AG273">
        <v>1</v>
      </c>
      <c r="AH273" t="e">
        <f t="shared" si="29"/>
        <v>#N/A</v>
      </c>
      <c r="AI273">
        <f t="shared" si="33"/>
        <v>2</v>
      </c>
      <c r="AJ273" t="e">
        <f t="shared" si="30"/>
        <v>#N/A</v>
      </c>
      <c r="AK273">
        <f t="shared" si="34"/>
        <v>3</v>
      </c>
      <c r="AL273" t="e">
        <f t="shared" si="31"/>
        <v>#N/A</v>
      </c>
      <c r="AM273">
        <f t="shared" si="35"/>
        <v>4</v>
      </c>
      <c r="AN273" t="e">
        <f t="shared" si="32"/>
        <v>#N/A</v>
      </c>
    </row>
    <row r="274" spans="1:40" x14ac:dyDescent="0.25">
      <c r="A274">
        <v>273</v>
      </c>
      <c r="B274">
        <f ca="1">SMALL(dados!A$23:A$422,A274)</f>
        <v>0.71439758197543268</v>
      </c>
      <c r="C274">
        <f ca="1">VLOOKUP(B274,dados!A$23:E$422,4,0)</f>
        <v>1</v>
      </c>
      <c r="D274">
        <f ca="1">VLOOKUP(B274,dados!A$23:E$422,5,0)</f>
        <v>10</v>
      </c>
      <c r="E274">
        <f ca="1">COUNTIF(C$2:C274,1)</f>
        <v>195</v>
      </c>
      <c r="F274">
        <f ca="1">COUNTIF(C$2:C274,2)</f>
        <v>51</v>
      </c>
      <c r="G274">
        <f ca="1">COUNTIF(C$2:C274,3)</f>
        <v>27</v>
      </c>
      <c r="L274">
        <v>271</v>
      </c>
      <c r="M274">
        <v>13.07625</v>
      </c>
      <c r="N274">
        <v>13.400625</v>
      </c>
      <c r="O274">
        <v>13.532430555555557</v>
      </c>
      <c r="P274">
        <v>13.807076388888891</v>
      </c>
      <c r="AG274">
        <v>1</v>
      </c>
      <c r="AH274" t="e">
        <f t="shared" si="29"/>
        <v>#N/A</v>
      </c>
      <c r="AI274">
        <f t="shared" si="33"/>
        <v>2</v>
      </c>
      <c r="AJ274" t="e">
        <f t="shared" si="30"/>
        <v>#N/A</v>
      </c>
      <c r="AK274">
        <f t="shared" si="34"/>
        <v>3</v>
      </c>
      <c r="AL274" t="e">
        <f t="shared" si="31"/>
        <v>#N/A</v>
      </c>
      <c r="AM274">
        <f t="shared" si="35"/>
        <v>4</v>
      </c>
      <c r="AN274" t="e">
        <f t="shared" si="32"/>
        <v>#N/A</v>
      </c>
    </row>
    <row r="275" spans="1:40" x14ac:dyDescent="0.25">
      <c r="A275">
        <v>274</v>
      </c>
      <c r="B275">
        <f ca="1">SMALL(dados!A$23:A$422,A275)</f>
        <v>0.71512267317426859</v>
      </c>
      <c r="C275">
        <f ca="1">VLOOKUP(B275,dados!A$23:E$422,4,0)</f>
        <v>1</v>
      </c>
      <c r="D275">
        <f ca="1">VLOOKUP(B275,dados!A$23:E$422,5,0)</f>
        <v>10</v>
      </c>
      <c r="E275">
        <f ca="1">COUNTIF(C$2:C275,1)</f>
        <v>196</v>
      </c>
      <c r="F275">
        <f ca="1">COUNTIF(C$2:C275,2)</f>
        <v>51</v>
      </c>
      <c r="G275">
        <f ca="1">COUNTIF(C$2:C275,3)</f>
        <v>27</v>
      </c>
      <c r="L275">
        <v>272</v>
      </c>
      <c r="M275">
        <v>14.09125</v>
      </c>
      <c r="N275">
        <v>13.623749999999999</v>
      </c>
      <c r="O275">
        <v>13.47115277777778</v>
      </c>
      <c r="P275">
        <v>13.665722222222222</v>
      </c>
      <c r="AG275">
        <v>1</v>
      </c>
      <c r="AH275" t="e">
        <f t="shared" si="29"/>
        <v>#N/A</v>
      </c>
      <c r="AI275">
        <f t="shared" si="33"/>
        <v>2</v>
      </c>
      <c r="AJ275" t="e">
        <f t="shared" si="30"/>
        <v>#N/A</v>
      </c>
      <c r="AK275">
        <f t="shared" si="34"/>
        <v>3</v>
      </c>
      <c r="AL275" t="e">
        <f t="shared" si="31"/>
        <v>#N/A</v>
      </c>
      <c r="AM275">
        <f t="shared" si="35"/>
        <v>4</v>
      </c>
      <c r="AN275" t="e">
        <f t="shared" si="32"/>
        <v>#N/A</v>
      </c>
    </row>
    <row r="276" spans="1:40" x14ac:dyDescent="0.25">
      <c r="A276">
        <v>275</v>
      </c>
      <c r="B276">
        <f ca="1">SMALL(dados!A$23:A$422,A276)</f>
        <v>0.71537377781831835</v>
      </c>
      <c r="C276">
        <f ca="1">VLOOKUP(B276,dados!A$23:E$422,4,0)</f>
        <v>1</v>
      </c>
      <c r="D276">
        <f ca="1">VLOOKUP(B276,dados!A$23:E$422,5,0)</f>
        <v>8</v>
      </c>
      <c r="E276">
        <f ca="1">COUNTIF(C$2:C276,1)</f>
        <v>197</v>
      </c>
      <c r="F276">
        <f ca="1">COUNTIF(C$2:C276,2)</f>
        <v>51</v>
      </c>
      <c r="G276">
        <f ca="1">COUNTIF(C$2:C276,3)</f>
        <v>27</v>
      </c>
      <c r="L276">
        <v>273</v>
      </c>
      <c r="M276">
        <v>13.12875</v>
      </c>
      <c r="N276">
        <v>13.651249999999999</v>
      </c>
      <c r="O276">
        <v>13.506625</v>
      </c>
      <c r="P276">
        <v>13.58604861111111</v>
      </c>
      <c r="AG276">
        <v>1</v>
      </c>
      <c r="AH276" t="e">
        <f t="shared" si="29"/>
        <v>#N/A</v>
      </c>
      <c r="AI276">
        <f t="shared" si="33"/>
        <v>2</v>
      </c>
      <c r="AJ276" t="e">
        <f t="shared" si="30"/>
        <v>#N/A</v>
      </c>
      <c r="AK276">
        <f t="shared" si="34"/>
        <v>3</v>
      </c>
      <c r="AL276" t="e">
        <f t="shared" si="31"/>
        <v>#N/A</v>
      </c>
      <c r="AM276">
        <f t="shared" si="35"/>
        <v>4</v>
      </c>
      <c r="AN276" t="e">
        <f t="shared" si="32"/>
        <v>#N/A</v>
      </c>
    </row>
    <row r="277" spans="1:40" x14ac:dyDescent="0.25">
      <c r="A277">
        <v>276</v>
      </c>
      <c r="B277">
        <f ca="1">SMALL(dados!A$23:A$422,A277)</f>
        <v>0.71906676052182594</v>
      </c>
      <c r="C277">
        <f ca="1">VLOOKUP(B277,dados!A$23:E$422,4,0)</f>
        <v>1</v>
      </c>
      <c r="D277">
        <f ca="1">VLOOKUP(B277,dados!A$23:E$422,5,0)</f>
        <v>16</v>
      </c>
      <c r="E277">
        <f ca="1">COUNTIF(C$2:C277,1)</f>
        <v>198</v>
      </c>
      <c r="F277">
        <f ca="1">COUNTIF(C$2:C277,2)</f>
        <v>51</v>
      </c>
      <c r="G277">
        <f ca="1">COUNTIF(C$2:C277,3)</f>
        <v>27</v>
      </c>
      <c r="L277">
        <v>274</v>
      </c>
      <c r="M277">
        <v>13.358750000000001</v>
      </c>
      <c r="N277">
        <v>14.03875</v>
      </c>
      <c r="O277">
        <v>14.061263888888888</v>
      </c>
      <c r="P277">
        <v>13.953548611111112</v>
      </c>
      <c r="AG277">
        <v>1</v>
      </c>
      <c r="AH277" t="e">
        <f t="shared" si="29"/>
        <v>#N/A</v>
      </c>
      <c r="AI277">
        <f t="shared" si="33"/>
        <v>2</v>
      </c>
      <c r="AJ277" t="e">
        <f t="shared" si="30"/>
        <v>#N/A</v>
      </c>
      <c r="AK277">
        <f t="shared" si="34"/>
        <v>3</v>
      </c>
      <c r="AL277" t="e">
        <f t="shared" si="31"/>
        <v>#N/A</v>
      </c>
      <c r="AM277">
        <f t="shared" si="35"/>
        <v>4</v>
      </c>
      <c r="AN277" t="e">
        <f t="shared" si="32"/>
        <v>#N/A</v>
      </c>
    </row>
    <row r="278" spans="1:40" x14ac:dyDescent="0.25">
      <c r="A278">
        <v>277</v>
      </c>
      <c r="B278">
        <f ca="1">SMALL(dados!A$23:A$422,A278)</f>
        <v>0.72246114746096379</v>
      </c>
      <c r="C278">
        <f ca="1">VLOOKUP(B278,dados!A$23:E$422,4,0)</f>
        <v>1</v>
      </c>
      <c r="D278">
        <f ca="1">VLOOKUP(B278,dados!A$23:E$422,5,0)</f>
        <v>12</v>
      </c>
      <c r="E278">
        <f ca="1">COUNTIF(C$2:C278,1)</f>
        <v>199</v>
      </c>
      <c r="F278">
        <f ca="1">COUNTIF(C$2:C278,2)</f>
        <v>51</v>
      </c>
      <c r="G278">
        <f ca="1">COUNTIF(C$2:C278,3)</f>
        <v>27</v>
      </c>
      <c r="L278">
        <v>275</v>
      </c>
      <c r="M278">
        <v>16.138750000000002</v>
      </c>
      <c r="N278">
        <v>14.796250000000001</v>
      </c>
      <c r="O278">
        <v>14.92213888888889</v>
      </c>
      <c r="P278">
        <v>14.134180555555556</v>
      </c>
      <c r="AG278">
        <v>1</v>
      </c>
      <c r="AH278" t="e">
        <f t="shared" si="29"/>
        <v>#N/A</v>
      </c>
      <c r="AI278">
        <f t="shared" si="33"/>
        <v>2</v>
      </c>
      <c r="AJ278" t="e">
        <f t="shared" si="30"/>
        <v>#N/A</v>
      </c>
      <c r="AK278">
        <f t="shared" si="34"/>
        <v>3</v>
      </c>
      <c r="AL278" t="e">
        <f t="shared" si="31"/>
        <v>#N/A</v>
      </c>
      <c r="AM278">
        <f t="shared" si="35"/>
        <v>4</v>
      </c>
      <c r="AN278" t="e">
        <f t="shared" si="32"/>
        <v>#N/A</v>
      </c>
    </row>
    <row r="279" spans="1:40" x14ac:dyDescent="0.25">
      <c r="A279">
        <v>278</v>
      </c>
      <c r="B279">
        <f ca="1">SMALL(dados!A$23:A$422,A279)</f>
        <v>0.72371078340134976</v>
      </c>
      <c r="C279">
        <f ca="1">VLOOKUP(B279,dados!A$23:E$422,4,0)</f>
        <v>1</v>
      </c>
      <c r="D279">
        <f ca="1">VLOOKUP(B279,dados!A$23:E$422,5,0)</f>
        <v>12</v>
      </c>
      <c r="E279">
        <f ca="1">COUNTIF(C$2:C279,1)</f>
        <v>200</v>
      </c>
      <c r="F279">
        <f ca="1">COUNTIF(C$2:C279,2)</f>
        <v>51</v>
      </c>
      <c r="G279">
        <f ca="1">COUNTIF(C$2:C279,3)</f>
        <v>27</v>
      </c>
      <c r="L279">
        <v>276</v>
      </c>
      <c r="M279">
        <v>14.053750000000001</v>
      </c>
      <c r="N279">
        <v>14.190625000000001</v>
      </c>
      <c r="O279">
        <v>14.307166666666667</v>
      </c>
      <c r="P279">
        <v>14.004736111111107</v>
      </c>
      <c r="AG279">
        <v>1</v>
      </c>
      <c r="AH279" t="e">
        <f t="shared" si="29"/>
        <v>#N/A</v>
      </c>
      <c r="AI279">
        <f t="shared" si="33"/>
        <v>2</v>
      </c>
      <c r="AJ279" t="e">
        <f t="shared" si="30"/>
        <v>#N/A</v>
      </c>
      <c r="AK279">
        <f t="shared" si="34"/>
        <v>3</v>
      </c>
      <c r="AL279" t="e">
        <f t="shared" si="31"/>
        <v>#N/A</v>
      </c>
      <c r="AM279">
        <f t="shared" si="35"/>
        <v>4</v>
      </c>
      <c r="AN279" t="e">
        <f t="shared" si="32"/>
        <v>#N/A</v>
      </c>
    </row>
    <row r="280" spans="1:40" x14ac:dyDescent="0.25">
      <c r="A280">
        <v>279</v>
      </c>
      <c r="B280">
        <f ca="1">SMALL(dados!A$23:A$422,A280)</f>
        <v>0.72492009622314901</v>
      </c>
      <c r="C280">
        <f ca="1">VLOOKUP(B280,dados!A$23:E$422,4,0)</f>
        <v>3</v>
      </c>
      <c r="D280">
        <f ca="1">VLOOKUP(B280,dados!A$23:E$422,5,0)</f>
        <v>39</v>
      </c>
      <c r="E280">
        <f ca="1">COUNTIF(C$2:C280,1)</f>
        <v>200</v>
      </c>
      <c r="F280">
        <f ca="1">COUNTIF(C$2:C280,2)</f>
        <v>51</v>
      </c>
      <c r="G280">
        <f ca="1">COUNTIF(C$2:C280,3)</f>
        <v>28</v>
      </c>
      <c r="L280">
        <v>277</v>
      </c>
      <c r="M280">
        <v>13.36875</v>
      </c>
      <c r="N280">
        <v>14.82375</v>
      </c>
      <c r="O280">
        <v>14.160472222222221</v>
      </c>
      <c r="P280">
        <v>14.145250000000001</v>
      </c>
      <c r="AG280">
        <v>1</v>
      </c>
      <c r="AH280" t="e">
        <f t="shared" si="29"/>
        <v>#N/A</v>
      </c>
      <c r="AI280">
        <f t="shared" si="33"/>
        <v>2</v>
      </c>
      <c r="AJ280" t="e">
        <f t="shared" si="30"/>
        <v>#N/A</v>
      </c>
      <c r="AK280">
        <f t="shared" si="34"/>
        <v>3</v>
      </c>
      <c r="AL280" t="e">
        <f t="shared" si="31"/>
        <v>#N/A</v>
      </c>
      <c r="AM280">
        <f t="shared" si="35"/>
        <v>4</v>
      </c>
      <c r="AN280" t="e">
        <f t="shared" si="32"/>
        <v>#N/A</v>
      </c>
    </row>
    <row r="281" spans="1:40" x14ac:dyDescent="0.25">
      <c r="A281">
        <v>280</v>
      </c>
      <c r="B281">
        <f ca="1">SMALL(dados!A$23:A$422,A281)</f>
        <v>0.73097429913138845</v>
      </c>
      <c r="C281">
        <f ca="1">VLOOKUP(B281,dados!A$23:E$422,4,0)</f>
        <v>1</v>
      </c>
      <c r="D281">
        <f ca="1">VLOOKUP(B281,dados!A$23:E$422,5,0)</f>
        <v>19</v>
      </c>
      <c r="E281">
        <f ca="1">COUNTIF(C$2:C281,1)</f>
        <v>201</v>
      </c>
      <c r="F281">
        <f ca="1">COUNTIF(C$2:C281,2)</f>
        <v>51</v>
      </c>
      <c r="G281">
        <f ca="1">COUNTIF(C$2:C281,3)</f>
        <v>28</v>
      </c>
      <c r="L281">
        <v>278</v>
      </c>
      <c r="M281">
        <v>14.866250000000001</v>
      </c>
      <c r="N281">
        <v>14.961874999999999</v>
      </c>
      <c r="O281">
        <v>13.932555555555558</v>
      </c>
      <c r="P281">
        <v>14.140166666666664</v>
      </c>
      <c r="AG281">
        <v>1</v>
      </c>
      <c r="AH281" t="e">
        <f t="shared" si="29"/>
        <v>#N/A</v>
      </c>
      <c r="AI281">
        <f t="shared" si="33"/>
        <v>2</v>
      </c>
      <c r="AJ281" t="e">
        <f t="shared" si="30"/>
        <v>#N/A</v>
      </c>
      <c r="AK281">
        <f t="shared" si="34"/>
        <v>3</v>
      </c>
      <c r="AL281" t="e">
        <f t="shared" si="31"/>
        <v>#N/A</v>
      </c>
      <c r="AM281">
        <f t="shared" si="35"/>
        <v>4</v>
      </c>
      <c r="AN281" t="e">
        <f t="shared" si="32"/>
        <v>#N/A</v>
      </c>
    </row>
    <row r="282" spans="1:40" x14ac:dyDescent="0.25">
      <c r="A282">
        <v>281</v>
      </c>
      <c r="B282">
        <f ca="1">SMALL(dados!A$23:A$422,A282)</f>
        <v>0.73113977567601285</v>
      </c>
      <c r="C282">
        <f ca="1">VLOOKUP(B282,dados!A$23:E$422,4,0)</f>
        <v>1</v>
      </c>
      <c r="D282">
        <f ca="1">VLOOKUP(B282,dados!A$23:E$422,5,0)</f>
        <v>10</v>
      </c>
      <c r="E282">
        <f ca="1">COUNTIF(C$2:C282,1)</f>
        <v>202</v>
      </c>
      <c r="F282">
        <f ca="1">COUNTIF(C$2:C282,2)</f>
        <v>51</v>
      </c>
      <c r="G282">
        <f ca="1">COUNTIF(C$2:C282,3)</f>
        <v>28</v>
      </c>
      <c r="L282">
        <v>279</v>
      </c>
      <c r="M282">
        <v>13.02125</v>
      </c>
      <c r="N282">
        <v>13.04875</v>
      </c>
      <c r="O282">
        <v>13.335152777777777</v>
      </c>
      <c r="P282">
        <v>13.461180555555556</v>
      </c>
      <c r="AG282">
        <v>1</v>
      </c>
      <c r="AH282" t="e">
        <f t="shared" si="29"/>
        <v>#N/A</v>
      </c>
      <c r="AI282">
        <f t="shared" si="33"/>
        <v>2</v>
      </c>
      <c r="AJ282" t="e">
        <f t="shared" si="30"/>
        <v>#N/A</v>
      </c>
      <c r="AK282">
        <f t="shared" si="34"/>
        <v>3</v>
      </c>
      <c r="AL282" t="e">
        <f t="shared" si="31"/>
        <v>#N/A</v>
      </c>
      <c r="AM282">
        <f t="shared" si="35"/>
        <v>4</v>
      </c>
      <c r="AN282" t="e">
        <f t="shared" si="32"/>
        <v>#N/A</v>
      </c>
    </row>
    <row r="283" spans="1:40" x14ac:dyDescent="0.25">
      <c r="A283">
        <v>282</v>
      </c>
      <c r="B283">
        <f ca="1">SMALL(dados!A$23:A$422,A283)</f>
        <v>0.73311336632015789</v>
      </c>
      <c r="C283">
        <f ca="1">VLOOKUP(B283,dados!A$23:E$422,4,0)</f>
        <v>1</v>
      </c>
      <c r="D283">
        <f ca="1">VLOOKUP(B283,dados!A$23:E$422,5,0)</f>
        <v>12</v>
      </c>
      <c r="E283">
        <f ca="1">COUNTIF(C$2:C283,1)</f>
        <v>203</v>
      </c>
      <c r="F283">
        <f ca="1">COUNTIF(C$2:C283,2)</f>
        <v>51</v>
      </c>
      <c r="G283">
        <f ca="1">COUNTIF(C$2:C283,3)</f>
        <v>28</v>
      </c>
      <c r="L283">
        <v>280</v>
      </c>
      <c r="M283">
        <v>11.89875</v>
      </c>
      <c r="N283">
        <v>12.695</v>
      </c>
      <c r="O283">
        <v>13.144958333333332</v>
      </c>
      <c r="P283">
        <v>13.608840277777778</v>
      </c>
      <c r="AG283">
        <v>1</v>
      </c>
      <c r="AH283" t="e">
        <f t="shared" si="29"/>
        <v>#N/A</v>
      </c>
      <c r="AI283">
        <f t="shared" si="33"/>
        <v>2</v>
      </c>
      <c r="AJ283" t="e">
        <f t="shared" si="30"/>
        <v>#N/A</v>
      </c>
      <c r="AK283">
        <f t="shared" si="34"/>
        <v>3</v>
      </c>
      <c r="AL283" t="e">
        <f t="shared" si="31"/>
        <v>#N/A</v>
      </c>
      <c r="AM283">
        <f t="shared" si="35"/>
        <v>4</v>
      </c>
      <c r="AN283" t="e">
        <f t="shared" si="32"/>
        <v>#N/A</v>
      </c>
    </row>
    <row r="284" spans="1:40" x14ac:dyDescent="0.25">
      <c r="A284">
        <v>283</v>
      </c>
      <c r="B284">
        <f ca="1">SMALL(dados!A$23:A$422,A284)</f>
        <v>0.73517930321625524</v>
      </c>
      <c r="C284">
        <f ca="1">VLOOKUP(B284,dados!A$23:E$422,4,0)</f>
        <v>1</v>
      </c>
      <c r="D284">
        <f ca="1">VLOOKUP(B284,dados!A$23:E$422,5,0)</f>
        <v>13</v>
      </c>
      <c r="E284">
        <f ca="1">COUNTIF(C$2:C284,1)</f>
        <v>204</v>
      </c>
      <c r="F284">
        <f ca="1">COUNTIF(C$2:C284,2)</f>
        <v>51</v>
      </c>
      <c r="G284">
        <f ca="1">COUNTIF(C$2:C284,3)</f>
        <v>28</v>
      </c>
      <c r="L284">
        <v>281</v>
      </c>
      <c r="M284">
        <v>13.5075</v>
      </c>
      <c r="N284">
        <v>14.095000000000001</v>
      </c>
      <c r="O284">
        <v>14.504361111111114</v>
      </c>
      <c r="P284">
        <v>14.218819444444444</v>
      </c>
      <c r="AG284">
        <v>1</v>
      </c>
      <c r="AH284" t="e">
        <f t="shared" si="29"/>
        <v>#N/A</v>
      </c>
      <c r="AI284">
        <f t="shared" si="33"/>
        <v>2</v>
      </c>
      <c r="AJ284" t="e">
        <f t="shared" si="30"/>
        <v>#N/A</v>
      </c>
      <c r="AK284">
        <f t="shared" si="34"/>
        <v>3</v>
      </c>
      <c r="AL284" t="e">
        <f t="shared" si="31"/>
        <v>#N/A</v>
      </c>
      <c r="AM284">
        <f t="shared" si="35"/>
        <v>4</v>
      </c>
      <c r="AN284" t="e">
        <f t="shared" si="32"/>
        <v>#N/A</v>
      </c>
    </row>
    <row r="285" spans="1:40" x14ac:dyDescent="0.25">
      <c r="A285">
        <v>284</v>
      </c>
      <c r="B285">
        <f ca="1">SMALL(dados!A$23:A$422,A285)</f>
        <v>0.73924315726818035</v>
      </c>
      <c r="C285">
        <f ca="1">VLOOKUP(B285,dados!A$23:E$422,4,0)</f>
        <v>1</v>
      </c>
      <c r="D285">
        <f ca="1">VLOOKUP(B285,dados!A$23:E$422,5,0)</f>
        <v>7</v>
      </c>
      <c r="E285">
        <f ca="1">COUNTIF(C$2:C285,1)</f>
        <v>205</v>
      </c>
      <c r="F285">
        <f ca="1">COUNTIF(C$2:C285,2)</f>
        <v>51</v>
      </c>
      <c r="G285">
        <f ca="1">COUNTIF(C$2:C285,3)</f>
        <v>28</v>
      </c>
      <c r="L285">
        <v>282</v>
      </c>
      <c r="M285">
        <v>11.3775</v>
      </c>
      <c r="N285">
        <v>12.935</v>
      </c>
      <c r="O285">
        <v>13.366361111111109</v>
      </c>
      <c r="P285">
        <v>13.643576388888887</v>
      </c>
      <c r="AG285">
        <v>1</v>
      </c>
      <c r="AH285" t="e">
        <f t="shared" si="29"/>
        <v>#N/A</v>
      </c>
      <c r="AI285">
        <f t="shared" si="33"/>
        <v>2</v>
      </c>
      <c r="AJ285" t="e">
        <f t="shared" si="30"/>
        <v>#N/A</v>
      </c>
      <c r="AK285">
        <f t="shared" si="34"/>
        <v>3</v>
      </c>
      <c r="AL285" t="e">
        <f t="shared" si="31"/>
        <v>#N/A</v>
      </c>
      <c r="AM285">
        <f t="shared" si="35"/>
        <v>4</v>
      </c>
      <c r="AN285" t="e">
        <f t="shared" si="32"/>
        <v>#N/A</v>
      </c>
    </row>
    <row r="286" spans="1:40" x14ac:dyDescent="0.25">
      <c r="A286">
        <v>285</v>
      </c>
      <c r="B286">
        <f ca="1">SMALL(dados!A$23:A$422,A286)</f>
        <v>0.74237162317394789</v>
      </c>
      <c r="C286">
        <f ca="1">VLOOKUP(B286,dados!A$23:E$422,4,0)</f>
        <v>1</v>
      </c>
      <c r="D286">
        <f ca="1">VLOOKUP(B286,dados!A$23:E$422,5,0)</f>
        <v>8</v>
      </c>
      <c r="E286">
        <f ca="1">COUNTIF(C$2:C286,1)</f>
        <v>206</v>
      </c>
      <c r="F286">
        <f ca="1">COUNTIF(C$2:C286,2)</f>
        <v>51</v>
      </c>
      <c r="G286">
        <f ca="1">COUNTIF(C$2:C286,3)</f>
        <v>28</v>
      </c>
      <c r="L286">
        <v>283</v>
      </c>
      <c r="M286">
        <v>15.686249999999999</v>
      </c>
      <c r="N286">
        <v>14.815</v>
      </c>
      <c r="O286">
        <v>14.239555555555558</v>
      </c>
      <c r="P286">
        <v>14.273631944444444</v>
      </c>
      <c r="AG286">
        <v>1</v>
      </c>
      <c r="AH286" t="e">
        <f t="shared" si="29"/>
        <v>#N/A</v>
      </c>
      <c r="AI286">
        <f t="shared" si="33"/>
        <v>2</v>
      </c>
      <c r="AJ286" t="e">
        <f t="shared" si="30"/>
        <v>#N/A</v>
      </c>
      <c r="AK286">
        <f t="shared" si="34"/>
        <v>3</v>
      </c>
      <c r="AL286" t="e">
        <f t="shared" si="31"/>
        <v>#N/A</v>
      </c>
      <c r="AM286">
        <f t="shared" si="35"/>
        <v>4</v>
      </c>
      <c r="AN286" t="e">
        <f t="shared" si="32"/>
        <v>#N/A</v>
      </c>
    </row>
    <row r="287" spans="1:40" x14ac:dyDescent="0.25">
      <c r="A287">
        <v>286</v>
      </c>
      <c r="B287">
        <f ca="1">SMALL(dados!A$23:A$422,A287)</f>
        <v>0.74254116494200362</v>
      </c>
      <c r="C287">
        <f ca="1">VLOOKUP(B287,dados!A$23:E$422,4,0)</f>
        <v>2</v>
      </c>
      <c r="D287">
        <f ca="1">VLOOKUP(B287,dados!A$23:E$422,5,0)</f>
        <v>22</v>
      </c>
      <c r="E287">
        <f ca="1">COUNTIF(C$2:C287,1)</f>
        <v>206</v>
      </c>
      <c r="F287">
        <f ca="1">COUNTIF(C$2:C287,2)</f>
        <v>52</v>
      </c>
      <c r="G287">
        <f ca="1">COUNTIF(C$2:C287,3)</f>
        <v>28</v>
      </c>
      <c r="L287">
        <v>284</v>
      </c>
      <c r="M287">
        <v>15.866250000000001</v>
      </c>
      <c r="N287">
        <v>15.18</v>
      </c>
      <c r="O287">
        <v>14.141013888888891</v>
      </c>
      <c r="P287">
        <v>14.049826388888889</v>
      </c>
      <c r="AG287">
        <v>1</v>
      </c>
      <c r="AH287" t="e">
        <f t="shared" si="29"/>
        <v>#N/A</v>
      </c>
      <c r="AI287">
        <f t="shared" si="33"/>
        <v>2</v>
      </c>
      <c r="AJ287" t="e">
        <f t="shared" si="30"/>
        <v>#N/A</v>
      </c>
      <c r="AK287">
        <f t="shared" si="34"/>
        <v>3</v>
      </c>
      <c r="AL287" t="e">
        <f t="shared" si="31"/>
        <v>#N/A</v>
      </c>
      <c r="AM287">
        <f t="shared" si="35"/>
        <v>4</v>
      </c>
      <c r="AN287" t="e">
        <f t="shared" si="32"/>
        <v>#N/A</v>
      </c>
    </row>
    <row r="288" spans="1:40" x14ac:dyDescent="0.25">
      <c r="A288">
        <v>287</v>
      </c>
      <c r="B288">
        <f ca="1">SMALL(dados!A$23:A$422,A288)</f>
        <v>0.74426737451444458</v>
      </c>
      <c r="C288">
        <f ca="1">VLOOKUP(B288,dados!A$23:E$422,4,0)</f>
        <v>1</v>
      </c>
      <c r="D288">
        <f ca="1">VLOOKUP(B288,dados!A$23:E$422,5,0)</f>
        <v>10</v>
      </c>
      <c r="E288">
        <f ca="1">COUNTIF(C$2:C288,1)</f>
        <v>207</v>
      </c>
      <c r="F288">
        <f ca="1">COUNTIF(C$2:C288,2)</f>
        <v>52</v>
      </c>
      <c r="G288">
        <f ca="1">COUNTIF(C$2:C288,3)</f>
        <v>28</v>
      </c>
      <c r="L288">
        <v>285</v>
      </c>
      <c r="M288">
        <v>15.52875</v>
      </c>
      <c r="N288">
        <v>13.72875</v>
      </c>
      <c r="O288">
        <v>13.799791666666668</v>
      </c>
      <c r="P288">
        <v>14.154513888888891</v>
      </c>
      <c r="AG288">
        <v>1</v>
      </c>
      <c r="AH288" t="e">
        <f t="shared" si="29"/>
        <v>#N/A</v>
      </c>
      <c r="AI288">
        <f t="shared" si="33"/>
        <v>2</v>
      </c>
      <c r="AJ288" t="e">
        <f t="shared" si="30"/>
        <v>#N/A</v>
      </c>
      <c r="AK288">
        <f t="shared" si="34"/>
        <v>3</v>
      </c>
      <c r="AL288" t="e">
        <f t="shared" si="31"/>
        <v>#N/A</v>
      </c>
      <c r="AM288">
        <f t="shared" si="35"/>
        <v>4</v>
      </c>
      <c r="AN288" t="e">
        <f t="shared" si="32"/>
        <v>#N/A</v>
      </c>
    </row>
    <row r="289" spans="1:40" x14ac:dyDescent="0.25">
      <c r="A289">
        <v>288</v>
      </c>
      <c r="B289">
        <f ca="1">SMALL(dados!A$23:A$422,A289)</f>
        <v>0.74479864165690268</v>
      </c>
      <c r="C289">
        <f ca="1">VLOOKUP(B289,dados!A$23:E$422,4,0)</f>
        <v>1</v>
      </c>
      <c r="D289">
        <f ca="1">VLOOKUP(B289,dados!A$23:E$422,5,0)</f>
        <v>6</v>
      </c>
      <c r="E289">
        <f ca="1">COUNTIF(C$2:C289,1)</f>
        <v>208</v>
      </c>
      <c r="F289">
        <f ca="1">COUNTIF(C$2:C289,2)</f>
        <v>52</v>
      </c>
      <c r="G289">
        <f ca="1">COUNTIF(C$2:C289,3)</f>
        <v>28</v>
      </c>
      <c r="L289">
        <v>286</v>
      </c>
      <c r="M289">
        <v>14.16375</v>
      </c>
      <c r="N289">
        <v>13.941875</v>
      </c>
      <c r="O289">
        <v>14.589375</v>
      </c>
      <c r="P289">
        <v>14.21978472222222</v>
      </c>
      <c r="AG289">
        <v>1</v>
      </c>
      <c r="AH289" t="e">
        <f t="shared" si="29"/>
        <v>#N/A</v>
      </c>
      <c r="AI289">
        <f t="shared" si="33"/>
        <v>2</v>
      </c>
      <c r="AJ289" t="e">
        <f t="shared" si="30"/>
        <v>#N/A</v>
      </c>
      <c r="AK289">
        <f t="shared" si="34"/>
        <v>3</v>
      </c>
      <c r="AL289" t="e">
        <f t="shared" si="31"/>
        <v>#N/A</v>
      </c>
      <c r="AM289">
        <f t="shared" si="35"/>
        <v>4</v>
      </c>
      <c r="AN289" t="e">
        <f t="shared" si="32"/>
        <v>#N/A</v>
      </c>
    </row>
    <row r="290" spans="1:40" x14ac:dyDescent="0.25">
      <c r="A290">
        <v>289</v>
      </c>
      <c r="B290">
        <f ca="1">SMALL(dados!A$23:A$422,A290)</f>
        <v>0.74684112328560626</v>
      </c>
      <c r="C290">
        <f ca="1">VLOOKUP(B290,dados!A$23:E$422,4,0)</f>
        <v>1</v>
      </c>
      <c r="D290">
        <f ca="1">VLOOKUP(B290,dados!A$23:E$422,5,0)</f>
        <v>9</v>
      </c>
      <c r="E290">
        <f ca="1">COUNTIF(C$2:C290,1)</f>
        <v>209</v>
      </c>
      <c r="F290">
        <f ca="1">COUNTIF(C$2:C290,2)</f>
        <v>52</v>
      </c>
      <c r="G290">
        <f ca="1">COUNTIF(C$2:C290,3)</f>
        <v>28</v>
      </c>
      <c r="L290">
        <v>287</v>
      </c>
      <c r="M290">
        <v>14.15375</v>
      </c>
      <c r="N290">
        <v>13.32375</v>
      </c>
      <c r="O290">
        <v>14.467499999999999</v>
      </c>
      <c r="P290">
        <v>14.101381944444443</v>
      </c>
      <c r="AG290">
        <v>1</v>
      </c>
      <c r="AH290" t="e">
        <f t="shared" si="29"/>
        <v>#N/A</v>
      </c>
      <c r="AI290">
        <f t="shared" si="33"/>
        <v>2</v>
      </c>
      <c r="AJ290" t="e">
        <f t="shared" si="30"/>
        <v>#N/A</v>
      </c>
      <c r="AK290">
        <f t="shared" si="34"/>
        <v>3</v>
      </c>
      <c r="AL290" t="e">
        <f t="shared" si="31"/>
        <v>#N/A</v>
      </c>
      <c r="AM290">
        <f t="shared" si="35"/>
        <v>4</v>
      </c>
      <c r="AN290" t="e">
        <f t="shared" si="32"/>
        <v>#N/A</v>
      </c>
    </row>
    <row r="291" spans="1:40" x14ac:dyDescent="0.25">
      <c r="A291">
        <v>290</v>
      </c>
      <c r="B291">
        <f ca="1">SMALL(dados!A$23:A$422,A291)</f>
        <v>0.75298359766651513</v>
      </c>
      <c r="C291">
        <f ca="1">VLOOKUP(B291,dados!A$23:E$422,4,0)</f>
        <v>1</v>
      </c>
      <c r="D291">
        <f ca="1">VLOOKUP(B291,dados!A$23:E$422,5,0)</f>
        <v>10</v>
      </c>
      <c r="E291">
        <f ca="1">COUNTIF(C$2:C291,1)</f>
        <v>210</v>
      </c>
      <c r="F291">
        <f ca="1">COUNTIF(C$2:C291,2)</f>
        <v>52</v>
      </c>
      <c r="G291">
        <f ca="1">COUNTIF(C$2:C291,3)</f>
        <v>28</v>
      </c>
      <c r="L291">
        <v>288</v>
      </c>
      <c r="M291">
        <v>14.53125</v>
      </c>
      <c r="N291">
        <v>13.51</v>
      </c>
      <c r="O291">
        <v>13.535111111111112</v>
      </c>
      <c r="P291">
        <v>14.027388888888888</v>
      </c>
      <c r="AG291">
        <v>1</v>
      </c>
      <c r="AH291" t="e">
        <f t="shared" si="29"/>
        <v>#N/A</v>
      </c>
      <c r="AI291">
        <f t="shared" si="33"/>
        <v>2</v>
      </c>
      <c r="AJ291" t="e">
        <f t="shared" si="30"/>
        <v>#N/A</v>
      </c>
      <c r="AK291">
        <f t="shared" si="34"/>
        <v>3</v>
      </c>
      <c r="AL291" t="e">
        <f t="shared" si="31"/>
        <v>#N/A</v>
      </c>
      <c r="AM291">
        <f t="shared" si="35"/>
        <v>4</v>
      </c>
      <c r="AN291" t="e">
        <f t="shared" si="32"/>
        <v>#N/A</v>
      </c>
    </row>
    <row r="292" spans="1:40" x14ac:dyDescent="0.25">
      <c r="A292">
        <v>291</v>
      </c>
      <c r="B292">
        <f ca="1">SMALL(dados!A$23:A$422,A292)</f>
        <v>0.75364703544592437</v>
      </c>
      <c r="C292">
        <f ca="1">VLOOKUP(B292,dados!A$23:E$422,4,0)</f>
        <v>3</v>
      </c>
      <c r="D292">
        <f ca="1">VLOOKUP(B292,dados!A$23:E$422,5,0)</f>
        <v>33</v>
      </c>
      <c r="E292">
        <f ca="1">COUNTIF(C$2:C292,1)</f>
        <v>210</v>
      </c>
      <c r="F292">
        <f ca="1">COUNTIF(C$2:C292,2)</f>
        <v>52</v>
      </c>
      <c r="G292">
        <f ca="1">COUNTIF(C$2:C292,3)</f>
        <v>29</v>
      </c>
      <c r="L292">
        <v>289</v>
      </c>
      <c r="M292">
        <v>15.31875</v>
      </c>
      <c r="N292">
        <v>14.178125</v>
      </c>
      <c r="O292">
        <v>14.544138888888888</v>
      </c>
      <c r="P292">
        <v>14.074305555555556</v>
      </c>
      <c r="AG292">
        <v>1</v>
      </c>
      <c r="AH292" t="e">
        <f t="shared" si="29"/>
        <v>#N/A</v>
      </c>
      <c r="AI292">
        <f t="shared" si="33"/>
        <v>2</v>
      </c>
      <c r="AJ292" t="e">
        <f t="shared" si="30"/>
        <v>#N/A</v>
      </c>
      <c r="AK292">
        <f t="shared" si="34"/>
        <v>3</v>
      </c>
      <c r="AL292" t="e">
        <f t="shared" si="31"/>
        <v>#N/A</v>
      </c>
      <c r="AM292">
        <f t="shared" si="35"/>
        <v>4</v>
      </c>
      <c r="AN292" t="e">
        <f t="shared" si="32"/>
        <v>#N/A</v>
      </c>
    </row>
    <row r="293" spans="1:40" x14ac:dyDescent="0.25">
      <c r="A293">
        <v>292</v>
      </c>
      <c r="B293">
        <f ca="1">SMALL(dados!A$23:A$422,A293)</f>
        <v>0.75449348124877891</v>
      </c>
      <c r="C293">
        <f ca="1">VLOOKUP(B293,dados!A$23:E$422,4,0)</f>
        <v>1</v>
      </c>
      <c r="D293">
        <f ca="1">VLOOKUP(B293,dados!A$23:E$422,5,0)</f>
        <v>13</v>
      </c>
      <c r="E293">
        <f ca="1">COUNTIF(C$2:C293,1)</f>
        <v>211</v>
      </c>
      <c r="F293">
        <f ca="1">COUNTIF(C$2:C293,2)</f>
        <v>52</v>
      </c>
      <c r="G293">
        <f ca="1">COUNTIF(C$2:C293,3)</f>
        <v>29</v>
      </c>
      <c r="L293">
        <v>290</v>
      </c>
      <c r="M293">
        <v>14.266249999999999</v>
      </c>
      <c r="N293">
        <v>14.143125</v>
      </c>
      <c r="O293">
        <v>14.138666666666667</v>
      </c>
      <c r="P293">
        <v>14.091069444444443</v>
      </c>
      <c r="AG293">
        <v>1</v>
      </c>
      <c r="AH293" t="e">
        <f t="shared" si="29"/>
        <v>#N/A</v>
      </c>
      <c r="AI293">
        <f t="shared" si="33"/>
        <v>2</v>
      </c>
      <c r="AJ293" t="e">
        <f t="shared" si="30"/>
        <v>#N/A</v>
      </c>
      <c r="AK293">
        <f t="shared" si="34"/>
        <v>3</v>
      </c>
      <c r="AL293" t="e">
        <f t="shared" si="31"/>
        <v>#N/A</v>
      </c>
      <c r="AM293">
        <f t="shared" si="35"/>
        <v>4</v>
      </c>
      <c r="AN293" t="e">
        <f t="shared" si="32"/>
        <v>#N/A</v>
      </c>
    </row>
    <row r="294" spans="1:40" x14ac:dyDescent="0.25">
      <c r="A294">
        <v>293</v>
      </c>
      <c r="B294">
        <f ca="1">SMALL(dados!A$23:A$422,A294)</f>
        <v>0.76259002476558679</v>
      </c>
      <c r="C294">
        <f ca="1">VLOOKUP(B294,dados!A$23:E$422,4,0)</f>
        <v>1</v>
      </c>
      <c r="D294">
        <f ca="1">VLOOKUP(B294,dados!A$23:E$422,5,0)</f>
        <v>14</v>
      </c>
      <c r="E294">
        <f ca="1">COUNTIF(C$2:C294,1)</f>
        <v>212</v>
      </c>
      <c r="F294">
        <f ca="1">COUNTIF(C$2:C294,2)</f>
        <v>52</v>
      </c>
      <c r="G294">
        <f ca="1">COUNTIF(C$2:C294,3)</f>
        <v>29</v>
      </c>
      <c r="L294">
        <v>291</v>
      </c>
      <c r="M294">
        <v>14.678750000000001</v>
      </c>
      <c r="N294">
        <v>14.456875</v>
      </c>
      <c r="O294">
        <v>13.757347222222222</v>
      </c>
      <c r="P294">
        <v>13.511972222222221</v>
      </c>
      <c r="AG294">
        <v>1</v>
      </c>
      <c r="AH294" t="e">
        <f t="shared" si="29"/>
        <v>#N/A</v>
      </c>
      <c r="AI294">
        <f t="shared" si="33"/>
        <v>2</v>
      </c>
      <c r="AJ294" t="e">
        <f t="shared" si="30"/>
        <v>#N/A</v>
      </c>
      <c r="AK294">
        <f t="shared" si="34"/>
        <v>3</v>
      </c>
      <c r="AL294" t="e">
        <f t="shared" si="31"/>
        <v>#N/A</v>
      </c>
      <c r="AM294">
        <f t="shared" si="35"/>
        <v>4</v>
      </c>
      <c r="AN294" t="e">
        <f t="shared" si="32"/>
        <v>#N/A</v>
      </c>
    </row>
    <row r="295" spans="1:40" x14ac:dyDescent="0.25">
      <c r="A295">
        <v>294</v>
      </c>
      <c r="B295">
        <f ca="1">SMALL(dados!A$23:A$422,A295)</f>
        <v>0.76321120902305539</v>
      </c>
      <c r="C295">
        <f ca="1">VLOOKUP(B295,dados!A$23:E$422,4,0)</f>
        <v>1</v>
      </c>
      <c r="D295">
        <f ca="1">VLOOKUP(B295,dados!A$23:E$422,5,0)</f>
        <v>5</v>
      </c>
      <c r="E295">
        <f ca="1">COUNTIF(C$2:C295,1)</f>
        <v>213</v>
      </c>
      <c r="F295">
        <f ca="1">COUNTIF(C$2:C295,2)</f>
        <v>52</v>
      </c>
      <c r="G295">
        <f ca="1">COUNTIF(C$2:C295,3)</f>
        <v>29</v>
      </c>
      <c r="L295">
        <v>292</v>
      </c>
      <c r="M295">
        <v>14.24375</v>
      </c>
      <c r="N295">
        <v>13.038125000000001</v>
      </c>
      <c r="O295">
        <v>13.663013888888885</v>
      </c>
      <c r="P295">
        <v>14.088354166666669</v>
      </c>
      <c r="AG295">
        <v>1</v>
      </c>
      <c r="AH295" t="e">
        <f t="shared" si="29"/>
        <v>#N/A</v>
      </c>
      <c r="AI295">
        <f t="shared" si="33"/>
        <v>2</v>
      </c>
      <c r="AJ295" t="e">
        <f t="shared" si="30"/>
        <v>#N/A</v>
      </c>
      <c r="AK295">
        <f t="shared" si="34"/>
        <v>3</v>
      </c>
      <c r="AL295" t="e">
        <f t="shared" si="31"/>
        <v>#N/A</v>
      </c>
      <c r="AM295">
        <f t="shared" si="35"/>
        <v>4</v>
      </c>
      <c r="AN295" t="e">
        <f t="shared" si="32"/>
        <v>#N/A</v>
      </c>
    </row>
    <row r="296" spans="1:40" x14ac:dyDescent="0.25">
      <c r="A296">
        <v>295</v>
      </c>
      <c r="B296">
        <f ca="1">SMALL(dados!A$23:A$422,A296)</f>
        <v>0.76358618808144674</v>
      </c>
      <c r="C296">
        <f ca="1">VLOOKUP(B296,dados!A$23:E$422,4,0)</f>
        <v>1</v>
      </c>
      <c r="D296">
        <f ca="1">VLOOKUP(B296,dados!A$23:E$422,5,0)</f>
        <v>4</v>
      </c>
      <c r="E296">
        <f ca="1">COUNTIF(C$2:C296,1)</f>
        <v>214</v>
      </c>
      <c r="F296">
        <f ca="1">COUNTIF(C$2:C296,2)</f>
        <v>52</v>
      </c>
      <c r="G296">
        <f ca="1">COUNTIF(C$2:C296,3)</f>
        <v>29</v>
      </c>
      <c r="L296">
        <v>293</v>
      </c>
      <c r="M296">
        <v>14.03</v>
      </c>
      <c r="N296">
        <v>13.350625000000001</v>
      </c>
      <c r="O296">
        <v>13.950916666666666</v>
      </c>
      <c r="P296">
        <v>13.644576388888886</v>
      </c>
      <c r="AG296">
        <v>1</v>
      </c>
      <c r="AH296" t="e">
        <f t="shared" si="29"/>
        <v>#N/A</v>
      </c>
      <c r="AI296">
        <f t="shared" si="33"/>
        <v>2</v>
      </c>
      <c r="AJ296" t="e">
        <f t="shared" si="30"/>
        <v>#N/A</v>
      </c>
      <c r="AK296">
        <f t="shared" si="34"/>
        <v>3</v>
      </c>
      <c r="AL296" t="e">
        <f t="shared" si="31"/>
        <v>#N/A</v>
      </c>
      <c r="AM296">
        <f t="shared" si="35"/>
        <v>4</v>
      </c>
      <c r="AN296" t="e">
        <f t="shared" si="32"/>
        <v>#N/A</v>
      </c>
    </row>
    <row r="297" spans="1:40" x14ac:dyDescent="0.25">
      <c r="A297">
        <v>296</v>
      </c>
      <c r="B297">
        <f ca="1">SMALL(dados!A$23:A$422,A297)</f>
        <v>0.76374830831285045</v>
      </c>
      <c r="C297">
        <f ca="1">VLOOKUP(B297,dados!A$23:E$422,4,0)</f>
        <v>1</v>
      </c>
      <c r="D297">
        <f ca="1">VLOOKUP(B297,dados!A$23:E$422,5,0)</f>
        <v>11</v>
      </c>
      <c r="E297">
        <f ca="1">COUNTIF(C$2:C297,1)</f>
        <v>215</v>
      </c>
      <c r="F297">
        <f ca="1">COUNTIF(C$2:C297,2)</f>
        <v>52</v>
      </c>
      <c r="G297">
        <f ca="1">COUNTIF(C$2:C297,3)</f>
        <v>29</v>
      </c>
      <c r="L297">
        <v>294</v>
      </c>
      <c r="M297">
        <v>12.164999999999999</v>
      </c>
      <c r="N297">
        <v>12.73875</v>
      </c>
      <c r="O297">
        <v>13.738722222222222</v>
      </c>
      <c r="P297">
        <v>14.020361111111111</v>
      </c>
      <c r="AG297">
        <v>1</v>
      </c>
      <c r="AH297" t="e">
        <f t="shared" si="29"/>
        <v>#N/A</v>
      </c>
      <c r="AI297">
        <f t="shared" si="33"/>
        <v>2</v>
      </c>
      <c r="AJ297" t="e">
        <f t="shared" si="30"/>
        <v>#N/A</v>
      </c>
      <c r="AK297">
        <f t="shared" si="34"/>
        <v>3</v>
      </c>
      <c r="AL297" t="e">
        <f t="shared" si="31"/>
        <v>#N/A</v>
      </c>
      <c r="AM297">
        <f t="shared" si="35"/>
        <v>4</v>
      </c>
      <c r="AN297" t="e">
        <f t="shared" si="32"/>
        <v>#N/A</v>
      </c>
    </row>
    <row r="298" spans="1:40" x14ac:dyDescent="0.25">
      <c r="A298">
        <v>297</v>
      </c>
      <c r="B298">
        <f ca="1">SMALL(dados!A$23:A$422,A298)</f>
        <v>0.76603091506089982</v>
      </c>
      <c r="C298">
        <f ca="1">VLOOKUP(B298,dados!A$23:E$422,4,0)</f>
        <v>2</v>
      </c>
      <c r="D298">
        <f ca="1">VLOOKUP(B298,dados!A$23:E$422,5,0)</f>
        <v>19</v>
      </c>
      <c r="E298">
        <f ca="1">COUNTIF(C$2:C298,1)</f>
        <v>215</v>
      </c>
      <c r="F298">
        <f ca="1">COUNTIF(C$2:C298,2)</f>
        <v>53</v>
      </c>
      <c r="G298">
        <f ca="1">COUNTIF(C$2:C298,3)</f>
        <v>29</v>
      </c>
      <c r="L298">
        <v>295</v>
      </c>
      <c r="M298">
        <v>13.203749999999999</v>
      </c>
      <c r="N298">
        <v>14.470625</v>
      </c>
      <c r="O298">
        <v>14.380597222222223</v>
      </c>
      <c r="P298">
        <v>13.796618055555557</v>
      </c>
      <c r="AG298">
        <v>1</v>
      </c>
      <c r="AH298" t="e">
        <f t="shared" si="29"/>
        <v>#N/A</v>
      </c>
      <c r="AI298">
        <f t="shared" si="33"/>
        <v>2</v>
      </c>
      <c r="AJ298" t="e">
        <f t="shared" si="30"/>
        <v>#N/A</v>
      </c>
      <c r="AK298">
        <f t="shared" si="34"/>
        <v>3</v>
      </c>
      <c r="AL298" t="e">
        <f t="shared" si="31"/>
        <v>#N/A</v>
      </c>
      <c r="AM298">
        <f t="shared" si="35"/>
        <v>4</v>
      </c>
      <c r="AN298" t="e">
        <f t="shared" si="32"/>
        <v>#N/A</v>
      </c>
    </row>
    <row r="299" spans="1:40" x14ac:dyDescent="0.25">
      <c r="A299">
        <v>298</v>
      </c>
      <c r="B299">
        <f ca="1">SMALL(dados!A$23:A$422,A299)</f>
        <v>0.76704140344278782</v>
      </c>
      <c r="C299">
        <f ca="1">VLOOKUP(B299,dados!A$23:E$422,4,0)</f>
        <v>2</v>
      </c>
      <c r="D299">
        <f ca="1">VLOOKUP(B299,dados!A$23:E$422,5,0)</f>
        <v>23</v>
      </c>
      <c r="E299">
        <f ca="1">COUNTIF(C$2:C299,1)</f>
        <v>215</v>
      </c>
      <c r="F299">
        <f ca="1">COUNTIF(C$2:C299,2)</f>
        <v>54</v>
      </c>
      <c r="G299">
        <f ca="1">COUNTIF(C$2:C299,3)</f>
        <v>29</v>
      </c>
      <c r="L299">
        <v>296</v>
      </c>
      <c r="M299">
        <v>13.71</v>
      </c>
      <c r="N299">
        <v>14</v>
      </c>
      <c r="O299">
        <v>14.015166666666664</v>
      </c>
      <c r="P299">
        <v>13.683743055555556</v>
      </c>
      <c r="AG299">
        <v>1</v>
      </c>
      <c r="AH299" t="e">
        <f t="shared" si="29"/>
        <v>#N/A</v>
      </c>
      <c r="AI299">
        <f t="shared" si="33"/>
        <v>2</v>
      </c>
      <c r="AJ299" t="e">
        <f t="shared" si="30"/>
        <v>#N/A</v>
      </c>
      <c r="AK299">
        <f t="shared" si="34"/>
        <v>3</v>
      </c>
      <c r="AL299" t="e">
        <f t="shared" si="31"/>
        <v>#N/A</v>
      </c>
      <c r="AM299">
        <f t="shared" si="35"/>
        <v>4</v>
      </c>
      <c r="AN299" t="e">
        <f t="shared" si="32"/>
        <v>#N/A</v>
      </c>
    </row>
    <row r="300" spans="1:40" x14ac:dyDescent="0.25">
      <c r="A300">
        <v>299</v>
      </c>
      <c r="B300">
        <f ca="1">SMALL(dados!A$23:A$422,A300)</f>
        <v>0.76735262559017903</v>
      </c>
      <c r="C300">
        <f ca="1">VLOOKUP(B300,dados!A$23:E$422,4,0)</f>
        <v>1</v>
      </c>
      <c r="D300">
        <f ca="1">VLOOKUP(B300,dados!A$23:E$422,5,0)</f>
        <v>12</v>
      </c>
      <c r="E300">
        <f ca="1">COUNTIF(C$2:C300,1)</f>
        <v>216</v>
      </c>
      <c r="F300">
        <f ca="1">COUNTIF(C$2:C300,2)</f>
        <v>54</v>
      </c>
      <c r="G300">
        <f ca="1">COUNTIF(C$2:C300,3)</f>
        <v>29</v>
      </c>
      <c r="L300">
        <v>297</v>
      </c>
      <c r="M300">
        <v>14.907500000000001</v>
      </c>
      <c r="N300">
        <v>14.610625000000001</v>
      </c>
      <c r="O300">
        <v>14.129180555555553</v>
      </c>
      <c r="P300">
        <v>13.917020833333336</v>
      </c>
      <c r="AG300">
        <v>1</v>
      </c>
      <c r="AH300" t="e">
        <f t="shared" si="29"/>
        <v>#N/A</v>
      </c>
      <c r="AI300">
        <f t="shared" si="33"/>
        <v>2</v>
      </c>
      <c r="AJ300" t="e">
        <f t="shared" si="30"/>
        <v>#N/A</v>
      </c>
      <c r="AK300">
        <f t="shared" si="34"/>
        <v>3</v>
      </c>
      <c r="AL300" t="e">
        <f t="shared" si="31"/>
        <v>#N/A</v>
      </c>
      <c r="AM300">
        <f t="shared" si="35"/>
        <v>4</v>
      </c>
      <c r="AN300" t="e">
        <f t="shared" si="32"/>
        <v>#N/A</v>
      </c>
    </row>
    <row r="301" spans="1:40" x14ac:dyDescent="0.25">
      <c r="A301">
        <v>300</v>
      </c>
      <c r="B301">
        <f ca="1">SMALL(dados!A$23:A$422,A301)</f>
        <v>0.77031527455082949</v>
      </c>
      <c r="C301">
        <f ca="1">VLOOKUP(B301,dados!A$23:E$422,4,0)</f>
        <v>1</v>
      </c>
      <c r="D301">
        <f ca="1">VLOOKUP(B301,dados!A$23:E$422,5,0)</f>
        <v>10</v>
      </c>
      <c r="E301">
        <f ca="1">COUNTIF(C$2:C301,1)</f>
        <v>217</v>
      </c>
      <c r="F301">
        <f ca="1">COUNTIF(C$2:C301,2)</f>
        <v>54</v>
      </c>
      <c r="G301">
        <f ca="1">COUNTIF(C$2:C301,3)</f>
        <v>29</v>
      </c>
      <c r="L301">
        <v>298</v>
      </c>
      <c r="M301">
        <v>12.897500000000001</v>
      </c>
      <c r="N301">
        <v>12.801875000000001</v>
      </c>
      <c r="O301">
        <v>13.173180555555557</v>
      </c>
      <c r="P301">
        <v>13.711930555555558</v>
      </c>
      <c r="AG301">
        <v>1</v>
      </c>
      <c r="AH301" t="e">
        <f t="shared" si="29"/>
        <v>#N/A</v>
      </c>
      <c r="AI301">
        <f t="shared" si="33"/>
        <v>2</v>
      </c>
      <c r="AJ301" t="e">
        <f t="shared" si="30"/>
        <v>#N/A</v>
      </c>
      <c r="AK301">
        <f t="shared" si="34"/>
        <v>3</v>
      </c>
      <c r="AL301" t="e">
        <f t="shared" si="31"/>
        <v>#N/A</v>
      </c>
      <c r="AM301">
        <f t="shared" si="35"/>
        <v>4</v>
      </c>
      <c r="AN301" t="e">
        <f t="shared" si="32"/>
        <v>#N/A</v>
      </c>
    </row>
    <row r="302" spans="1:40" x14ac:dyDescent="0.25">
      <c r="A302">
        <v>301</v>
      </c>
      <c r="B302">
        <f ca="1">SMALL(dados!A$23:A$422,A302)</f>
        <v>0.7753445129807206</v>
      </c>
      <c r="C302">
        <f ca="1">VLOOKUP(B302,dados!A$23:E$422,4,0)</f>
        <v>1</v>
      </c>
      <c r="D302">
        <f ca="1">VLOOKUP(B302,dados!A$23:E$422,5,0)</f>
        <v>14</v>
      </c>
      <c r="E302">
        <f ca="1">COUNTIF(C$2:C302,1)</f>
        <v>218</v>
      </c>
      <c r="F302">
        <f ca="1">COUNTIF(C$2:C302,2)</f>
        <v>54</v>
      </c>
      <c r="G302">
        <f ca="1">COUNTIF(C$2:C302,3)</f>
        <v>29</v>
      </c>
      <c r="L302">
        <v>299</v>
      </c>
      <c r="M302">
        <v>14.061249999999999</v>
      </c>
      <c r="N302">
        <v>13.98625</v>
      </c>
      <c r="O302">
        <v>13.939666666666664</v>
      </c>
      <c r="P302">
        <v>13.91236111111111</v>
      </c>
      <c r="AG302">
        <v>1</v>
      </c>
      <c r="AH302" t="e">
        <f t="shared" si="29"/>
        <v>#N/A</v>
      </c>
      <c r="AI302">
        <f t="shared" si="33"/>
        <v>2</v>
      </c>
      <c r="AJ302" t="e">
        <f t="shared" si="30"/>
        <v>#N/A</v>
      </c>
      <c r="AK302">
        <f t="shared" si="34"/>
        <v>3</v>
      </c>
      <c r="AL302" t="e">
        <f t="shared" si="31"/>
        <v>#N/A</v>
      </c>
      <c r="AM302">
        <f t="shared" si="35"/>
        <v>4</v>
      </c>
      <c r="AN302" t="e">
        <f t="shared" si="32"/>
        <v>#N/A</v>
      </c>
    </row>
    <row r="303" spans="1:40" x14ac:dyDescent="0.25">
      <c r="A303">
        <v>302</v>
      </c>
      <c r="B303">
        <f ca="1">SMALL(dados!A$23:A$422,A303)</f>
        <v>0.78222052058319635</v>
      </c>
      <c r="C303">
        <f ca="1">VLOOKUP(B303,dados!A$23:E$422,4,0)</f>
        <v>3</v>
      </c>
      <c r="D303">
        <f ca="1">VLOOKUP(B303,dados!A$23:E$422,5,0)</f>
        <v>37</v>
      </c>
      <c r="E303">
        <f ca="1">COUNTIF(C$2:C303,1)</f>
        <v>218</v>
      </c>
      <c r="F303">
        <f ca="1">COUNTIF(C$2:C303,2)</f>
        <v>54</v>
      </c>
      <c r="G303">
        <f ca="1">COUNTIF(C$2:C303,3)</f>
        <v>30</v>
      </c>
      <c r="L303">
        <v>300</v>
      </c>
      <c r="M303">
        <v>16.063749999999999</v>
      </c>
      <c r="N303">
        <v>15.940625000000001</v>
      </c>
      <c r="O303">
        <v>14.614180555555555</v>
      </c>
      <c r="P303">
        <v>14.427423611111109</v>
      </c>
      <c r="AG303">
        <v>1</v>
      </c>
      <c r="AH303" t="e">
        <f t="shared" si="29"/>
        <v>#N/A</v>
      </c>
      <c r="AI303">
        <f t="shared" si="33"/>
        <v>2</v>
      </c>
      <c r="AJ303">
        <f t="shared" si="30"/>
        <v>15.940625000000001</v>
      </c>
      <c r="AK303">
        <f t="shared" si="34"/>
        <v>3</v>
      </c>
      <c r="AL303" t="e">
        <f t="shared" si="31"/>
        <v>#N/A</v>
      </c>
      <c r="AM303">
        <f t="shared" si="35"/>
        <v>4</v>
      </c>
      <c r="AN303" t="e">
        <f t="shared" si="32"/>
        <v>#N/A</v>
      </c>
    </row>
    <row r="304" spans="1:40" x14ac:dyDescent="0.25">
      <c r="A304">
        <v>303</v>
      </c>
      <c r="B304">
        <f ca="1">SMALL(dados!A$23:A$422,A304)</f>
        <v>0.78519186566729693</v>
      </c>
      <c r="C304">
        <f ca="1">VLOOKUP(B304,dados!A$23:E$422,4,0)</f>
        <v>1</v>
      </c>
      <c r="D304">
        <f ca="1">VLOOKUP(B304,dados!A$23:E$422,5,0)</f>
        <v>13</v>
      </c>
      <c r="E304">
        <f ca="1">COUNTIF(C$2:C304,1)</f>
        <v>219</v>
      </c>
      <c r="F304">
        <f ca="1">COUNTIF(C$2:C304,2)</f>
        <v>54</v>
      </c>
      <c r="G304">
        <f ca="1">COUNTIF(C$2:C304,3)</f>
        <v>30</v>
      </c>
      <c r="L304">
        <v>301</v>
      </c>
      <c r="M304">
        <v>13.565</v>
      </c>
      <c r="N304">
        <v>13.366875</v>
      </c>
      <c r="O304">
        <v>13.880374999999999</v>
      </c>
      <c r="P304">
        <v>14.180784722222223</v>
      </c>
      <c r="AG304">
        <v>1</v>
      </c>
      <c r="AH304" t="e">
        <f t="shared" si="29"/>
        <v>#N/A</v>
      </c>
      <c r="AI304">
        <f t="shared" si="33"/>
        <v>2</v>
      </c>
      <c r="AJ304" t="e">
        <f t="shared" si="30"/>
        <v>#N/A</v>
      </c>
      <c r="AK304">
        <f t="shared" si="34"/>
        <v>3</v>
      </c>
      <c r="AL304" t="e">
        <f t="shared" si="31"/>
        <v>#N/A</v>
      </c>
      <c r="AM304">
        <f t="shared" si="35"/>
        <v>4</v>
      </c>
      <c r="AN304" t="e">
        <f t="shared" si="32"/>
        <v>#N/A</v>
      </c>
    </row>
    <row r="305" spans="1:40" x14ac:dyDescent="0.25">
      <c r="A305">
        <v>304</v>
      </c>
      <c r="B305">
        <f ca="1">SMALL(dados!A$23:A$422,A305)</f>
        <v>0.78520520700254925</v>
      </c>
      <c r="C305">
        <f ca="1">VLOOKUP(B305,dados!A$23:E$422,4,0)</f>
        <v>1</v>
      </c>
      <c r="D305">
        <f ca="1">VLOOKUP(B305,dados!A$23:E$422,5,0)</f>
        <v>18</v>
      </c>
      <c r="E305">
        <f ca="1">COUNTIF(C$2:C305,1)</f>
        <v>220</v>
      </c>
      <c r="F305">
        <f ca="1">COUNTIF(C$2:C305,2)</f>
        <v>54</v>
      </c>
      <c r="G305">
        <f ca="1">COUNTIF(C$2:C305,3)</f>
        <v>30</v>
      </c>
      <c r="L305">
        <v>302</v>
      </c>
      <c r="M305">
        <v>13.615</v>
      </c>
      <c r="N305">
        <v>12.886875</v>
      </c>
      <c r="O305">
        <v>13.116027777777779</v>
      </c>
      <c r="P305">
        <v>13.330187499999999</v>
      </c>
      <c r="AG305">
        <v>1</v>
      </c>
      <c r="AH305" t="e">
        <f t="shared" si="29"/>
        <v>#N/A</v>
      </c>
      <c r="AI305">
        <f t="shared" si="33"/>
        <v>2</v>
      </c>
      <c r="AJ305" t="e">
        <f t="shared" si="30"/>
        <v>#N/A</v>
      </c>
      <c r="AK305">
        <f t="shared" si="34"/>
        <v>3</v>
      </c>
      <c r="AL305" t="e">
        <f t="shared" si="31"/>
        <v>#N/A</v>
      </c>
      <c r="AM305">
        <f t="shared" si="35"/>
        <v>4</v>
      </c>
      <c r="AN305" t="e">
        <f t="shared" si="32"/>
        <v>#N/A</v>
      </c>
    </row>
    <row r="306" spans="1:40" x14ac:dyDescent="0.25">
      <c r="A306">
        <v>305</v>
      </c>
      <c r="B306">
        <f ca="1">SMALL(dados!A$23:A$422,A306)</f>
        <v>0.78772826638514215</v>
      </c>
      <c r="C306">
        <f ca="1">VLOOKUP(B306,dados!A$23:E$422,4,0)</f>
        <v>1</v>
      </c>
      <c r="D306">
        <f ca="1">VLOOKUP(B306,dados!A$23:E$422,5,0)</f>
        <v>4</v>
      </c>
      <c r="E306">
        <f ca="1">COUNTIF(C$2:C306,1)</f>
        <v>221</v>
      </c>
      <c r="F306">
        <f ca="1">COUNTIF(C$2:C306,2)</f>
        <v>54</v>
      </c>
      <c r="G306">
        <f ca="1">COUNTIF(C$2:C306,3)</f>
        <v>30</v>
      </c>
      <c r="L306">
        <v>303</v>
      </c>
      <c r="M306">
        <v>11.876250000000001</v>
      </c>
      <c r="N306">
        <v>12.965</v>
      </c>
      <c r="O306">
        <v>13.345374999999999</v>
      </c>
      <c r="P306">
        <v>13.498916666666664</v>
      </c>
      <c r="AG306">
        <v>1</v>
      </c>
      <c r="AH306" t="e">
        <f t="shared" si="29"/>
        <v>#N/A</v>
      </c>
      <c r="AI306">
        <f t="shared" si="33"/>
        <v>2</v>
      </c>
      <c r="AJ306" t="e">
        <f t="shared" si="30"/>
        <v>#N/A</v>
      </c>
      <c r="AK306">
        <f t="shared" si="34"/>
        <v>3</v>
      </c>
      <c r="AL306" t="e">
        <f t="shared" si="31"/>
        <v>#N/A</v>
      </c>
      <c r="AM306">
        <f t="shared" si="35"/>
        <v>4</v>
      </c>
      <c r="AN306" t="e">
        <f t="shared" si="32"/>
        <v>#N/A</v>
      </c>
    </row>
    <row r="307" spans="1:40" x14ac:dyDescent="0.25">
      <c r="A307">
        <v>306</v>
      </c>
      <c r="B307">
        <f ca="1">SMALL(dados!A$23:A$422,A307)</f>
        <v>0.78828423855081498</v>
      </c>
      <c r="C307">
        <f ca="1">VLOOKUP(B307,dados!A$23:E$422,4,0)</f>
        <v>2</v>
      </c>
      <c r="D307">
        <f ca="1">VLOOKUP(B307,dados!A$23:E$422,5,0)</f>
        <v>26</v>
      </c>
      <c r="E307">
        <f ca="1">COUNTIF(C$2:C307,1)</f>
        <v>221</v>
      </c>
      <c r="F307">
        <f ca="1">COUNTIF(C$2:C307,2)</f>
        <v>55</v>
      </c>
      <c r="G307">
        <f ca="1">COUNTIF(C$2:C307,3)</f>
        <v>30</v>
      </c>
      <c r="L307">
        <v>304</v>
      </c>
      <c r="M307">
        <v>11.70125</v>
      </c>
      <c r="N307">
        <v>12.486875</v>
      </c>
      <c r="O307">
        <v>13.448916666666667</v>
      </c>
      <c r="P307">
        <v>13.740131944444444</v>
      </c>
      <c r="AG307">
        <v>1</v>
      </c>
      <c r="AH307" t="e">
        <f t="shared" si="29"/>
        <v>#N/A</v>
      </c>
      <c r="AI307">
        <f t="shared" si="33"/>
        <v>2</v>
      </c>
      <c r="AJ307" t="e">
        <f t="shared" si="30"/>
        <v>#N/A</v>
      </c>
      <c r="AK307">
        <f t="shared" si="34"/>
        <v>3</v>
      </c>
      <c r="AL307" t="e">
        <f t="shared" si="31"/>
        <v>#N/A</v>
      </c>
      <c r="AM307">
        <f t="shared" si="35"/>
        <v>4</v>
      </c>
      <c r="AN307" t="e">
        <f t="shared" si="32"/>
        <v>#N/A</v>
      </c>
    </row>
    <row r="308" spans="1:40" x14ac:dyDescent="0.25">
      <c r="A308">
        <v>307</v>
      </c>
      <c r="B308">
        <f ca="1">SMALL(dados!A$23:A$422,A308)</f>
        <v>0.78896752743547849</v>
      </c>
      <c r="C308">
        <f ca="1">VLOOKUP(B308,dados!A$23:E$422,4,0)</f>
        <v>1</v>
      </c>
      <c r="D308">
        <f ca="1">VLOOKUP(B308,dados!A$23:E$422,5,0)</f>
        <v>6</v>
      </c>
      <c r="E308">
        <f ca="1">COUNTIF(C$2:C308,1)</f>
        <v>222</v>
      </c>
      <c r="F308">
        <f ca="1">COUNTIF(C$2:C308,2)</f>
        <v>55</v>
      </c>
      <c r="G308">
        <f ca="1">COUNTIF(C$2:C308,3)</f>
        <v>30</v>
      </c>
      <c r="L308">
        <v>305</v>
      </c>
      <c r="M308">
        <v>12.385</v>
      </c>
      <c r="N308">
        <v>12.58625</v>
      </c>
      <c r="O308">
        <v>14.220611111111113</v>
      </c>
      <c r="P308">
        <v>13.830083333333333</v>
      </c>
      <c r="AG308">
        <v>1</v>
      </c>
      <c r="AH308" t="e">
        <f t="shared" si="29"/>
        <v>#N/A</v>
      </c>
      <c r="AI308">
        <f t="shared" si="33"/>
        <v>2</v>
      </c>
      <c r="AJ308" t="e">
        <f t="shared" si="30"/>
        <v>#N/A</v>
      </c>
      <c r="AK308">
        <f t="shared" si="34"/>
        <v>3</v>
      </c>
      <c r="AL308" t="e">
        <f t="shared" si="31"/>
        <v>#N/A</v>
      </c>
      <c r="AM308">
        <f t="shared" si="35"/>
        <v>4</v>
      </c>
      <c r="AN308" t="e">
        <f t="shared" si="32"/>
        <v>#N/A</v>
      </c>
    </row>
    <row r="309" spans="1:40" x14ac:dyDescent="0.25">
      <c r="A309">
        <v>308</v>
      </c>
      <c r="B309">
        <f ca="1">SMALL(dados!A$23:A$422,A309)</f>
        <v>0.79524648415424892</v>
      </c>
      <c r="C309">
        <f ca="1">VLOOKUP(B309,dados!A$23:E$422,4,0)</f>
        <v>1</v>
      </c>
      <c r="D309">
        <f ca="1">VLOOKUP(B309,dados!A$23:E$422,5,0)</f>
        <v>11</v>
      </c>
      <c r="E309">
        <f ca="1">COUNTIF(C$2:C309,1)</f>
        <v>223</v>
      </c>
      <c r="F309">
        <f ca="1">COUNTIF(C$2:C309,2)</f>
        <v>55</v>
      </c>
      <c r="G309">
        <f ca="1">COUNTIF(C$2:C309,3)</f>
        <v>30</v>
      </c>
      <c r="L309">
        <v>306</v>
      </c>
      <c r="M309">
        <v>13.567500000000001</v>
      </c>
      <c r="N309">
        <v>14.571875</v>
      </c>
      <c r="O309">
        <v>14.160444444444442</v>
      </c>
      <c r="P309">
        <v>14.306548611111111</v>
      </c>
      <c r="AG309">
        <v>1</v>
      </c>
      <c r="AH309" t="e">
        <f t="shared" si="29"/>
        <v>#N/A</v>
      </c>
      <c r="AI309">
        <f t="shared" si="33"/>
        <v>2</v>
      </c>
      <c r="AJ309" t="e">
        <f t="shared" si="30"/>
        <v>#N/A</v>
      </c>
      <c r="AK309">
        <f t="shared" si="34"/>
        <v>3</v>
      </c>
      <c r="AL309" t="e">
        <f t="shared" si="31"/>
        <v>#N/A</v>
      </c>
      <c r="AM309">
        <f t="shared" si="35"/>
        <v>4</v>
      </c>
      <c r="AN309" t="e">
        <f t="shared" si="32"/>
        <v>#N/A</v>
      </c>
    </row>
    <row r="310" spans="1:40" x14ac:dyDescent="0.25">
      <c r="A310">
        <v>309</v>
      </c>
      <c r="B310">
        <f ca="1">SMALL(dados!A$23:A$422,A310)</f>
        <v>0.79594678053996315</v>
      </c>
      <c r="C310">
        <f ca="1">VLOOKUP(B310,dados!A$23:E$422,4,0)</f>
        <v>1</v>
      </c>
      <c r="D310">
        <f ca="1">VLOOKUP(B310,dados!A$23:E$422,5,0)</f>
        <v>5</v>
      </c>
      <c r="E310">
        <f ca="1">COUNTIF(C$2:C310,1)</f>
        <v>224</v>
      </c>
      <c r="F310">
        <f ca="1">COUNTIF(C$2:C310,2)</f>
        <v>55</v>
      </c>
      <c r="G310">
        <f ca="1">COUNTIF(C$2:C310,3)</f>
        <v>30</v>
      </c>
      <c r="L310">
        <v>307</v>
      </c>
      <c r="M310">
        <v>13.3475</v>
      </c>
      <c r="N310">
        <v>13.559374999999999</v>
      </c>
      <c r="O310">
        <v>13.556611111111113</v>
      </c>
      <c r="P310">
        <v>13.806666666666665</v>
      </c>
      <c r="AG310">
        <v>1</v>
      </c>
      <c r="AH310" t="e">
        <f t="shared" si="29"/>
        <v>#N/A</v>
      </c>
      <c r="AI310">
        <f t="shared" si="33"/>
        <v>2</v>
      </c>
      <c r="AJ310" t="e">
        <f t="shared" si="30"/>
        <v>#N/A</v>
      </c>
      <c r="AK310">
        <f t="shared" si="34"/>
        <v>3</v>
      </c>
      <c r="AL310" t="e">
        <f t="shared" si="31"/>
        <v>#N/A</v>
      </c>
      <c r="AM310">
        <f t="shared" si="35"/>
        <v>4</v>
      </c>
      <c r="AN310" t="e">
        <f t="shared" si="32"/>
        <v>#N/A</v>
      </c>
    </row>
    <row r="311" spans="1:40" x14ac:dyDescent="0.25">
      <c r="A311">
        <v>310</v>
      </c>
      <c r="B311">
        <f ca="1">SMALL(dados!A$23:A$422,A311)</f>
        <v>0.79991326554066167</v>
      </c>
      <c r="C311">
        <f ca="1">VLOOKUP(B311,dados!A$23:E$422,4,0)</f>
        <v>3</v>
      </c>
      <c r="D311">
        <f ca="1">VLOOKUP(B311,dados!A$23:E$422,5,0)</f>
        <v>35</v>
      </c>
      <c r="E311">
        <f ca="1">COUNTIF(C$2:C311,1)</f>
        <v>224</v>
      </c>
      <c r="F311">
        <f ca="1">COUNTIF(C$2:C311,2)</f>
        <v>55</v>
      </c>
      <c r="G311">
        <f ca="1">COUNTIF(C$2:C311,3)</f>
        <v>31</v>
      </c>
      <c r="L311">
        <v>308</v>
      </c>
      <c r="M311">
        <v>15.69375</v>
      </c>
      <c r="N311">
        <v>14.47125</v>
      </c>
      <c r="O311">
        <v>14.787402777777778</v>
      </c>
      <c r="P311">
        <v>14.250215277777778</v>
      </c>
      <c r="AG311">
        <v>1</v>
      </c>
      <c r="AH311" t="e">
        <f t="shared" si="29"/>
        <v>#N/A</v>
      </c>
      <c r="AI311">
        <f t="shared" si="33"/>
        <v>2</v>
      </c>
      <c r="AJ311" t="e">
        <f t="shared" si="30"/>
        <v>#N/A</v>
      </c>
      <c r="AK311">
        <f t="shared" si="34"/>
        <v>3</v>
      </c>
      <c r="AL311" t="e">
        <f t="shared" si="31"/>
        <v>#N/A</v>
      </c>
      <c r="AM311">
        <f t="shared" si="35"/>
        <v>4</v>
      </c>
      <c r="AN311" t="e">
        <f t="shared" si="32"/>
        <v>#N/A</v>
      </c>
    </row>
    <row r="312" spans="1:40" x14ac:dyDescent="0.25">
      <c r="A312">
        <v>311</v>
      </c>
      <c r="B312">
        <f ca="1">SMALL(dados!A$23:A$422,A312)</f>
        <v>0.80006387129105239</v>
      </c>
      <c r="C312">
        <f ca="1">VLOOKUP(B312,dados!A$23:E$422,4,0)</f>
        <v>1</v>
      </c>
      <c r="D312">
        <f ca="1">VLOOKUP(B312,dados!A$23:E$422,5,0)</f>
        <v>8</v>
      </c>
      <c r="E312">
        <f ca="1">COUNTIF(C$2:C312,1)</f>
        <v>225</v>
      </c>
      <c r="F312">
        <f ca="1">COUNTIF(C$2:C312,2)</f>
        <v>55</v>
      </c>
      <c r="G312">
        <f ca="1">COUNTIF(C$2:C312,3)</f>
        <v>31</v>
      </c>
      <c r="L312">
        <v>309</v>
      </c>
      <c r="M312">
        <v>14.135</v>
      </c>
      <c r="N312">
        <v>13.879375</v>
      </c>
      <c r="O312">
        <v>13.407569444444443</v>
      </c>
      <c r="P312">
        <v>13.486486111111111</v>
      </c>
      <c r="AG312">
        <v>1</v>
      </c>
      <c r="AH312" t="e">
        <f t="shared" si="29"/>
        <v>#N/A</v>
      </c>
      <c r="AI312">
        <f t="shared" si="33"/>
        <v>2</v>
      </c>
      <c r="AJ312" t="e">
        <f t="shared" si="30"/>
        <v>#N/A</v>
      </c>
      <c r="AK312">
        <f t="shared" si="34"/>
        <v>3</v>
      </c>
      <c r="AL312" t="e">
        <f t="shared" si="31"/>
        <v>#N/A</v>
      </c>
      <c r="AM312">
        <f t="shared" si="35"/>
        <v>4</v>
      </c>
      <c r="AN312" t="e">
        <f t="shared" si="32"/>
        <v>#N/A</v>
      </c>
    </row>
    <row r="313" spans="1:40" x14ac:dyDescent="0.25">
      <c r="A313">
        <v>312</v>
      </c>
      <c r="B313">
        <f ca="1">SMALL(dados!A$23:A$422,A313)</f>
        <v>0.80084907523849214</v>
      </c>
      <c r="C313">
        <f ca="1">VLOOKUP(B313,dados!A$23:E$422,4,0)</f>
        <v>1</v>
      </c>
      <c r="D313">
        <f ca="1">VLOOKUP(B313,dados!A$23:E$422,5,0)</f>
        <v>13</v>
      </c>
      <c r="E313">
        <f ca="1">COUNTIF(C$2:C313,1)</f>
        <v>226</v>
      </c>
      <c r="F313">
        <f ca="1">COUNTIF(C$2:C313,2)</f>
        <v>55</v>
      </c>
      <c r="G313">
        <f ca="1">COUNTIF(C$2:C313,3)</f>
        <v>31</v>
      </c>
      <c r="L313">
        <v>310</v>
      </c>
      <c r="M313">
        <v>14.0025</v>
      </c>
      <c r="N313">
        <v>13.828125</v>
      </c>
      <c r="O313">
        <v>13.690180555555555</v>
      </c>
      <c r="P313">
        <v>13.722784722222222</v>
      </c>
      <c r="AG313">
        <v>1</v>
      </c>
      <c r="AH313" t="e">
        <f t="shared" si="29"/>
        <v>#N/A</v>
      </c>
      <c r="AI313">
        <f t="shared" si="33"/>
        <v>2</v>
      </c>
      <c r="AJ313" t="e">
        <f t="shared" si="30"/>
        <v>#N/A</v>
      </c>
      <c r="AK313">
        <f t="shared" si="34"/>
        <v>3</v>
      </c>
      <c r="AL313" t="e">
        <f t="shared" si="31"/>
        <v>#N/A</v>
      </c>
      <c r="AM313">
        <f t="shared" si="35"/>
        <v>4</v>
      </c>
      <c r="AN313" t="e">
        <f t="shared" si="32"/>
        <v>#N/A</v>
      </c>
    </row>
    <row r="314" spans="1:40" x14ac:dyDescent="0.25">
      <c r="A314">
        <v>313</v>
      </c>
      <c r="B314">
        <f ca="1">SMALL(dados!A$23:A$422,A314)</f>
        <v>0.80182042754847938</v>
      </c>
      <c r="C314">
        <f ca="1">VLOOKUP(B314,dados!A$23:E$422,4,0)</f>
        <v>2</v>
      </c>
      <c r="D314">
        <f ca="1">VLOOKUP(B314,dados!A$23:E$422,5,0)</f>
        <v>23</v>
      </c>
      <c r="E314">
        <f ca="1">COUNTIF(C$2:C314,1)</f>
        <v>226</v>
      </c>
      <c r="F314">
        <f ca="1">COUNTIF(C$2:C314,2)</f>
        <v>56</v>
      </c>
      <c r="G314">
        <f ca="1">COUNTIF(C$2:C314,3)</f>
        <v>31</v>
      </c>
      <c r="L314">
        <v>311</v>
      </c>
      <c r="M314">
        <v>12.918749999999999</v>
      </c>
      <c r="N314">
        <v>13.018125</v>
      </c>
      <c r="O314">
        <v>13.304763888888887</v>
      </c>
      <c r="P314">
        <v>13.700270833333331</v>
      </c>
      <c r="AG314">
        <v>1</v>
      </c>
      <c r="AH314" t="e">
        <f t="shared" si="29"/>
        <v>#N/A</v>
      </c>
      <c r="AI314">
        <f t="shared" si="33"/>
        <v>2</v>
      </c>
      <c r="AJ314" t="e">
        <f t="shared" si="30"/>
        <v>#N/A</v>
      </c>
      <c r="AK314">
        <f t="shared" si="34"/>
        <v>3</v>
      </c>
      <c r="AL314" t="e">
        <f t="shared" si="31"/>
        <v>#N/A</v>
      </c>
      <c r="AM314">
        <f t="shared" si="35"/>
        <v>4</v>
      </c>
      <c r="AN314" t="e">
        <f t="shared" si="32"/>
        <v>#N/A</v>
      </c>
    </row>
    <row r="315" spans="1:40" x14ac:dyDescent="0.25">
      <c r="A315">
        <v>314</v>
      </c>
      <c r="B315">
        <f ca="1">SMALL(dados!A$23:A$422,A315)</f>
        <v>0.80218169050425669</v>
      </c>
      <c r="C315">
        <f ca="1">VLOOKUP(B315,dados!A$23:E$422,4,0)</f>
        <v>1</v>
      </c>
      <c r="D315">
        <f ca="1">VLOOKUP(B315,dados!A$23:E$422,5,0)</f>
        <v>5</v>
      </c>
      <c r="E315">
        <f ca="1">COUNTIF(C$2:C315,1)</f>
        <v>227</v>
      </c>
      <c r="F315">
        <f ca="1">COUNTIF(C$2:C315,2)</f>
        <v>56</v>
      </c>
      <c r="G315">
        <f ca="1">COUNTIF(C$2:C315,3)</f>
        <v>31</v>
      </c>
      <c r="L315">
        <v>312</v>
      </c>
      <c r="M315">
        <v>12.21125</v>
      </c>
      <c r="N315">
        <v>12.98625</v>
      </c>
      <c r="O315">
        <v>13.447513888888887</v>
      </c>
      <c r="P315">
        <v>14.089326388888889</v>
      </c>
      <c r="AG315">
        <v>1</v>
      </c>
      <c r="AH315" t="e">
        <f t="shared" si="29"/>
        <v>#N/A</v>
      </c>
      <c r="AI315">
        <f t="shared" si="33"/>
        <v>2</v>
      </c>
      <c r="AJ315" t="e">
        <f t="shared" si="30"/>
        <v>#N/A</v>
      </c>
      <c r="AK315">
        <f t="shared" si="34"/>
        <v>3</v>
      </c>
      <c r="AL315" t="e">
        <f t="shared" si="31"/>
        <v>#N/A</v>
      </c>
      <c r="AM315">
        <f t="shared" si="35"/>
        <v>4</v>
      </c>
      <c r="AN315" t="e">
        <f t="shared" si="32"/>
        <v>#N/A</v>
      </c>
    </row>
    <row r="316" spans="1:40" x14ac:dyDescent="0.25">
      <c r="A316">
        <v>315</v>
      </c>
      <c r="B316">
        <f ca="1">SMALL(dados!A$23:A$422,A316)</f>
        <v>0.80293130933435397</v>
      </c>
      <c r="C316">
        <f ca="1">VLOOKUP(B316,dados!A$23:E$422,4,0)</f>
        <v>3</v>
      </c>
      <c r="D316">
        <f ca="1">VLOOKUP(B316,dados!A$23:E$422,5,0)</f>
        <v>31</v>
      </c>
      <c r="E316">
        <f ca="1">COUNTIF(C$2:C316,1)</f>
        <v>227</v>
      </c>
      <c r="F316">
        <f ca="1">COUNTIF(C$2:C316,2)</f>
        <v>56</v>
      </c>
      <c r="G316">
        <f ca="1">COUNTIF(C$2:C316,3)</f>
        <v>32</v>
      </c>
      <c r="L316">
        <v>313</v>
      </c>
      <c r="M316">
        <v>12.475</v>
      </c>
      <c r="N316">
        <v>12.605</v>
      </c>
      <c r="O316">
        <v>13.329027777777778</v>
      </c>
      <c r="P316">
        <v>13.663006944444444</v>
      </c>
      <c r="AG316">
        <v>1</v>
      </c>
      <c r="AH316" t="e">
        <f t="shared" si="29"/>
        <v>#N/A</v>
      </c>
      <c r="AI316">
        <f t="shared" si="33"/>
        <v>2</v>
      </c>
      <c r="AJ316" t="e">
        <f t="shared" si="30"/>
        <v>#N/A</v>
      </c>
      <c r="AK316">
        <f t="shared" si="34"/>
        <v>3</v>
      </c>
      <c r="AL316" t="e">
        <f t="shared" si="31"/>
        <v>#N/A</v>
      </c>
      <c r="AM316">
        <f t="shared" si="35"/>
        <v>4</v>
      </c>
      <c r="AN316" t="e">
        <f t="shared" si="32"/>
        <v>#N/A</v>
      </c>
    </row>
    <row r="317" spans="1:40" x14ac:dyDescent="0.25">
      <c r="A317">
        <v>316</v>
      </c>
      <c r="B317">
        <f ca="1">SMALL(dados!A$23:A$422,A317)</f>
        <v>0.80497882417064426</v>
      </c>
      <c r="C317">
        <f ca="1">VLOOKUP(B317,dados!A$23:E$422,4,0)</f>
        <v>1</v>
      </c>
      <c r="D317">
        <f ca="1">VLOOKUP(B317,dados!A$23:E$422,5,0)</f>
        <v>8</v>
      </c>
      <c r="E317">
        <f ca="1">COUNTIF(C$2:C317,1)</f>
        <v>228</v>
      </c>
      <c r="F317">
        <f ca="1">COUNTIF(C$2:C317,2)</f>
        <v>56</v>
      </c>
      <c r="G317">
        <f ca="1">COUNTIF(C$2:C317,3)</f>
        <v>32</v>
      </c>
      <c r="L317">
        <v>314</v>
      </c>
      <c r="M317">
        <v>15.475</v>
      </c>
      <c r="N317">
        <v>13.907500000000001</v>
      </c>
      <c r="O317">
        <v>13.816152777777779</v>
      </c>
      <c r="P317">
        <v>13.806291666666668</v>
      </c>
      <c r="AG317">
        <v>1</v>
      </c>
      <c r="AH317" t="e">
        <f t="shared" si="29"/>
        <v>#N/A</v>
      </c>
      <c r="AI317">
        <f t="shared" si="33"/>
        <v>2</v>
      </c>
      <c r="AJ317" t="e">
        <f t="shared" si="30"/>
        <v>#N/A</v>
      </c>
      <c r="AK317">
        <f t="shared" si="34"/>
        <v>3</v>
      </c>
      <c r="AL317" t="e">
        <f t="shared" si="31"/>
        <v>#N/A</v>
      </c>
      <c r="AM317">
        <f t="shared" si="35"/>
        <v>4</v>
      </c>
      <c r="AN317" t="e">
        <f t="shared" si="32"/>
        <v>#N/A</v>
      </c>
    </row>
    <row r="318" spans="1:40" x14ac:dyDescent="0.25">
      <c r="A318">
        <v>317</v>
      </c>
      <c r="B318">
        <f ca="1">SMALL(dados!A$23:A$422,A318)</f>
        <v>0.80522193070996273</v>
      </c>
      <c r="C318">
        <f ca="1">VLOOKUP(B318,dados!A$23:E$422,4,0)</f>
        <v>3</v>
      </c>
      <c r="D318">
        <f ca="1">VLOOKUP(B318,dados!A$23:E$422,5,0)</f>
        <v>25</v>
      </c>
      <c r="E318">
        <f ca="1">COUNTIF(C$2:C318,1)</f>
        <v>228</v>
      </c>
      <c r="F318">
        <f ca="1">COUNTIF(C$2:C318,2)</f>
        <v>56</v>
      </c>
      <c r="G318">
        <f ca="1">COUNTIF(C$2:C318,3)</f>
        <v>33</v>
      </c>
      <c r="L318">
        <v>315</v>
      </c>
      <c r="M318">
        <v>16.552499999999998</v>
      </c>
      <c r="N318">
        <v>14.4175</v>
      </c>
      <c r="O318">
        <v>14.517430555555556</v>
      </c>
      <c r="P318">
        <v>14.277944444444442</v>
      </c>
      <c r="AG318">
        <v>1</v>
      </c>
      <c r="AH318" t="e">
        <f t="shared" si="29"/>
        <v>#N/A</v>
      </c>
      <c r="AI318">
        <f t="shared" si="33"/>
        <v>2</v>
      </c>
      <c r="AJ318" t="e">
        <f t="shared" si="30"/>
        <v>#N/A</v>
      </c>
      <c r="AK318">
        <f t="shared" si="34"/>
        <v>3</v>
      </c>
      <c r="AL318" t="e">
        <f t="shared" si="31"/>
        <v>#N/A</v>
      </c>
      <c r="AM318">
        <f t="shared" si="35"/>
        <v>4</v>
      </c>
      <c r="AN318" t="e">
        <f t="shared" si="32"/>
        <v>#N/A</v>
      </c>
    </row>
    <row r="319" spans="1:40" x14ac:dyDescent="0.25">
      <c r="A319">
        <v>318</v>
      </c>
      <c r="B319">
        <f ca="1">SMALL(dados!A$23:A$422,A319)</f>
        <v>0.80765984749642628</v>
      </c>
      <c r="C319">
        <f ca="1">VLOOKUP(B319,dados!A$23:E$422,4,0)</f>
        <v>1</v>
      </c>
      <c r="D319">
        <f ca="1">VLOOKUP(B319,dados!A$23:E$422,5,0)</f>
        <v>10</v>
      </c>
      <c r="E319">
        <f ca="1">COUNTIF(C$2:C319,1)</f>
        <v>229</v>
      </c>
      <c r="F319">
        <f ca="1">COUNTIF(C$2:C319,2)</f>
        <v>56</v>
      </c>
      <c r="G319">
        <f ca="1">COUNTIF(C$2:C319,3)</f>
        <v>33</v>
      </c>
      <c r="L319">
        <v>316</v>
      </c>
      <c r="M319">
        <v>15.09625</v>
      </c>
      <c r="N319">
        <v>15.014374999999999</v>
      </c>
      <c r="O319">
        <v>14.881138888888886</v>
      </c>
      <c r="P319">
        <v>14.14711111111111</v>
      </c>
      <c r="AG319">
        <v>1</v>
      </c>
      <c r="AH319" t="e">
        <f t="shared" si="29"/>
        <v>#N/A</v>
      </c>
      <c r="AI319">
        <f t="shared" si="33"/>
        <v>2</v>
      </c>
      <c r="AJ319" t="e">
        <f t="shared" si="30"/>
        <v>#N/A</v>
      </c>
      <c r="AK319">
        <f t="shared" si="34"/>
        <v>3</v>
      </c>
      <c r="AL319" t="e">
        <f t="shared" si="31"/>
        <v>#N/A</v>
      </c>
      <c r="AM319">
        <f t="shared" si="35"/>
        <v>4</v>
      </c>
      <c r="AN319" t="e">
        <f t="shared" si="32"/>
        <v>#N/A</v>
      </c>
    </row>
    <row r="320" spans="1:40" x14ac:dyDescent="0.25">
      <c r="A320">
        <v>319</v>
      </c>
      <c r="B320">
        <f ca="1">SMALL(dados!A$23:A$422,A320)</f>
        <v>0.81198545962616009</v>
      </c>
      <c r="C320">
        <f ca="1">VLOOKUP(B320,dados!A$23:E$422,4,0)</f>
        <v>1</v>
      </c>
      <c r="D320">
        <f ca="1">VLOOKUP(B320,dados!A$23:E$422,5,0)</f>
        <v>14</v>
      </c>
      <c r="E320">
        <f ca="1">COUNTIF(C$2:C320,1)</f>
        <v>230</v>
      </c>
      <c r="F320">
        <f ca="1">COUNTIF(C$2:C320,2)</f>
        <v>56</v>
      </c>
      <c r="G320">
        <f ca="1">COUNTIF(C$2:C320,3)</f>
        <v>33</v>
      </c>
      <c r="L320">
        <v>317</v>
      </c>
      <c r="M320">
        <v>14.321249999999999</v>
      </c>
      <c r="N320">
        <v>14.188124999999999</v>
      </c>
      <c r="O320">
        <v>13.677027777777777</v>
      </c>
      <c r="P320">
        <v>13.857312500000001</v>
      </c>
      <c r="AG320">
        <v>1</v>
      </c>
      <c r="AH320" t="e">
        <f t="shared" si="29"/>
        <v>#N/A</v>
      </c>
      <c r="AI320">
        <f t="shared" si="33"/>
        <v>2</v>
      </c>
      <c r="AJ320" t="e">
        <f t="shared" si="30"/>
        <v>#N/A</v>
      </c>
      <c r="AK320">
        <f t="shared" si="34"/>
        <v>3</v>
      </c>
      <c r="AL320" t="e">
        <f t="shared" si="31"/>
        <v>#N/A</v>
      </c>
      <c r="AM320">
        <f t="shared" si="35"/>
        <v>4</v>
      </c>
      <c r="AN320" t="e">
        <f t="shared" si="32"/>
        <v>#N/A</v>
      </c>
    </row>
    <row r="321" spans="1:40" x14ac:dyDescent="0.25">
      <c r="A321">
        <v>320</v>
      </c>
      <c r="B321">
        <f ca="1">SMALL(dados!A$23:A$422,A321)</f>
        <v>0.81667863240239447</v>
      </c>
      <c r="C321">
        <f ca="1">VLOOKUP(B321,dados!A$23:E$422,4,0)</f>
        <v>1</v>
      </c>
      <c r="D321">
        <f ca="1">VLOOKUP(B321,dados!A$23:E$422,5,0)</f>
        <v>9</v>
      </c>
      <c r="E321">
        <f ca="1">COUNTIF(C$2:C321,1)</f>
        <v>231</v>
      </c>
      <c r="F321">
        <f ca="1">COUNTIF(C$2:C321,2)</f>
        <v>56</v>
      </c>
      <c r="G321">
        <f ca="1">COUNTIF(C$2:C321,3)</f>
        <v>33</v>
      </c>
      <c r="L321">
        <v>318</v>
      </c>
      <c r="M321">
        <v>13.824999999999999</v>
      </c>
      <c r="N321">
        <v>13.281874999999999</v>
      </c>
      <c r="O321">
        <v>13.961097222222222</v>
      </c>
      <c r="P321">
        <v>14.002805555555554</v>
      </c>
      <c r="AG321">
        <v>1</v>
      </c>
      <c r="AH321" t="e">
        <f t="shared" si="29"/>
        <v>#N/A</v>
      </c>
      <c r="AI321">
        <f t="shared" si="33"/>
        <v>2</v>
      </c>
      <c r="AJ321" t="e">
        <f t="shared" si="30"/>
        <v>#N/A</v>
      </c>
      <c r="AK321">
        <f t="shared" si="34"/>
        <v>3</v>
      </c>
      <c r="AL321" t="e">
        <f t="shared" si="31"/>
        <v>#N/A</v>
      </c>
      <c r="AM321">
        <f t="shared" si="35"/>
        <v>4</v>
      </c>
      <c r="AN321" t="e">
        <f t="shared" si="32"/>
        <v>#N/A</v>
      </c>
    </row>
    <row r="322" spans="1:40" x14ac:dyDescent="0.25">
      <c r="A322">
        <v>321</v>
      </c>
      <c r="B322">
        <f ca="1">SMALL(dados!A$23:A$422,A322)</f>
        <v>0.81721490273119402</v>
      </c>
      <c r="C322">
        <f ca="1">VLOOKUP(B322,dados!A$23:E$422,4,0)</f>
        <v>1</v>
      </c>
      <c r="D322">
        <f ca="1">VLOOKUP(B322,dados!A$23:E$422,5,0)</f>
        <v>9</v>
      </c>
      <c r="E322">
        <f ca="1">COUNTIF(C$2:C322,1)</f>
        <v>232</v>
      </c>
      <c r="F322">
        <f ca="1">COUNTIF(C$2:C322,2)</f>
        <v>56</v>
      </c>
      <c r="G322">
        <f ca="1">COUNTIF(C$2:C322,3)</f>
        <v>33</v>
      </c>
      <c r="L322">
        <v>319</v>
      </c>
      <c r="M322">
        <v>14.883749999999999</v>
      </c>
      <c r="N322">
        <v>13.995625</v>
      </c>
      <c r="O322">
        <v>14.372125</v>
      </c>
      <c r="P322">
        <v>14.231263888888886</v>
      </c>
      <c r="AG322">
        <v>1</v>
      </c>
      <c r="AH322" t="e">
        <f t="shared" si="29"/>
        <v>#N/A</v>
      </c>
      <c r="AI322">
        <f t="shared" si="33"/>
        <v>2</v>
      </c>
      <c r="AJ322" t="e">
        <f t="shared" si="30"/>
        <v>#N/A</v>
      </c>
      <c r="AK322">
        <f t="shared" si="34"/>
        <v>3</v>
      </c>
      <c r="AL322" t="e">
        <f t="shared" si="31"/>
        <v>#N/A</v>
      </c>
      <c r="AM322">
        <f t="shared" si="35"/>
        <v>4</v>
      </c>
      <c r="AN322" t="e">
        <f t="shared" si="32"/>
        <v>#N/A</v>
      </c>
    </row>
    <row r="323" spans="1:40" x14ac:dyDescent="0.25">
      <c r="A323">
        <v>322</v>
      </c>
      <c r="B323">
        <f ca="1">SMALL(dados!A$23:A$422,A323)</f>
        <v>0.81981139945303838</v>
      </c>
      <c r="C323">
        <f ca="1">VLOOKUP(B323,dados!A$23:E$422,4,0)</f>
        <v>2</v>
      </c>
      <c r="D323">
        <f ca="1">VLOOKUP(B323,dados!A$23:E$422,5,0)</f>
        <v>14</v>
      </c>
      <c r="E323">
        <f ca="1">COUNTIF(C$2:C323,1)</f>
        <v>232</v>
      </c>
      <c r="F323">
        <f ca="1">COUNTIF(C$2:C323,2)</f>
        <v>57</v>
      </c>
      <c r="G323">
        <f ca="1">COUNTIF(C$2:C323,3)</f>
        <v>33</v>
      </c>
      <c r="L323">
        <v>320</v>
      </c>
      <c r="M323">
        <v>13.15625</v>
      </c>
      <c r="N323">
        <v>12.538125000000001</v>
      </c>
      <c r="O323">
        <v>13.434361111111111</v>
      </c>
      <c r="P323">
        <v>13.696409722222223</v>
      </c>
      <c r="AG323">
        <v>1</v>
      </c>
      <c r="AH323" t="e">
        <f t="shared" si="29"/>
        <v>#N/A</v>
      </c>
      <c r="AI323">
        <f t="shared" si="33"/>
        <v>2</v>
      </c>
      <c r="AJ323" t="e">
        <f t="shared" si="30"/>
        <v>#N/A</v>
      </c>
      <c r="AK323">
        <f t="shared" si="34"/>
        <v>3</v>
      </c>
      <c r="AL323" t="e">
        <f t="shared" si="31"/>
        <v>#N/A</v>
      </c>
      <c r="AM323">
        <f t="shared" si="35"/>
        <v>4</v>
      </c>
      <c r="AN323" t="e">
        <f t="shared" si="32"/>
        <v>#N/A</v>
      </c>
    </row>
    <row r="324" spans="1:40" x14ac:dyDescent="0.25">
      <c r="A324">
        <v>323</v>
      </c>
      <c r="B324">
        <f ca="1">SMALL(dados!A$23:A$422,A324)</f>
        <v>0.8212170088437768</v>
      </c>
      <c r="C324">
        <f ca="1">VLOOKUP(B324,dados!A$23:E$422,4,0)</f>
        <v>2</v>
      </c>
      <c r="D324">
        <f ca="1">VLOOKUP(B324,dados!A$23:E$422,5,0)</f>
        <v>24</v>
      </c>
      <c r="E324">
        <f ca="1">COUNTIF(C$2:C324,1)</f>
        <v>232</v>
      </c>
      <c r="F324">
        <f ca="1">COUNTIF(C$2:C324,2)</f>
        <v>58</v>
      </c>
      <c r="G324">
        <f ca="1">COUNTIF(C$2:C324,3)</f>
        <v>33</v>
      </c>
      <c r="L324">
        <v>321</v>
      </c>
      <c r="M324">
        <v>14.545</v>
      </c>
      <c r="N324">
        <v>14.500624999999999</v>
      </c>
      <c r="O324">
        <v>14.934902777777779</v>
      </c>
      <c r="P324">
        <v>14.600201388888891</v>
      </c>
      <c r="AG324">
        <v>1</v>
      </c>
      <c r="AH324" t="e">
        <f t="shared" ref="AH324:AH387" si="36">IF(OR(M324&lt;S$3,M324&gt;S$7),M324,#N/A)</f>
        <v>#N/A</v>
      </c>
      <c r="AI324">
        <f t="shared" si="33"/>
        <v>2</v>
      </c>
      <c r="AJ324" t="e">
        <f t="shared" ref="AJ324:AJ387" si="37">IF(OR(N324&lt;T$3,N324&gt;T$7),N324,#N/A)</f>
        <v>#N/A</v>
      </c>
      <c r="AK324">
        <f t="shared" si="34"/>
        <v>3</v>
      </c>
      <c r="AL324" t="e">
        <f t="shared" ref="AL324:AL387" si="38">IF(OR(O324&lt;U$3,O324&gt;U$7),O324,#N/A)</f>
        <v>#N/A</v>
      </c>
      <c r="AM324">
        <f t="shared" si="35"/>
        <v>4</v>
      </c>
      <c r="AN324" t="e">
        <f t="shared" ref="AN324:AN387" si="39">IF(OR(P324&lt;V$3,P324&gt;V$7),P324,#N/A)</f>
        <v>#N/A</v>
      </c>
    </row>
    <row r="325" spans="1:40" x14ac:dyDescent="0.25">
      <c r="A325">
        <v>324</v>
      </c>
      <c r="B325">
        <f ca="1">SMALL(dados!A$23:A$422,A325)</f>
        <v>0.82566468561274309</v>
      </c>
      <c r="C325">
        <f ca="1">VLOOKUP(B325,dados!A$23:E$422,4,0)</f>
        <v>1</v>
      </c>
      <c r="D325">
        <f ca="1">VLOOKUP(B325,dados!A$23:E$422,5,0)</f>
        <v>10</v>
      </c>
      <c r="E325">
        <f ca="1">COUNTIF(C$2:C325,1)</f>
        <v>233</v>
      </c>
      <c r="F325">
        <f ca="1">COUNTIF(C$2:C325,2)</f>
        <v>58</v>
      </c>
      <c r="G325">
        <f ca="1">COUNTIF(C$2:C325,3)</f>
        <v>33</v>
      </c>
      <c r="L325">
        <v>322</v>
      </c>
      <c r="M325">
        <v>13.90625</v>
      </c>
      <c r="N325">
        <v>14.391249999999999</v>
      </c>
      <c r="O325">
        <v>14.221388888888889</v>
      </c>
      <c r="P325">
        <v>14.574923611111112</v>
      </c>
      <c r="AG325">
        <v>1</v>
      </c>
      <c r="AH325" t="e">
        <f t="shared" si="36"/>
        <v>#N/A</v>
      </c>
      <c r="AI325">
        <f t="shared" ref="AI325:AI388" si="40">AG325+1</f>
        <v>2</v>
      </c>
      <c r="AJ325" t="e">
        <f t="shared" si="37"/>
        <v>#N/A</v>
      </c>
      <c r="AK325">
        <f t="shared" ref="AK325:AK388" si="41">AI325+1</f>
        <v>3</v>
      </c>
      <c r="AL325" t="e">
        <f t="shared" si="38"/>
        <v>#N/A</v>
      </c>
      <c r="AM325">
        <f t="shared" ref="AM325:AM388" si="42">AK325+1</f>
        <v>4</v>
      </c>
      <c r="AN325" t="e">
        <f t="shared" si="39"/>
        <v>#N/A</v>
      </c>
    </row>
    <row r="326" spans="1:40" x14ac:dyDescent="0.25">
      <c r="A326">
        <v>325</v>
      </c>
      <c r="B326">
        <f ca="1">SMALL(dados!A$23:A$422,A326)</f>
        <v>0.82698037279973946</v>
      </c>
      <c r="C326">
        <f ca="1">VLOOKUP(B326,dados!A$23:E$422,4,0)</f>
        <v>1</v>
      </c>
      <c r="D326">
        <f ca="1">VLOOKUP(B326,dados!A$23:E$422,5,0)</f>
        <v>13</v>
      </c>
      <c r="E326">
        <f ca="1">COUNTIF(C$2:C326,1)</f>
        <v>234</v>
      </c>
      <c r="F326">
        <f ca="1">COUNTIF(C$2:C326,2)</f>
        <v>58</v>
      </c>
      <c r="G326">
        <f ca="1">COUNTIF(C$2:C326,3)</f>
        <v>33</v>
      </c>
      <c r="L326">
        <v>323</v>
      </c>
      <c r="M326">
        <v>13.09375</v>
      </c>
      <c r="N326">
        <v>12.6975</v>
      </c>
      <c r="O326">
        <v>13.58026388888889</v>
      </c>
      <c r="P326">
        <v>14.063569444444445</v>
      </c>
      <c r="AG326">
        <v>1</v>
      </c>
      <c r="AH326" t="e">
        <f t="shared" si="36"/>
        <v>#N/A</v>
      </c>
      <c r="AI326">
        <f t="shared" si="40"/>
        <v>2</v>
      </c>
      <c r="AJ326" t="e">
        <f t="shared" si="37"/>
        <v>#N/A</v>
      </c>
      <c r="AK326">
        <f t="shared" si="41"/>
        <v>3</v>
      </c>
      <c r="AL326" t="e">
        <f t="shared" si="38"/>
        <v>#N/A</v>
      </c>
      <c r="AM326">
        <f t="shared" si="42"/>
        <v>4</v>
      </c>
      <c r="AN326" t="e">
        <f t="shared" si="39"/>
        <v>#N/A</v>
      </c>
    </row>
    <row r="327" spans="1:40" x14ac:dyDescent="0.25">
      <c r="A327">
        <v>326</v>
      </c>
      <c r="B327">
        <f ca="1">SMALL(dados!A$23:A$422,A327)</f>
        <v>0.8347957867664374</v>
      </c>
      <c r="C327">
        <f ca="1">VLOOKUP(B327,dados!A$23:E$422,4,0)</f>
        <v>1</v>
      </c>
      <c r="D327">
        <f ca="1">VLOOKUP(B327,dados!A$23:E$422,5,0)</f>
        <v>8</v>
      </c>
      <c r="E327">
        <f ca="1">COUNTIF(C$2:C327,1)</f>
        <v>235</v>
      </c>
      <c r="F327">
        <f ca="1">COUNTIF(C$2:C327,2)</f>
        <v>58</v>
      </c>
      <c r="G327">
        <f ca="1">COUNTIF(C$2:C327,3)</f>
        <v>33</v>
      </c>
      <c r="L327">
        <v>324</v>
      </c>
      <c r="M327">
        <v>14.046250000000001</v>
      </c>
      <c r="N327">
        <v>13.616250000000001</v>
      </c>
      <c r="O327">
        <v>14.277638888888887</v>
      </c>
      <c r="P327">
        <v>14.147798611111112</v>
      </c>
      <c r="AG327">
        <v>1</v>
      </c>
      <c r="AH327" t="e">
        <f t="shared" si="36"/>
        <v>#N/A</v>
      </c>
      <c r="AI327">
        <f t="shared" si="40"/>
        <v>2</v>
      </c>
      <c r="AJ327" t="e">
        <f t="shared" si="37"/>
        <v>#N/A</v>
      </c>
      <c r="AK327">
        <f t="shared" si="41"/>
        <v>3</v>
      </c>
      <c r="AL327" t="e">
        <f t="shared" si="38"/>
        <v>#N/A</v>
      </c>
      <c r="AM327">
        <f t="shared" si="42"/>
        <v>4</v>
      </c>
      <c r="AN327" t="e">
        <f t="shared" si="39"/>
        <v>#N/A</v>
      </c>
    </row>
    <row r="328" spans="1:40" x14ac:dyDescent="0.25">
      <c r="A328">
        <v>327</v>
      </c>
      <c r="B328">
        <f ca="1">SMALL(dados!A$23:A$422,A328)</f>
        <v>0.83629559996733682</v>
      </c>
      <c r="C328">
        <f ca="1">VLOOKUP(B328,dados!A$23:E$422,4,0)</f>
        <v>1</v>
      </c>
      <c r="D328">
        <f ca="1">VLOOKUP(B328,dados!A$23:E$422,5,0)</f>
        <v>11</v>
      </c>
      <c r="E328">
        <f ca="1">COUNTIF(C$2:C328,1)</f>
        <v>236</v>
      </c>
      <c r="F328">
        <f ca="1">COUNTIF(C$2:C328,2)</f>
        <v>58</v>
      </c>
      <c r="G328">
        <f ca="1">COUNTIF(C$2:C328,3)</f>
        <v>33</v>
      </c>
      <c r="L328">
        <v>325</v>
      </c>
      <c r="M328">
        <v>13.922499999999999</v>
      </c>
      <c r="N328">
        <v>13.8475</v>
      </c>
      <c r="O328">
        <v>14.347972222222221</v>
      </c>
      <c r="P328">
        <v>14.529874999999999</v>
      </c>
      <c r="AG328">
        <v>1</v>
      </c>
      <c r="AH328" t="e">
        <f t="shared" si="36"/>
        <v>#N/A</v>
      </c>
      <c r="AI328">
        <f t="shared" si="40"/>
        <v>2</v>
      </c>
      <c r="AJ328" t="e">
        <f t="shared" si="37"/>
        <v>#N/A</v>
      </c>
      <c r="AK328">
        <f t="shared" si="41"/>
        <v>3</v>
      </c>
      <c r="AL328" t="e">
        <f t="shared" si="38"/>
        <v>#N/A</v>
      </c>
      <c r="AM328">
        <f t="shared" si="42"/>
        <v>4</v>
      </c>
      <c r="AN328" t="e">
        <f t="shared" si="39"/>
        <v>#N/A</v>
      </c>
    </row>
    <row r="329" spans="1:40" x14ac:dyDescent="0.25">
      <c r="A329">
        <v>328</v>
      </c>
      <c r="B329">
        <f ca="1">SMALL(dados!A$23:A$422,A329)</f>
        <v>0.83803110708209738</v>
      </c>
      <c r="C329">
        <f ca="1">VLOOKUP(B329,dados!A$23:E$422,4,0)</f>
        <v>2</v>
      </c>
      <c r="D329">
        <f ca="1">VLOOKUP(B329,dados!A$23:E$422,5,0)</f>
        <v>20</v>
      </c>
      <c r="E329">
        <f ca="1">COUNTIF(C$2:C329,1)</f>
        <v>236</v>
      </c>
      <c r="F329">
        <f ca="1">COUNTIF(C$2:C329,2)</f>
        <v>59</v>
      </c>
      <c r="G329">
        <f ca="1">COUNTIF(C$2:C329,3)</f>
        <v>33</v>
      </c>
      <c r="L329">
        <v>326</v>
      </c>
      <c r="M329">
        <v>12.61875</v>
      </c>
      <c r="N329">
        <v>12.47875</v>
      </c>
      <c r="O329">
        <v>14.03848611111111</v>
      </c>
      <c r="P329">
        <v>13.876972222222221</v>
      </c>
      <c r="AG329">
        <v>1</v>
      </c>
      <c r="AH329" t="e">
        <f t="shared" si="36"/>
        <v>#N/A</v>
      </c>
      <c r="AI329">
        <f t="shared" si="40"/>
        <v>2</v>
      </c>
      <c r="AJ329" t="e">
        <f t="shared" si="37"/>
        <v>#N/A</v>
      </c>
      <c r="AK329">
        <f t="shared" si="41"/>
        <v>3</v>
      </c>
      <c r="AL329" t="e">
        <f t="shared" si="38"/>
        <v>#N/A</v>
      </c>
      <c r="AM329">
        <f t="shared" si="42"/>
        <v>4</v>
      </c>
      <c r="AN329" t="e">
        <f t="shared" si="39"/>
        <v>#N/A</v>
      </c>
    </row>
    <row r="330" spans="1:40" x14ac:dyDescent="0.25">
      <c r="A330">
        <v>329</v>
      </c>
      <c r="B330">
        <f ca="1">SMALL(dados!A$23:A$422,A330)</f>
        <v>0.84053539965217539</v>
      </c>
      <c r="C330">
        <f ca="1">VLOOKUP(B330,dados!A$23:E$422,4,0)</f>
        <v>1</v>
      </c>
      <c r="D330">
        <f ca="1">VLOOKUP(B330,dados!A$23:E$422,5,0)</f>
        <v>7</v>
      </c>
      <c r="E330">
        <f ca="1">COUNTIF(C$2:C330,1)</f>
        <v>237</v>
      </c>
      <c r="F330">
        <f ca="1">COUNTIF(C$2:C330,2)</f>
        <v>59</v>
      </c>
      <c r="G330">
        <f ca="1">COUNTIF(C$2:C330,3)</f>
        <v>33</v>
      </c>
      <c r="L330">
        <v>327</v>
      </c>
      <c r="M330">
        <v>15.137499999999999</v>
      </c>
      <c r="N330">
        <v>14.253125000000001</v>
      </c>
      <c r="O330">
        <v>13.568958333333333</v>
      </c>
      <c r="P330">
        <v>13.565208333333333</v>
      </c>
      <c r="AG330">
        <v>1</v>
      </c>
      <c r="AH330" t="e">
        <f t="shared" si="36"/>
        <v>#N/A</v>
      </c>
      <c r="AI330">
        <f t="shared" si="40"/>
        <v>2</v>
      </c>
      <c r="AJ330" t="e">
        <f t="shared" si="37"/>
        <v>#N/A</v>
      </c>
      <c r="AK330">
        <f t="shared" si="41"/>
        <v>3</v>
      </c>
      <c r="AL330" t="e">
        <f t="shared" si="38"/>
        <v>#N/A</v>
      </c>
      <c r="AM330">
        <f t="shared" si="42"/>
        <v>4</v>
      </c>
      <c r="AN330" t="e">
        <f t="shared" si="39"/>
        <v>#N/A</v>
      </c>
    </row>
    <row r="331" spans="1:40" x14ac:dyDescent="0.25">
      <c r="A331">
        <v>330</v>
      </c>
      <c r="B331">
        <f ca="1">SMALL(dados!A$23:A$422,A331)</f>
        <v>0.84761043092514632</v>
      </c>
      <c r="C331">
        <f ca="1">VLOOKUP(B331,dados!A$23:E$422,4,0)</f>
        <v>1</v>
      </c>
      <c r="D331">
        <f ca="1">VLOOKUP(B331,dados!A$23:E$422,5,0)</f>
        <v>16</v>
      </c>
      <c r="E331">
        <f ca="1">COUNTIF(C$2:C331,1)</f>
        <v>238</v>
      </c>
      <c r="F331">
        <f ca="1">COUNTIF(C$2:C331,2)</f>
        <v>59</v>
      </c>
      <c r="G331">
        <f ca="1">COUNTIF(C$2:C331,3)</f>
        <v>33</v>
      </c>
      <c r="L331">
        <v>328</v>
      </c>
      <c r="M331">
        <v>15.42625</v>
      </c>
      <c r="N331">
        <v>15.098125</v>
      </c>
      <c r="O331">
        <v>14.767583333333333</v>
      </c>
      <c r="P331">
        <v>14.183722222222222</v>
      </c>
      <c r="AG331">
        <v>1</v>
      </c>
      <c r="AH331" t="e">
        <f t="shared" si="36"/>
        <v>#N/A</v>
      </c>
      <c r="AI331">
        <f t="shared" si="40"/>
        <v>2</v>
      </c>
      <c r="AJ331" t="e">
        <f t="shared" si="37"/>
        <v>#N/A</v>
      </c>
      <c r="AK331">
        <f t="shared" si="41"/>
        <v>3</v>
      </c>
      <c r="AL331" t="e">
        <f t="shared" si="38"/>
        <v>#N/A</v>
      </c>
      <c r="AM331">
        <f t="shared" si="42"/>
        <v>4</v>
      </c>
      <c r="AN331" t="e">
        <f t="shared" si="39"/>
        <v>#N/A</v>
      </c>
    </row>
    <row r="332" spans="1:40" x14ac:dyDescent="0.25">
      <c r="A332">
        <v>331</v>
      </c>
      <c r="B332">
        <f ca="1">SMALL(dados!A$23:A$422,A332)</f>
        <v>0.85014174620809579</v>
      </c>
      <c r="C332">
        <f ca="1">VLOOKUP(B332,dados!A$23:E$422,4,0)</f>
        <v>1</v>
      </c>
      <c r="D332">
        <f ca="1">VLOOKUP(B332,dados!A$23:E$422,5,0)</f>
        <v>7</v>
      </c>
      <c r="E332">
        <f ca="1">COUNTIF(C$2:C332,1)</f>
        <v>239</v>
      </c>
      <c r="F332">
        <f ca="1">COUNTIF(C$2:C332,2)</f>
        <v>59</v>
      </c>
      <c r="G332">
        <f ca="1">COUNTIF(C$2:C332,3)</f>
        <v>33</v>
      </c>
      <c r="L332">
        <v>329</v>
      </c>
      <c r="M332">
        <v>12.6225</v>
      </c>
      <c r="N332">
        <v>13.602499999999999</v>
      </c>
      <c r="O332">
        <v>14.385347222222222</v>
      </c>
      <c r="P332">
        <v>14.3765</v>
      </c>
      <c r="AG332">
        <v>1</v>
      </c>
      <c r="AH332" t="e">
        <f t="shared" si="36"/>
        <v>#N/A</v>
      </c>
      <c r="AI332">
        <f t="shared" si="40"/>
        <v>2</v>
      </c>
      <c r="AJ332" t="e">
        <f t="shared" si="37"/>
        <v>#N/A</v>
      </c>
      <c r="AK332">
        <f t="shared" si="41"/>
        <v>3</v>
      </c>
      <c r="AL332" t="e">
        <f t="shared" si="38"/>
        <v>#N/A</v>
      </c>
      <c r="AM332">
        <f t="shared" si="42"/>
        <v>4</v>
      </c>
      <c r="AN332" t="e">
        <f t="shared" si="39"/>
        <v>#N/A</v>
      </c>
    </row>
    <row r="333" spans="1:40" x14ac:dyDescent="0.25">
      <c r="A333">
        <v>332</v>
      </c>
      <c r="B333">
        <f ca="1">SMALL(dados!A$23:A$422,A333)</f>
        <v>0.85811405778122052</v>
      </c>
      <c r="C333">
        <f ca="1">VLOOKUP(B333,dados!A$23:E$422,4,0)</f>
        <v>1</v>
      </c>
      <c r="D333">
        <f ca="1">VLOOKUP(B333,dados!A$23:E$422,5,0)</f>
        <v>8</v>
      </c>
      <c r="E333">
        <f ca="1">COUNTIF(C$2:C333,1)</f>
        <v>240</v>
      </c>
      <c r="F333">
        <f ca="1">COUNTIF(C$2:C333,2)</f>
        <v>59</v>
      </c>
      <c r="G333">
        <f ca="1">COUNTIF(C$2:C333,3)</f>
        <v>33</v>
      </c>
      <c r="L333">
        <v>330</v>
      </c>
      <c r="M333">
        <v>15.50625</v>
      </c>
      <c r="N333">
        <v>14.450625</v>
      </c>
      <c r="O333">
        <v>14.568319444444445</v>
      </c>
      <c r="P333">
        <v>14.2511875</v>
      </c>
      <c r="AG333">
        <v>1</v>
      </c>
      <c r="AH333" t="e">
        <f t="shared" si="36"/>
        <v>#N/A</v>
      </c>
      <c r="AI333">
        <f t="shared" si="40"/>
        <v>2</v>
      </c>
      <c r="AJ333" t="e">
        <f t="shared" si="37"/>
        <v>#N/A</v>
      </c>
      <c r="AK333">
        <f t="shared" si="41"/>
        <v>3</v>
      </c>
      <c r="AL333" t="e">
        <f t="shared" si="38"/>
        <v>#N/A</v>
      </c>
      <c r="AM333">
        <f t="shared" si="42"/>
        <v>4</v>
      </c>
      <c r="AN333" t="e">
        <f t="shared" si="39"/>
        <v>#N/A</v>
      </c>
    </row>
    <row r="334" spans="1:40" x14ac:dyDescent="0.25">
      <c r="A334">
        <v>333</v>
      </c>
      <c r="B334">
        <f ca="1">SMALL(dados!A$23:A$422,A334)</f>
        <v>0.86181032343332398</v>
      </c>
      <c r="C334">
        <f ca="1">VLOOKUP(B334,dados!A$23:E$422,4,0)</f>
        <v>1</v>
      </c>
      <c r="D334">
        <f ca="1">VLOOKUP(B334,dados!A$23:E$422,5,0)</f>
        <v>8</v>
      </c>
      <c r="E334">
        <f ca="1">COUNTIF(C$2:C334,1)</f>
        <v>241</v>
      </c>
      <c r="F334">
        <f ca="1">COUNTIF(C$2:C334,2)</f>
        <v>59</v>
      </c>
      <c r="G334">
        <f ca="1">COUNTIF(C$2:C334,3)</f>
        <v>33</v>
      </c>
      <c r="L334">
        <v>331</v>
      </c>
      <c r="M334">
        <v>13.33375</v>
      </c>
      <c r="N334">
        <v>13.634375</v>
      </c>
      <c r="O334">
        <v>13.199944444444442</v>
      </c>
      <c r="P334">
        <v>13.880493055555558</v>
      </c>
      <c r="AG334">
        <v>1</v>
      </c>
      <c r="AH334" t="e">
        <f t="shared" si="36"/>
        <v>#N/A</v>
      </c>
      <c r="AI334">
        <f t="shared" si="40"/>
        <v>2</v>
      </c>
      <c r="AJ334" t="e">
        <f t="shared" si="37"/>
        <v>#N/A</v>
      </c>
      <c r="AK334">
        <f t="shared" si="41"/>
        <v>3</v>
      </c>
      <c r="AL334" t="e">
        <f t="shared" si="38"/>
        <v>#N/A</v>
      </c>
      <c r="AM334">
        <f t="shared" si="42"/>
        <v>4</v>
      </c>
      <c r="AN334" t="e">
        <f t="shared" si="39"/>
        <v>#N/A</v>
      </c>
    </row>
    <row r="335" spans="1:40" x14ac:dyDescent="0.25">
      <c r="A335">
        <v>334</v>
      </c>
      <c r="B335">
        <f ca="1">SMALL(dados!A$23:A$422,A335)</f>
        <v>0.86299184345891788</v>
      </c>
      <c r="C335">
        <f ca="1">VLOOKUP(B335,dados!A$23:E$422,4,0)</f>
        <v>1</v>
      </c>
      <c r="D335">
        <f ca="1">VLOOKUP(B335,dados!A$23:E$422,5,0)</f>
        <v>6</v>
      </c>
      <c r="E335">
        <f ca="1">COUNTIF(C$2:C335,1)</f>
        <v>242</v>
      </c>
      <c r="F335">
        <f ca="1">COUNTIF(C$2:C335,2)</f>
        <v>59</v>
      </c>
      <c r="G335">
        <f ca="1">COUNTIF(C$2:C335,3)</f>
        <v>33</v>
      </c>
      <c r="L335">
        <v>332</v>
      </c>
      <c r="M335">
        <v>15.3475</v>
      </c>
      <c r="N335">
        <v>15.17</v>
      </c>
      <c r="O335">
        <v>14.515263888888889</v>
      </c>
      <c r="P335">
        <v>14.080937499999999</v>
      </c>
      <c r="AG335">
        <v>1</v>
      </c>
      <c r="AH335" t="e">
        <f t="shared" si="36"/>
        <v>#N/A</v>
      </c>
      <c r="AI335">
        <f t="shared" si="40"/>
        <v>2</v>
      </c>
      <c r="AJ335" t="e">
        <f t="shared" si="37"/>
        <v>#N/A</v>
      </c>
      <c r="AK335">
        <f t="shared" si="41"/>
        <v>3</v>
      </c>
      <c r="AL335" t="e">
        <f t="shared" si="38"/>
        <v>#N/A</v>
      </c>
      <c r="AM335">
        <f t="shared" si="42"/>
        <v>4</v>
      </c>
      <c r="AN335" t="e">
        <f t="shared" si="39"/>
        <v>#N/A</v>
      </c>
    </row>
    <row r="336" spans="1:40" x14ac:dyDescent="0.25">
      <c r="A336">
        <v>335</v>
      </c>
      <c r="B336">
        <f ca="1">SMALL(dados!A$23:A$422,A336)</f>
        <v>0.86732011568894207</v>
      </c>
      <c r="C336">
        <f ca="1">VLOOKUP(B336,dados!A$23:E$422,4,0)</f>
        <v>1</v>
      </c>
      <c r="D336">
        <f ca="1">VLOOKUP(B336,dados!A$23:E$422,5,0)</f>
        <v>11</v>
      </c>
      <c r="E336">
        <f ca="1">COUNTIF(C$2:C336,1)</f>
        <v>243</v>
      </c>
      <c r="F336">
        <f ca="1">COUNTIF(C$2:C336,2)</f>
        <v>59</v>
      </c>
      <c r="G336">
        <f ca="1">COUNTIF(C$2:C336,3)</f>
        <v>33</v>
      </c>
      <c r="L336">
        <v>333</v>
      </c>
      <c r="M336">
        <v>13.574999999999999</v>
      </c>
      <c r="N336">
        <v>13.6775</v>
      </c>
      <c r="O336">
        <v>14.179124999999999</v>
      </c>
      <c r="P336">
        <v>14.277055555555558</v>
      </c>
      <c r="AG336">
        <v>1</v>
      </c>
      <c r="AH336" t="e">
        <f t="shared" si="36"/>
        <v>#N/A</v>
      </c>
      <c r="AI336">
        <f t="shared" si="40"/>
        <v>2</v>
      </c>
      <c r="AJ336" t="e">
        <f t="shared" si="37"/>
        <v>#N/A</v>
      </c>
      <c r="AK336">
        <f t="shared" si="41"/>
        <v>3</v>
      </c>
      <c r="AL336" t="e">
        <f t="shared" si="38"/>
        <v>#N/A</v>
      </c>
      <c r="AM336">
        <f t="shared" si="42"/>
        <v>4</v>
      </c>
      <c r="AN336" t="e">
        <f t="shared" si="39"/>
        <v>#N/A</v>
      </c>
    </row>
    <row r="337" spans="1:40" x14ac:dyDescent="0.25">
      <c r="A337">
        <v>336</v>
      </c>
      <c r="B337">
        <f ca="1">SMALL(dados!A$23:A$422,A337)</f>
        <v>0.86879759599461448</v>
      </c>
      <c r="C337">
        <f ca="1">VLOOKUP(B337,dados!A$23:E$422,4,0)</f>
        <v>3</v>
      </c>
      <c r="D337">
        <f ca="1">VLOOKUP(B337,dados!A$23:E$422,5,0)</f>
        <v>44</v>
      </c>
      <c r="E337">
        <f ca="1">COUNTIF(C$2:C337,1)</f>
        <v>243</v>
      </c>
      <c r="F337">
        <f ca="1">COUNTIF(C$2:C337,2)</f>
        <v>59</v>
      </c>
      <c r="G337">
        <f ca="1">COUNTIF(C$2:C337,3)</f>
        <v>34</v>
      </c>
      <c r="L337">
        <v>334</v>
      </c>
      <c r="M337">
        <v>12.1875</v>
      </c>
      <c r="N337">
        <v>12.914999999999999</v>
      </c>
      <c r="O337">
        <v>13.627958333333336</v>
      </c>
      <c r="P337">
        <v>13.398979166666669</v>
      </c>
      <c r="AG337">
        <v>1</v>
      </c>
      <c r="AH337" t="e">
        <f t="shared" si="36"/>
        <v>#N/A</v>
      </c>
      <c r="AI337">
        <f t="shared" si="40"/>
        <v>2</v>
      </c>
      <c r="AJ337" t="e">
        <f t="shared" si="37"/>
        <v>#N/A</v>
      </c>
      <c r="AK337">
        <f t="shared" si="41"/>
        <v>3</v>
      </c>
      <c r="AL337" t="e">
        <f t="shared" si="38"/>
        <v>#N/A</v>
      </c>
      <c r="AM337">
        <f t="shared" si="42"/>
        <v>4</v>
      </c>
      <c r="AN337" t="e">
        <f t="shared" si="39"/>
        <v>#N/A</v>
      </c>
    </row>
    <row r="338" spans="1:40" x14ac:dyDescent="0.25">
      <c r="A338">
        <v>337</v>
      </c>
      <c r="B338">
        <f ca="1">SMALL(dados!A$23:A$422,A338)</f>
        <v>0.8689251331182215</v>
      </c>
      <c r="C338">
        <f ca="1">VLOOKUP(B338,dados!A$23:E$422,4,0)</f>
        <v>2</v>
      </c>
      <c r="D338">
        <f ca="1">VLOOKUP(B338,dados!A$23:E$422,5,0)</f>
        <v>27</v>
      </c>
      <c r="E338">
        <f ca="1">COUNTIF(C$2:C338,1)</f>
        <v>243</v>
      </c>
      <c r="F338">
        <f ca="1">COUNTIF(C$2:C338,2)</f>
        <v>60</v>
      </c>
      <c r="G338">
        <f ca="1">COUNTIF(C$2:C338,3)</f>
        <v>34</v>
      </c>
      <c r="L338">
        <v>335</v>
      </c>
      <c r="M338">
        <v>13.4825</v>
      </c>
      <c r="N338">
        <v>13.6225</v>
      </c>
      <c r="O338">
        <v>13.300041666666669</v>
      </c>
      <c r="P338">
        <v>14.079958333333332</v>
      </c>
      <c r="AG338">
        <v>1</v>
      </c>
      <c r="AH338" t="e">
        <f t="shared" si="36"/>
        <v>#N/A</v>
      </c>
      <c r="AI338">
        <f t="shared" si="40"/>
        <v>2</v>
      </c>
      <c r="AJ338" t="e">
        <f t="shared" si="37"/>
        <v>#N/A</v>
      </c>
      <c r="AK338">
        <f t="shared" si="41"/>
        <v>3</v>
      </c>
      <c r="AL338" t="e">
        <f t="shared" si="38"/>
        <v>#N/A</v>
      </c>
      <c r="AM338">
        <f t="shared" si="42"/>
        <v>4</v>
      </c>
      <c r="AN338" t="e">
        <f t="shared" si="39"/>
        <v>#N/A</v>
      </c>
    </row>
    <row r="339" spans="1:40" x14ac:dyDescent="0.25">
      <c r="A339">
        <v>338</v>
      </c>
      <c r="B339">
        <f ca="1">SMALL(dados!A$23:A$422,A339)</f>
        <v>0.87037964455360717</v>
      </c>
      <c r="C339">
        <f ca="1">VLOOKUP(B339,dados!A$23:E$422,4,0)</f>
        <v>1</v>
      </c>
      <c r="D339">
        <f ca="1">VLOOKUP(B339,dados!A$23:E$422,5,0)</f>
        <v>8</v>
      </c>
      <c r="E339">
        <f ca="1">COUNTIF(C$2:C339,1)</f>
        <v>244</v>
      </c>
      <c r="F339">
        <f ca="1">COUNTIF(C$2:C339,2)</f>
        <v>60</v>
      </c>
      <c r="G339">
        <f ca="1">COUNTIF(C$2:C339,3)</f>
        <v>34</v>
      </c>
      <c r="L339">
        <v>336</v>
      </c>
      <c r="M339">
        <v>13.772500000000001</v>
      </c>
      <c r="N339">
        <v>14.24375</v>
      </c>
      <c r="O339">
        <v>13.56725</v>
      </c>
      <c r="P339">
        <v>13.496270833333336</v>
      </c>
      <c r="AG339">
        <v>1</v>
      </c>
      <c r="AH339" t="e">
        <f t="shared" si="36"/>
        <v>#N/A</v>
      </c>
      <c r="AI339">
        <f t="shared" si="40"/>
        <v>2</v>
      </c>
      <c r="AJ339" t="e">
        <f t="shared" si="37"/>
        <v>#N/A</v>
      </c>
      <c r="AK339">
        <f t="shared" si="41"/>
        <v>3</v>
      </c>
      <c r="AL339" t="e">
        <f t="shared" si="38"/>
        <v>#N/A</v>
      </c>
      <c r="AM339">
        <f t="shared" si="42"/>
        <v>4</v>
      </c>
      <c r="AN339" t="e">
        <f t="shared" si="39"/>
        <v>#N/A</v>
      </c>
    </row>
    <row r="340" spans="1:40" x14ac:dyDescent="0.25">
      <c r="A340">
        <v>339</v>
      </c>
      <c r="B340">
        <f ca="1">SMALL(dados!A$23:A$422,A340)</f>
        <v>0.87039119285023192</v>
      </c>
      <c r="C340">
        <f ca="1">VLOOKUP(B340,dados!A$23:E$422,4,0)</f>
        <v>1</v>
      </c>
      <c r="D340">
        <f ca="1">VLOOKUP(B340,dados!A$23:E$422,5,0)</f>
        <v>13</v>
      </c>
      <c r="E340">
        <f ca="1">COUNTIF(C$2:C340,1)</f>
        <v>245</v>
      </c>
      <c r="F340">
        <f ca="1">COUNTIF(C$2:C340,2)</f>
        <v>60</v>
      </c>
      <c r="G340">
        <f ca="1">COUNTIF(C$2:C340,3)</f>
        <v>34</v>
      </c>
      <c r="L340">
        <v>337</v>
      </c>
      <c r="M340">
        <v>13.335000000000001</v>
      </c>
      <c r="N340">
        <v>14.24</v>
      </c>
      <c r="O340">
        <v>14.515625</v>
      </c>
      <c r="P340">
        <v>13.745416666666667</v>
      </c>
      <c r="AG340">
        <v>1</v>
      </c>
      <c r="AH340" t="e">
        <f t="shared" si="36"/>
        <v>#N/A</v>
      </c>
      <c r="AI340">
        <f t="shared" si="40"/>
        <v>2</v>
      </c>
      <c r="AJ340" t="e">
        <f t="shared" si="37"/>
        <v>#N/A</v>
      </c>
      <c r="AK340">
        <f t="shared" si="41"/>
        <v>3</v>
      </c>
      <c r="AL340" t="e">
        <f t="shared" si="38"/>
        <v>#N/A</v>
      </c>
      <c r="AM340">
        <f t="shared" si="42"/>
        <v>4</v>
      </c>
      <c r="AN340" t="e">
        <f t="shared" si="39"/>
        <v>#N/A</v>
      </c>
    </row>
    <row r="341" spans="1:40" x14ac:dyDescent="0.25">
      <c r="A341">
        <v>340</v>
      </c>
      <c r="B341">
        <f ca="1">SMALL(dados!A$23:A$422,A341)</f>
        <v>0.87230305945220687</v>
      </c>
      <c r="C341">
        <f ca="1">VLOOKUP(B341,dados!A$23:E$422,4,0)</f>
        <v>1</v>
      </c>
      <c r="D341">
        <f ca="1">VLOOKUP(B341,dados!A$23:E$422,5,0)</f>
        <v>11</v>
      </c>
      <c r="E341">
        <f ca="1">COUNTIF(C$2:C341,1)</f>
        <v>246</v>
      </c>
      <c r="F341">
        <f ca="1">COUNTIF(C$2:C341,2)</f>
        <v>60</v>
      </c>
      <c r="G341">
        <f ca="1">COUNTIF(C$2:C341,3)</f>
        <v>34</v>
      </c>
      <c r="L341">
        <v>338</v>
      </c>
      <c r="M341">
        <v>13.74</v>
      </c>
      <c r="N341">
        <v>14.416874999999999</v>
      </c>
      <c r="O341">
        <v>14.329361111111112</v>
      </c>
      <c r="P341">
        <v>14.266229166666665</v>
      </c>
      <c r="AG341">
        <v>1</v>
      </c>
      <c r="AH341" t="e">
        <f t="shared" si="36"/>
        <v>#N/A</v>
      </c>
      <c r="AI341">
        <f t="shared" si="40"/>
        <v>2</v>
      </c>
      <c r="AJ341" t="e">
        <f t="shared" si="37"/>
        <v>#N/A</v>
      </c>
      <c r="AK341">
        <f t="shared" si="41"/>
        <v>3</v>
      </c>
      <c r="AL341" t="e">
        <f t="shared" si="38"/>
        <v>#N/A</v>
      </c>
      <c r="AM341">
        <f t="shared" si="42"/>
        <v>4</v>
      </c>
      <c r="AN341" t="e">
        <f t="shared" si="39"/>
        <v>#N/A</v>
      </c>
    </row>
    <row r="342" spans="1:40" x14ac:dyDescent="0.25">
      <c r="A342">
        <v>341</v>
      </c>
      <c r="B342">
        <f ca="1">SMALL(dados!A$23:A$422,A342)</f>
        <v>0.87381888713597444</v>
      </c>
      <c r="C342">
        <f ca="1">VLOOKUP(B342,dados!A$23:E$422,4,0)</f>
        <v>1</v>
      </c>
      <c r="D342">
        <f ca="1">VLOOKUP(B342,dados!A$23:E$422,5,0)</f>
        <v>9</v>
      </c>
      <c r="E342">
        <f ca="1">COUNTIF(C$2:C342,1)</f>
        <v>247</v>
      </c>
      <c r="F342">
        <f ca="1">COUNTIF(C$2:C342,2)</f>
        <v>60</v>
      </c>
      <c r="G342">
        <f ca="1">COUNTIF(C$2:C342,3)</f>
        <v>34</v>
      </c>
      <c r="L342">
        <v>339</v>
      </c>
      <c r="M342">
        <v>14.925000000000001</v>
      </c>
      <c r="N342">
        <v>14.746874999999999</v>
      </c>
      <c r="O342">
        <v>14.418847222222221</v>
      </c>
      <c r="P342">
        <v>13.771319444444444</v>
      </c>
      <c r="AG342">
        <v>1</v>
      </c>
      <c r="AH342" t="e">
        <f t="shared" si="36"/>
        <v>#N/A</v>
      </c>
      <c r="AI342">
        <f t="shared" si="40"/>
        <v>2</v>
      </c>
      <c r="AJ342" t="e">
        <f t="shared" si="37"/>
        <v>#N/A</v>
      </c>
      <c r="AK342">
        <f t="shared" si="41"/>
        <v>3</v>
      </c>
      <c r="AL342" t="e">
        <f t="shared" si="38"/>
        <v>#N/A</v>
      </c>
      <c r="AM342">
        <f t="shared" si="42"/>
        <v>4</v>
      </c>
      <c r="AN342" t="e">
        <f t="shared" si="39"/>
        <v>#N/A</v>
      </c>
    </row>
    <row r="343" spans="1:40" x14ac:dyDescent="0.25">
      <c r="A343">
        <v>342</v>
      </c>
      <c r="B343">
        <f ca="1">SMALL(dados!A$23:A$422,A343)</f>
        <v>0.87819090424836554</v>
      </c>
      <c r="C343">
        <f ca="1">VLOOKUP(B343,dados!A$23:E$422,4,0)</f>
        <v>3</v>
      </c>
      <c r="D343">
        <f ca="1">VLOOKUP(B343,dados!A$23:E$422,5,0)</f>
        <v>30</v>
      </c>
      <c r="E343">
        <f ca="1">COUNTIF(C$2:C343,1)</f>
        <v>247</v>
      </c>
      <c r="F343">
        <f ca="1">COUNTIF(C$2:C343,2)</f>
        <v>60</v>
      </c>
      <c r="G343">
        <f ca="1">COUNTIF(C$2:C343,3)</f>
        <v>35</v>
      </c>
      <c r="L343">
        <v>340</v>
      </c>
      <c r="M343">
        <v>13.63125</v>
      </c>
      <c r="N343">
        <v>13.750624999999999</v>
      </c>
      <c r="O343">
        <v>14.060666666666666</v>
      </c>
      <c r="P343">
        <v>13.867597222222221</v>
      </c>
      <c r="AG343">
        <v>1</v>
      </c>
      <c r="AH343" t="e">
        <f t="shared" si="36"/>
        <v>#N/A</v>
      </c>
      <c r="AI343">
        <f t="shared" si="40"/>
        <v>2</v>
      </c>
      <c r="AJ343" t="e">
        <f t="shared" si="37"/>
        <v>#N/A</v>
      </c>
      <c r="AK343">
        <f t="shared" si="41"/>
        <v>3</v>
      </c>
      <c r="AL343" t="e">
        <f t="shared" si="38"/>
        <v>#N/A</v>
      </c>
      <c r="AM343">
        <f t="shared" si="42"/>
        <v>4</v>
      </c>
      <c r="AN343" t="e">
        <f t="shared" si="39"/>
        <v>#N/A</v>
      </c>
    </row>
    <row r="344" spans="1:40" x14ac:dyDescent="0.25">
      <c r="A344">
        <v>343</v>
      </c>
      <c r="B344">
        <f ca="1">SMALL(dados!A$23:A$422,A344)</f>
        <v>0.88198383567270522</v>
      </c>
      <c r="C344">
        <f ca="1">VLOOKUP(B344,dados!A$23:E$422,4,0)</f>
        <v>2</v>
      </c>
      <c r="D344">
        <f ca="1">VLOOKUP(B344,dados!A$23:E$422,5,0)</f>
        <v>24</v>
      </c>
      <c r="E344">
        <f ca="1">COUNTIF(C$2:C344,1)</f>
        <v>247</v>
      </c>
      <c r="F344">
        <f ca="1">COUNTIF(C$2:C344,2)</f>
        <v>61</v>
      </c>
      <c r="G344">
        <f ca="1">COUNTIF(C$2:C344,3)</f>
        <v>35</v>
      </c>
      <c r="L344">
        <v>341</v>
      </c>
      <c r="M344">
        <v>16.953749999999999</v>
      </c>
      <c r="N344">
        <v>15.860625000000001</v>
      </c>
      <c r="O344">
        <v>14.447958333333334</v>
      </c>
      <c r="P344">
        <v>14.353847222222221</v>
      </c>
      <c r="AG344">
        <v>1</v>
      </c>
      <c r="AH344" t="e">
        <f t="shared" si="36"/>
        <v>#N/A</v>
      </c>
      <c r="AI344">
        <f t="shared" si="40"/>
        <v>2</v>
      </c>
      <c r="AJ344" t="e">
        <f t="shared" si="37"/>
        <v>#N/A</v>
      </c>
      <c r="AK344">
        <f t="shared" si="41"/>
        <v>3</v>
      </c>
      <c r="AL344" t="e">
        <f t="shared" si="38"/>
        <v>#N/A</v>
      </c>
      <c r="AM344">
        <f t="shared" si="42"/>
        <v>4</v>
      </c>
      <c r="AN344" t="e">
        <f t="shared" si="39"/>
        <v>#N/A</v>
      </c>
    </row>
    <row r="345" spans="1:40" x14ac:dyDescent="0.25">
      <c r="A345">
        <v>344</v>
      </c>
      <c r="B345">
        <f ca="1">SMALL(dados!A$23:A$422,A345)</f>
        <v>0.88335721219965624</v>
      </c>
      <c r="C345">
        <f ca="1">VLOOKUP(B345,dados!A$23:E$422,4,0)</f>
        <v>2</v>
      </c>
      <c r="D345">
        <f ca="1">VLOOKUP(B345,dados!A$23:E$422,5,0)</f>
        <v>24</v>
      </c>
      <c r="E345">
        <f ca="1">COUNTIF(C$2:C345,1)</f>
        <v>247</v>
      </c>
      <c r="F345">
        <f ca="1">COUNTIF(C$2:C345,2)</f>
        <v>62</v>
      </c>
      <c r="G345">
        <f ca="1">COUNTIF(C$2:C345,3)</f>
        <v>35</v>
      </c>
      <c r="L345">
        <v>342</v>
      </c>
      <c r="M345">
        <v>13.9725</v>
      </c>
      <c r="N345">
        <v>14.085625</v>
      </c>
      <c r="O345">
        <v>13.894486111111114</v>
      </c>
      <c r="P345">
        <v>13.747916666666665</v>
      </c>
      <c r="AG345">
        <v>1</v>
      </c>
      <c r="AH345" t="e">
        <f t="shared" si="36"/>
        <v>#N/A</v>
      </c>
      <c r="AI345">
        <f t="shared" si="40"/>
        <v>2</v>
      </c>
      <c r="AJ345" t="e">
        <f t="shared" si="37"/>
        <v>#N/A</v>
      </c>
      <c r="AK345">
        <f t="shared" si="41"/>
        <v>3</v>
      </c>
      <c r="AL345" t="e">
        <f t="shared" si="38"/>
        <v>#N/A</v>
      </c>
      <c r="AM345">
        <f t="shared" si="42"/>
        <v>4</v>
      </c>
      <c r="AN345" t="e">
        <f t="shared" si="39"/>
        <v>#N/A</v>
      </c>
    </row>
    <row r="346" spans="1:40" x14ac:dyDescent="0.25">
      <c r="A346">
        <v>345</v>
      </c>
      <c r="B346">
        <f ca="1">SMALL(dados!A$23:A$422,A346)</f>
        <v>0.8846164745429006</v>
      </c>
      <c r="C346">
        <f ca="1">VLOOKUP(B346,dados!A$23:E$422,4,0)</f>
        <v>1</v>
      </c>
      <c r="D346">
        <f ca="1">VLOOKUP(B346,dados!A$23:E$422,5,0)</f>
        <v>5</v>
      </c>
      <c r="E346">
        <f ca="1">COUNTIF(C$2:C346,1)</f>
        <v>248</v>
      </c>
      <c r="F346">
        <f ca="1">COUNTIF(C$2:C346,2)</f>
        <v>62</v>
      </c>
      <c r="G346">
        <f ca="1">COUNTIF(C$2:C346,3)</f>
        <v>35</v>
      </c>
      <c r="L346">
        <v>343</v>
      </c>
      <c r="M346">
        <v>12.80625</v>
      </c>
      <c r="N346">
        <v>13.014374999999999</v>
      </c>
      <c r="O346">
        <v>13.802430555555555</v>
      </c>
      <c r="P346">
        <v>13.850034722222222</v>
      </c>
      <c r="AG346">
        <v>1</v>
      </c>
      <c r="AH346" t="e">
        <f t="shared" si="36"/>
        <v>#N/A</v>
      </c>
      <c r="AI346">
        <f t="shared" si="40"/>
        <v>2</v>
      </c>
      <c r="AJ346" t="e">
        <f t="shared" si="37"/>
        <v>#N/A</v>
      </c>
      <c r="AK346">
        <f t="shared" si="41"/>
        <v>3</v>
      </c>
      <c r="AL346" t="e">
        <f t="shared" si="38"/>
        <v>#N/A</v>
      </c>
      <c r="AM346">
        <f t="shared" si="42"/>
        <v>4</v>
      </c>
      <c r="AN346" t="e">
        <f t="shared" si="39"/>
        <v>#N/A</v>
      </c>
    </row>
    <row r="347" spans="1:40" x14ac:dyDescent="0.25">
      <c r="A347">
        <v>346</v>
      </c>
      <c r="B347">
        <f ca="1">SMALL(dados!A$23:A$422,A347)</f>
        <v>0.88495596043741365</v>
      </c>
      <c r="C347">
        <f ca="1">VLOOKUP(B347,dados!A$23:E$422,4,0)</f>
        <v>1</v>
      </c>
      <c r="D347">
        <f ca="1">VLOOKUP(B347,dados!A$23:E$422,5,0)</f>
        <v>15</v>
      </c>
      <c r="E347">
        <f ca="1">COUNTIF(C$2:C347,1)</f>
        <v>249</v>
      </c>
      <c r="F347">
        <f ca="1">COUNTIF(C$2:C347,2)</f>
        <v>62</v>
      </c>
      <c r="G347">
        <f ca="1">COUNTIF(C$2:C347,3)</f>
        <v>35</v>
      </c>
      <c r="L347">
        <v>344</v>
      </c>
      <c r="M347">
        <v>13.963749999999999</v>
      </c>
      <c r="N347">
        <v>13.61875</v>
      </c>
      <c r="O347">
        <v>13.022722222222223</v>
      </c>
      <c r="P347">
        <v>13.517249999999999</v>
      </c>
      <c r="AG347">
        <v>1</v>
      </c>
      <c r="AH347" t="e">
        <f t="shared" si="36"/>
        <v>#N/A</v>
      </c>
      <c r="AI347">
        <f t="shared" si="40"/>
        <v>2</v>
      </c>
      <c r="AJ347" t="e">
        <f t="shared" si="37"/>
        <v>#N/A</v>
      </c>
      <c r="AK347">
        <f t="shared" si="41"/>
        <v>3</v>
      </c>
      <c r="AL347" t="e">
        <f t="shared" si="38"/>
        <v>#N/A</v>
      </c>
      <c r="AM347">
        <f t="shared" si="42"/>
        <v>4</v>
      </c>
      <c r="AN347" t="e">
        <f t="shared" si="39"/>
        <v>#N/A</v>
      </c>
    </row>
    <row r="348" spans="1:40" x14ac:dyDescent="0.25">
      <c r="A348">
        <v>347</v>
      </c>
      <c r="B348">
        <f ca="1">SMALL(dados!A$23:A$422,A348)</f>
        <v>0.88572509676388111</v>
      </c>
      <c r="C348">
        <f ca="1">VLOOKUP(B348,dados!A$23:E$422,4,0)</f>
        <v>2</v>
      </c>
      <c r="D348">
        <f ca="1">VLOOKUP(B348,dados!A$23:E$422,5,0)</f>
        <v>29</v>
      </c>
      <c r="E348">
        <f ca="1">COUNTIF(C$2:C348,1)</f>
        <v>249</v>
      </c>
      <c r="F348">
        <f ca="1">COUNTIF(C$2:C348,2)</f>
        <v>63</v>
      </c>
      <c r="G348">
        <f ca="1">COUNTIF(C$2:C348,3)</f>
        <v>35</v>
      </c>
      <c r="L348">
        <v>345</v>
      </c>
      <c r="M348">
        <v>12.52125</v>
      </c>
      <c r="N348">
        <v>12.921250000000001</v>
      </c>
      <c r="O348">
        <v>14.215180555555555</v>
      </c>
      <c r="P348">
        <v>13.860840277777779</v>
      </c>
      <c r="AG348">
        <v>1</v>
      </c>
      <c r="AH348" t="e">
        <f t="shared" si="36"/>
        <v>#N/A</v>
      </c>
      <c r="AI348">
        <f t="shared" si="40"/>
        <v>2</v>
      </c>
      <c r="AJ348" t="e">
        <f t="shared" si="37"/>
        <v>#N/A</v>
      </c>
      <c r="AK348">
        <f t="shared" si="41"/>
        <v>3</v>
      </c>
      <c r="AL348" t="e">
        <f t="shared" si="38"/>
        <v>#N/A</v>
      </c>
      <c r="AM348">
        <f t="shared" si="42"/>
        <v>4</v>
      </c>
      <c r="AN348" t="e">
        <f t="shared" si="39"/>
        <v>#N/A</v>
      </c>
    </row>
    <row r="349" spans="1:40" x14ac:dyDescent="0.25">
      <c r="A349">
        <v>348</v>
      </c>
      <c r="B349">
        <f ca="1">SMALL(dados!A$23:A$422,A349)</f>
        <v>0.88746737634239836</v>
      </c>
      <c r="C349">
        <f ca="1">VLOOKUP(B349,dados!A$23:E$422,4,0)</f>
        <v>1</v>
      </c>
      <c r="D349">
        <f ca="1">VLOOKUP(B349,dados!A$23:E$422,5,0)</f>
        <v>8</v>
      </c>
      <c r="E349">
        <f ca="1">COUNTIF(C$2:C349,1)</f>
        <v>250</v>
      </c>
      <c r="F349">
        <f ca="1">COUNTIF(C$2:C349,2)</f>
        <v>63</v>
      </c>
      <c r="G349">
        <f ca="1">COUNTIF(C$2:C349,3)</f>
        <v>35</v>
      </c>
      <c r="L349">
        <v>346</v>
      </c>
      <c r="M349">
        <v>15.385</v>
      </c>
      <c r="N349">
        <v>14.879375</v>
      </c>
      <c r="O349">
        <v>14.112527777777778</v>
      </c>
      <c r="P349">
        <v>14.391249999999999</v>
      </c>
      <c r="AG349">
        <v>1</v>
      </c>
      <c r="AH349" t="e">
        <f t="shared" si="36"/>
        <v>#N/A</v>
      </c>
      <c r="AI349">
        <f t="shared" si="40"/>
        <v>2</v>
      </c>
      <c r="AJ349" t="e">
        <f t="shared" si="37"/>
        <v>#N/A</v>
      </c>
      <c r="AK349">
        <f t="shared" si="41"/>
        <v>3</v>
      </c>
      <c r="AL349" t="e">
        <f t="shared" si="38"/>
        <v>#N/A</v>
      </c>
      <c r="AM349">
        <f t="shared" si="42"/>
        <v>4</v>
      </c>
      <c r="AN349" t="e">
        <f t="shared" si="39"/>
        <v>#N/A</v>
      </c>
    </row>
    <row r="350" spans="1:40" x14ac:dyDescent="0.25">
      <c r="A350">
        <v>349</v>
      </c>
      <c r="B350">
        <f ca="1">SMALL(dados!A$23:A$422,A350)</f>
        <v>0.88861658840550239</v>
      </c>
      <c r="C350">
        <f ca="1">VLOOKUP(B350,dados!A$23:E$422,4,0)</f>
        <v>1</v>
      </c>
      <c r="D350">
        <f ca="1">VLOOKUP(B350,dados!A$23:E$422,5,0)</f>
        <v>10</v>
      </c>
      <c r="E350">
        <f ca="1">COUNTIF(C$2:C350,1)</f>
        <v>251</v>
      </c>
      <c r="F350">
        <f ca="1">COUNTIF(C$2:C350,2)</f>
        <v>63</v>
      </c>
      <c r="G350">
        <f ca="1">COUNTIF(C$2:C350,3)</f>
        <v>35</v>
      </c>
      <c r="L350">
        <v>347</v>
      </c>
      <c r="M350">
        <v>15.3225</v>
      </c>
      <c r="N350">
        <v>14.67</v>
      </c>
      <c r="O350">
        <v>14.752472222222222</v>
      </c>
      <c r="P350">
        <v>13.812277777777778</v>
      </c>
      <c r="AG350">
        <v>1</v>
      </c>
      <c r="AH350" t="e">
        <f t="shared" si="36"/>
        <v>#N/A</v>
      </c>
      <c r="AI350">
        <f t="shared" si="40"/>
        <v>2</v>
      </c>
      <c r="AJ350" t="e">
        <f t="shared" si="37"/>
        <v>#N/A</v>
      </c>
      <c r="AK350">
        <f t="shared" si="41"/>
        <v>3</v>
      </c>
      <c r="AL350" t="e">
        <f t="shared" si="38"/>
        <v>#N/A</v>
      </c>
      <c r="AM350">
        <f t="shared" si="42"/>
        <v>4</v>
      </c>
      <c r="AN350" t="e">
        <f t="shared" si="39"/>
        <v>#N/A</v>
      </c>
    </row>
    <row r="351" spans="1:40" x14ac:dyDescent="0.25">
      <c r="A351">
        <v>350</v>
      </c>
      <c r="B351">
        <f ca="1">SMALL(dados!A$23:A$422,A351)</f>
        <v>0.89208011956587252</v>
      </c>
      <c r="C351">
        <f ca="1">VLOOKUP(B351,dados!A$23:E$422,4,0)</f>
        <v>1</v>
      </c>
      <c r="D351">
        <f ca="1">VLOOKUP(B351,dados!A$23:E$422,5,0)</f>
        <v>13</v>
      </c>
      <c r="E351">
        <f ca="1">COUNTIF(C$2:C351,1)</f>
        <v>252</v>
      </c>
      <c r="F351">
        <f ca="1">COUNTIF(C$2:C351,2)</f>
        <v>63</v>
      </c>
      <c r="G351">
        <f ca="1">COUNTIF(C$2:C351,3)</f>
        <v>35</v>
      </c>
      <c r="L351">
        <v>348</v>
      </c>
      <c r="M351">
        <v>13.202500000000001</v>
      </c>
      <c r="N351">
        <v>13.721875000000001</v>
      </c>
      <c r="O351">
        <v>14.154583333333333</v>
      </c>
      <c r="P351">
        <v>13.950006944444446</v>
      </c>
      <c r="AG351">
        <v>1</v>
      </c>
      <c r="AH351" t="e">
        <f t="shared" si="36"/>
        <v>#N/A</v>
      </c>
      <c r="AI351">
        <f t="shared" si="40"/>
        <v>2</v>
      </c>
      <c r="AJ351" t="e">
        <f t="shared" si="37"/>
        <v>#N/A</v>
      </c>
      <c r="AK351">
        <f t="shared" si="41"/>
        <v>3</v>
      </c>
      <c r="AL351" t="e">
        <f t="shared" si="38"/>
        <v>#N/A</v>
      </c>
      <c r="AM351">
        <f t="shared" si="42"/>
        <v>4</v>
      </c>
      <c r="AN351" t="e">
        <f t="shared" si="39"/>
        <v>#N/A</v>
      </c>
    </row>
    <row r="352" spans="1:40" x14ac:dyDescent="0.25">
      <c r="A352">
        <v>351</v>
      </c>
      <c r="B352">
        <f ca="1">SMALL(dados!A$23:A$422,A352)</f>
        <v>0.89472700055198062</v>
      </c>
      <c r="C352">
        <f ca="1">VLOOKUP(B352,dados!A$23:E$422,4,0)</f>
        <v>1</v>
      </c>
      <c r="D352">
        <f ca="1">VLOOKUP(B352,dados!A$23:E$422,5,0)</f>
        <v>8</v>
      </c>
      <c r="E352">
        <f ca="1">COUNTIF(C$2:C352,1)</f>
        <v>253</v>
      </c>
      <c r="F352">
        <f ca="1">COUNTIF(C$2:C352,2)</f>
        <v>63</v>
      </c>
      <c r="G352">
        <f ca="1">COUNTIF(C$2:C352,3)</f>
        <v>35</v>
      </c>
      <c r="L352">
        <v>349</v>
      </c>
      <c r="M352">
        <v>12.766249999999999</v>
      </c>
      <c r="N352">
        <v>13.62</v>
      </c>
      <c r="O352">
        <v>13.578361111111111</v>
      </c>
      <c r="P352">
        <v>14.229201388888889</v>
      </c>
      <c r="AG352">
        <v>1</v>
      </c>
      <c r="AH352" t="e">
        <f t="shared" si="36"/>
        <v>#N/A</v>
      </c>
      <c r="AI352">
        <f t="shared" si="40"/>
        <v>2</v>
      </c>
      <c r="AJ352" t="e">
        <f t="shared" si="37"/>
        <v>#N/A</v>
      </c>
      <c r="AK352">
        <f t="shared" si="41"/>
        <v>3</v>
      </c>
      <c r="AL352" t="e">
        <f t="shared" si="38"/>
        <v>#N/A</v>
      </c>
      <c r="AM352">
        <f t="shared" si="42"/>
        <v>4</v>
      </c>
      <c r="AN352" t="e">
        <f t="shared" si="39"/>
        <v>#N/A</v>
      </c>
    </row>
    <row r="353" spans="1:40" x14ac:dyDescent="0.25">
      <c r="A353">
        <v>352</v>
      </c>
      <c r="B353">
        <f ca="1">SMALL(dados!A$23:A$422,A353)</f>
        <v>0.89943641008842512</v>
      </c>
      <c r="C353">
        <f ca="1">VLOOKUP(B353,dados!A$23:E$422,4,0)</f>
        <v>1</v>
      </c>
      <c r="D353">
        <f ca="1">VLOOKUP(B353,dados!A$23:E$422,5,0)</f>
        <v>4</v>
      </c>
      <c r="E353">
        <f ca="1">COUNTIF(C$2:C353,1)</f>
        <v>254</v>
      </c>
      <c r="F353">
        <f ca="1">COUNTIF(C$2:C353,2)</f>
        <v>63</v>
      </c>
      <c r="G353">
        <f ca="1">COUNTIF(C$2:C353,3)</f>
        <v>35</v>
      </c>
      <c r="L353">
        <v>350</v>
      </c>
      <c r="M353">
        <v>13.86375</v>
      </c>
      <c r="N353">
        <v>13.385624999999999</v>
      </c>
      <c r="O353">
        <v>13.127263888888887</v>
      </c>
      <c r="P353">
        <v>13.617000000000001</v>
      </c>
      <c r="AG353">
        <v>1</v>
      </c>
      <c r="AH353" t="e">
        <f t="shared" si="36"/>
        <v>#N/A</v>
      </c>
      <c r="AI353">
        <f t="shared" si="40"/>
        <v>2</v>
      </c>
      <c r="AJ353" t="e">
        <f t="shared" si="37"/>
        <v>#N/A</v>
      </c>
      <c r="AK353">
        <f t="shared" si="41"/>
        <v>3</v>
      </c>
      <c r="AL353" t="e">
        <f t="shared" si="38"/>
        <v>#N/A</v>
      </c>
      <c r="AM353">
        <f t="shared" si="42"/>
        <v>4</v>
      </c>
      <c r="AN353" t="e">
        <f t="shared" si="39"/>
        <v>#N/A</v>
      </c>
    </row>
    <row r="354" spans="1:40" x14ac:dyDescent="0.25">
      <c r="A354">
        <v>353</v>
      </c>
      <c r="B354">
        <f ca="1">SMALL(dados!A$23:A$422,A354)</f>
        <v>0.90140420463329751</v>
      </c>
      <c r="C354">
        <f ca="1">VLOOKUP(B354,dados!A$23:E$422,4,0)</f>
        <v>1</v>
      </c>
      <c r="D354">
        <f ca="1">VLOOKUP(B354,dados!A$23:E$422,5,0)</f>
        <v>10</v>
      </c>
      <c r="E354">
        <f ca="1">COUNTIF(C$2:C354,1)</f>
        <v>255</v>
      </c>
      <c r="F354">
        <f ca="1">COUNTIF(C$2:C354,2)</f>
        <v>63</v>
      </c>
      <c r="G354">
        <f ca="1">COUNTIF(C$2:C354,3)</f>
        <v>35</v>
      </c>
      <c r="L354">
        <v>351</v>
      </c>
      <c r="M354">
        <v>15.578749999999999</v>
      </c>
      <c r="N354">
        <v>14.9025</v>
      </c>
      <c r="O354">
        <v>13.462097222222221</v>
      </c>
      <c r="P354">
        <v>13.578368055555556</v>
      </c>
      <c r="AG354">
        <v>1</v>
      </c>
      <c r="AH354" t="e">
        <f t="shared" si="36"/>
        <v>#N/A</v>
      </c>
      <c r="AI354">
        <f t="shared" si="40"/>
        <v>2</v>
      </c>
      <c r="AJ354" t="e">
        <f t="shared" si="37"/>
        <v>#N/A</v>
      </c>
      <c r="AK354">
        <f t="shared" si="41"/>
        <v>3</v>
      </c>
      <c r="AL354" t="e">
        <f t="shared" si="38"/>
        <v>#N/A</v>
      </c>
      <c r="AM354">
        <f t="shared" si="42"/>
        <v>4</v>
      </c>
      <c r="AN354" t="e">
        <f t="shared" si="39"/>
        <v>#N/A</v>
      </c>
    </row>
    <row r="355" spans="1:40" x14ac:dyDescent="0.25">
      <c r="A355">
        <v>354</v>
      </c>
      <c r="B355">
        <f ca="1">SMALL(dados!A$23:A$422,A355)</f>
        <v>0.90546010886992412</v>
      </c>
      <c r="C355">
        <f ca="1">VLOOKUP(B355,dados!A$23:E$422,4,0)</f>
        <v>1</v>
      </c>
      <c r="D355">
        <f ca="1">VLOOKUP(B355,dados!A$23:E$422,5,0)</f>
        <v>6</v>
      </c>
      <c r="E355">
        <f ca="1">COUNTIF(C$2:C355,1)</f>
        <v>256</v>
      </c>
      <c r="F355">
        <f ca="1">COUNTIF(C$2:C355,2)</f>
        <v>63</v>
      </c>
      <c r="G355">
        <f ca="1">COUNTIF(C$2:C355,3)</f>
        <v>35</v>
      </c>
      <c r="L355">
        <v>352</v>
      </c>
      <c r="M355">
        <v>15.106249999999999</v>
      </c>
      <c r="N355">
        <v>14.238125</v>
      </c>
      <c r="O355">
        <v>14.510958333333333</v>
      </c>
      <c r="P355">
        <v>13.869354166666664</v>
      </c>
      <c r="AG355">
        <v>1</v>
      </c>
      <c r="AH355" t="e">
        <f t="shared" si="36"/>
        <v>#N/A</v>
      </c>
      <c r="AI355">
        <f t="shared" si="40"/>
        <v>2</v>
      </c>
      <c r="AJ355" t="e">
        <f t="shared" si="37"/>
        <v>#N/A</v>
      </c>
      <c r="AK355">
        <f t="shared" si="41"/>
        <v>3</v>
      </c>
      <c r="AL355" t="e">
        <f t="shared" si="38"/>
        <v>#N/A</v>
      </c>
      <c r="AM355">
        <f t="shared" si="42"/>
        <v>4</v>
      </c>
      <c r="AN355" t="e">
        <f t="shared" si="39"/>
        <v>#N/A</v>
      </c>
    </row>
    <row r="356" spans="1:40" x14ac:dyDescent="0.25">
      <c r="A356">
        <v>355</v>
      </c>
      <c r="B356">
        <f ca="1">SMALL(dados!A$23:A$422,A356)</f>
        <v>0.90686604748343158</v>
      </c>
      <c r="C356">
        <f ca="1">VLOOKUP(B356,dados!A$23:E$422,4,0)</f>
        <v>1</v>
      </c>
      <c r="D356">
        <f ca="1">VLOOKUP(B356,dados!A$23:E$422,5,0)</f>
        <v>5</v>
      </c>
      <c r="E356">
        <f ca="1">COUNTIF(C$2:C356,1)</f>
        <v>257</v>
      </c>
      <c r="F356">
        <f ca="1">COUNTIF(C$2:C356,2)</f>
        <v>63</v>
      </c>
      <c r="G356">
        <f ca="1">COUNTIF(C$2:C356,3)</f>
        <v>35</v>
      </c>
      <c r="L356">
        <v>353</v>
      </c>
      <c r="M356">
        <v>12.858750000000001</v>
      </c>
      <c r="N356">
        <v>13.801875000000001</v>
      </c>
      <c r="O356">
        <v>13.490763888888887</v>
      </c>
      <c r="P356">
        <v>13.634465277777778</v>
      </c>
      <c r="AG356">
        <v>1</v>
      </c>
      <c r="AH356" t="e">
        <f t="shared" si="36"/>
        <v>#N/A</v>
      </c>
      <c r="AI356">
        <f t="shared" si="40"/>
        <v>2</v>
      </c>
      <c r="AJ356" t="e">
        <f t="shared" si="37"/>
        <v>#N/A</v>
      </c>
      <c r="AK356">
        <f t="shared" si="41"/>
        <v>3</v>
      </c>
      <c r="AL356" t="e">
        <f t="shared" si="38"/>
        <v>#N/A</v>
      </c>
      <c r="AM356">
        <f t="shared" si="42"/>
        <v>4</v>
      </c>
      <c r="AN356" t="e">
        <f t="shared" si="39"/>
        <v>#N/A</v>
      </c>
    </row>
    <row r="357" spans="1:40" x14ac:dyDescent="0.25">
      <c r="A357">
        <v>356</v>
      </c>
      <c r="B357">
        <f ca="1">SMALL(dados!A$23:A$422,A357)</f>
        <v>0.90926050510534606</v>
      </c>
      <c r="C357">
        <f ca="1">VLOOKUP(B357,dados!A$23:E$422,4,0)</f>
        <v>2</v>
      </c>
      <c r="D357">
        <f ca="1">VLOOKUP(B357,dados!A$23:E$422,5,0)</f>
        <v>19</v>
      </c>
      <c r="E357">
        <f ca="1">COUNTIF(C$2:C357,1)</f>
        <v>257</v>
      </c>
      <c r="F357">
        <f ca="1">COUNTIF(C$2:C357,2)</f>
        <v>64</v>
      </c>
      <c r="G357">
        <f ca="1">COUNTIF(C$2:C357,3)</f>
        <v>35</v>
      </c>
      <c r="L357">
        <v>354</v>
      </c>
      <c r="M357">
        <v>13.751250000000001</v>
      </c>
      <c r="N357">
        <v>13.768750000000001</v>
      </c>
      <c r="O357">
        <v>14.134444444444444</v>
      </c>
      <c r="P357">
        <v>13.87773611111111</v>
      </c>
      <c r="AG357">
        <v>1</v>
      </c>
      <c r="AH357" t="e">
        <f t="shared" si="36"/>
        <v>#N/A</v>
      </c>
      <c r="AI357">
        <f t="shared" si="40"/>
        <v>2</v>
      </c>
      <c r="AJ357" t="e">
        <f t="shared" si="37"/>
        <v>#N/A</v>
      </c>
      <c r="AK357">
        <f t="shared" si="41"/>
        <v>3</v>
      </c>
      <c r="AL357" t="e">
        <f t="shared" si="38"/>
        <v>#N/A</v>
      </c>
      <c r="AM357">
        <f t="shared" si="42"/>
        <v>4</v>
      </c>
      <c r="AN357" t="e">
        <f t="shared" si="39"/>
        <v>#N/A</v>
      </c>
    </row>
    <row r="358" spans="1:40" x14ac:dyDescent="0.25">
      <c r="A358">
        <v>357</v>
      </c>
      <c r="B358">
        <f ca="1">SMALL(dados!A$23:A$422,A358)</f>
        <v>0.91390550674261228</v>
      </c>
      <c r="C358">
        <f ca="1">VLOOKUP(B358,dados!A$23:E$422,4,0)</f>
        <v>3</v>
      </c>
      <c r="D358">
        <f ca="1">VLOOKUP(B358,dados!A$23:E$422,5,0)</f>
        <v>23</v>
      </c>
      <c r="E358">
        <f ca="1">COUNTIF(C$2:C358,1)</f>
        <v>257</v>
      </c>
      <c r="F358">
        <f ca="1">COUNTIF(C$2:C358,2)</f>
        <v>64</v>
      </c>
      <c r="G358">
        <f ca="1">COUNTIF(C$2:C358,3)</f>
        <v>36</v>
      </c>
      <c r="L358">
        <v>355</v>
      </c>
      <c r="M358">
        <v>14.053750000000001</v>
      </c>
      <c r="N358">
        <v>13.52125</v>
      </c>
      <c r="O358">
        <v>13.29125</v>
      </c>
      <c r="P358">
        <v>13.93692361111111</v>
      </c>
      <c r="AG358">
        <v>1</v>
      </c>
      <c r="AH358" t="e">
        <f t="shared" si="36"/>
        <v>#N/A</v>
      </c>
      <c r="AI358">
        <f t="shared" si="40"/>
        <v>2</v>
      </c>
      <c r="AJ358" t="e">
        <f t="shared" si="37"/>
        <v>#N/A</v>
      </c>
      <c r="AK358">
        <f t="shared" si="41"/>
        <v>3</v>
      </c>
      <c r="AL358" t="e">
        <f t="shared" si="38"/>
        <v>#N/A</v>
      </c>
      <c r="AM358">
        <f t="shared" si="42"/>
        <v>4</v>
      </c>
      <c r="AN358" t="e">
        <f t="shared" si="39"/>
        <v>#N/A</v>
      </c>
    </row>
    <row r="359" spans="1:40" x14ac:dyDescent="0.25">
      <c r="A359">
        <v>358</v>
      </c>
      <c r="B359">
        <f ca="1">SMALL(dados!A$23:A$422,A359)</f>
        <v>0.91437455288222169</v>
      </c>
      <c r="C359">
        <f ca="1">VLOOKUP(B359,dados!A$23:E$422,4,0)</f>
        <v>1</v>
      </c>
      <c r="D359">
        <f ca="1">VLOOKUP(B359,dados!A$23:E$422,5,0)</f>
        <v>11</v>
      </c>
      <c r="E359">
        <f ca="1">COUNTIF(C$2:C359,1)</f>
        <v>258</v>
      </c>
      <c r="F359">
        <f ca="1">COUNTIF(C$2:C359,2)</f>
        <v>64</v>
      </c>
      <c r="G359">
        <f ca="1">COUNTIF(C$2:C359,3)</f>
        <v>36</v>
      </c>
      <c r="L359">
        <v>356</v>
      </c>
      <c r="M359">
        <v>13.8325</v>
      </c>
      <c r="N359">
        <v>13.063750000000001</v>
      </c>
      <c r="O359">
        <v>13.512763888888887</v>
      </c>
      <c r="P359">
        <v>14.384680555555555</v>
      </c>
      <c r="AG359">
        <v>1</v>
      </c>
      <c r="AH359" t="e">
        <f t="shared" si="36"/>
        <v>#N/A</v>
      </c>
      <c r="AI359">
        <f t="shared" si="40"/>
        <v>2</v>
      </c>
      <c r="AJ359" t="e">
        <f t="shared" si="37"/>
        <v>#N/A</v>
      </c>
      <c r="AK359">
        <f t="shared" si="41"/>
        <v>3</v>
      </c>
      <c r="AL359" t="e">
        <f t="shared" si="38"/>
        <v>#N/A</v>
      </c>
      <c r="AM359">
        <f t="shared" si="42"/>
        <v>4</v>
      </c>
      <c r="AN359" t="e">
        <f t="shared" si="39"/>
        <v>#N/A</v>
      </c>
    </row>
    <row r="360" spans="1:40" x14ac:dyDescent="0.25">
      <c r="A360">
        <v>359</v>
      </c>
      <c r="B360">
        <f ca="1">SMALL(dados!A$23:A$422,A360)</f>
        <v>0.91725846819966561</v>
      </c>
      <c r="C360">
        <f ca="1">VLOOKUP(B360,dados!A$23:E$422,4,0)</f>
        <v>3</v>
      </c>
      <c r="D360">
        <f ca="1">VLOOKUP(B360,dados!A$23:E$422,5,0)</f>
        <v>32</v>
      </c>
      <c r="E360">
        <f ca="1">COUNTIF(C$2:C360,1)</f>
        <v>258</v>
      </c>
      <c r="F360">
        <f ca="1">COUNTIF(C$2:C360,2)</f>
        <v>64</v>
      </c>
      <c r="G360">
        <f ca="1">COUNTIF(C$2:C360,3)</f>
        <v>37</v>
      </c>
      <c r="L360">
        <v>357</v>
      </c>
      <c r="M360">
        <v>14.48625</v>
      </c>
      <c r="N360">
        <v>14.813750000000001</v>
      </c>
      <c r="O360">
        <v>13.572152777777779</v>
      </c>
      <c r="P360">
        <v>13.437555555555557</v>
      </c>
      <c r="AG360">
        <v>1</v>
      </c>
      <c r="AH360" t="e">
        <f t="shared" si="36"/>
        <v>#N/A</v>
      </c>
      <c r="AI360">
        <f t="shared" si="40"/>
        <v>2</v>
      </c>
      <c r="AJ360" t="e">
        <f t="shared" si="37"/>
        <v>#N/A</v>
      </c>
      <c r="AK360">
        <f t="shared" si="41"/>
        <v>3</v>
      </c>
      <c r="AL360" t="e">
        <f t="shared" si="38"/>
        <v>#N/A</v>
      </c>
      <c r="AM360">
        <f t="shared" si="42"/>
        <v>4</v>
      </c>
      <c r="AN360" t="e">
        <f t="shared" si="39"/>
        <v>#N/A</v>
      </c>
    </row>
    <row r="361" spans="1:40" x14ac:dyDescent="0.25">
      <c r="A361">
        <v>360</v>
      </c>
      <c r="B361">
        <f ca="1">SMALL(dados!A$23:A$422,A361)</f>
        <v>0.91725955556560101</v>
      </c>
      <c r="C361">
        <f ca="1">VLOOKUP(B361,dados!A$23:E$422,4,0)</f>
        <v>1</v>
      </c>
      <c r="D361">
        <f ca="1">VLOOKUP(B361,dados!A$23:E$422,5,0)</f>
        <v>11</v>
      </c>
      <c r="E361">
        <f ca="1">COUNTIF(C$2:C361,1)</f>
        <v>259</v>
      </c>
      <c r="F361">
        <f ca="1">COUNTIF(C$2:C361,2)</f>
        <v>64</v>
      </c>
      <c r="G361">
        <f ca="1">COUNTIF(C$2:C361,3)</f>
        <v>37</v>
      </c>
      <c r="L361">
        <v>358</v>
      </c>
      <c r="M361">
        <v>14.422499999999999</v>
      </c>
      <c r="N361">
        <v>13.78</v>
      </c>
      <c r="O361">
        <v>13.965055555555555</v>
      </c>
      <c r="P361">
        <v>13.553458333333335</v>
      </c>
      <c r="AG361">
        <v>1</v>
      </c>
      <c r="AH361" t="e">
        <f t="shared" si="36"/>
        <v>#N/A</v>
      </c>
      <c r="AI361">
        <f t="shared" si="40"/>
        <v>2</v>
      </c>
      <c r="AJ361" t="e">
        <f t="shared" si="37"/>
        <v>#N/A</v>
      </c>
      <c r="AK361">
        <f t="shared" si="41"/>
        <v>3</v>
      </c>
      <c r="AL361" t="e">
        <f t="shared" si="38"/>
        <v>#N/A</v>
      </c>
      <c r="AM361">
        <f t="shared" si="42"/>
        <v>4</v>
      </c>
      <c r="AN361" t="e">
        <f t="shared" si="39"/>
        <v>#N/A</v>
      </c>
    </row>
    <row r="362" spans="1:40" x14ac:dyDescent="0.25">
      <c r="A362">
        <v>361</v>
      </c>
      <c r="B362">
        <f ca="1">SMALL(dados!A$23:A$422,A362)</f>
        <v>0.92309731937454353</v>
      </c>
      <c r="C362">
        <f ca="1">VLOOKUP(B362,dados!A$23:E$422,4,0)</f>
        <v>1</v>
      </c>
      <c r="D362">
        <f ca="1">VLOOKUP(B362,dados!A$23:E$422,5,0)</f>
        <v>10</v>
      </c>
      <c r="E362">
        <f ca="1">COUNTIF(C$2:C362,1)</f>
        <v>260</v>
      </c>
      <c r="F362">
        <f ca="1">COUNTIF(C$2:C362,2)</f>
        <v>64</v>
      </c>
      <c r="G362">
        <f ca="1">COUNTIF(C$2:C362,3)</f>
        <v>37</v>
      </c>
      <c r="L362">
        <v>359</v>
      </c>
      <c r="M362">
        <v>14.48875</v>
      </c>
      <c r="N362">
        <v>14.195</v>
      </c>
      <c r="O362">
        <v>14.298847222222221</v>
      </c>
      <c r="P362">
        <v>13.8976875</v>
      </c>
      <c r="AG362">
        <v>1</v>
      </c>
      <c r="AH362" t="e">
        <f t="shared" si="36"/>
        <v>#N/A</v>
      </c>
      <c r="AI362">
        <f t="shared" si="40"/>
        <v>2</v>
      </c>
      <c r="AJ362" t="e">
        <f t="shared" si="37"/>
        <v>#N/A</v>
      </c>
      <c r="AK362">
        <f t="shared" si="41"/>
        <v>3</v>
      </c>
      <c r="AL362" t="e">
        <f t="shared" si="38"/>
        <v>#N/A</v>
      </c>
      <c r="AM362">
        <f t="shared" si="42"/>
        <v>4</v>
      </c>
      <c r="AN362" t="e">
        <f t="shared" si="39"/>
        <v>#N/A</v>
      </c>
    </row>
    <row r="363" spans="1:40" x14ac:dyDescent="0.25">
      <c r="A363">
        <v>362</v>
      </c>
      <c r="B363">
        <f ca="1">SMALL(dados!A$23:A$422,A363)</f>
        <v>0.9256560085461657</v>
      </c>
      <c r="C363">
        <f ca="1">VLOOKUP(B363,dados!A$23:E$422,4,0)</f>
        <v>1</v>
      </c>
      <c r="D363">
        <f ca="1">VLOOKUP(B363,dados!A$23:E$422,5,0)</f>
        <v>8</v>
      </c>
      <c r="E363">
        <f ca="1">COUNTIF(C$2:C363,1)</f>
        <v>261</v>
      </c>
      <c r="F363">
        <f ca="1">COUNTIF(C$2:C363,2)</f>
        <v>64</v>
      </c>
      <c r="G363">
        <f ca="1">COUNTIF(C$2:C363,3)</f>
        <v>37</v>
      </c>
      <c r="L363">
        <v>360</v>
      </c>
      <c r="M363">
        <v>14.05625</v>
      </c>
      <c r="N363">
        <v>15.35125</v>
      </c>
      <c r="O363">
        <v>13.910250000000001</v>
      </c>
      <c r="P363">
        <v>13.499034722222223</v>
      </c>
      <c r="AG363">
        <v>1</v>
      </c>
      <c r="AH363" t="e">
        <f t="shared" si="36"/>
        <v>#N/A</v>
      </c>
      <c r="AI363">
        <f t="shared" si="40"/>
        <v>2</v>
      </c>
      <c r="AJ363" t="e">
        <f t="shared" si="37"/>
        <v>#N/A</v>
      </c>
      <c r="AK363">
        <f t="shared" si="41"/>
        <v>3</v>
      </c>
      <c r="AL363" t="e">
        <f t="shared" si="38"/>
        <v>#N/A</v>
      </c>
      <c r="AM363">
        <f t="shared" si="42"/>
        <v>4</v>
      </c>
      <c r="AN363" t="e">
        <f t="shared" si="39"/>
        <v>#N/A</v>
      </c>
    </row>
    <row r="364" spans="1:40" x14ac:dyDescent="0.25">
      <c r="A364">
        <v>363</v>
      </c>
      <c r="B364">
        <f ca="1">SMALL(dados!A$23:A$422,A364)</f>
        <v>0.92793852131911947</v>
      </c>
      <c r="C364">
        <f ca="1">VLOOKUP(B364,dados!A$23:E$422,4,0)</f>
        <v>1</v>
      </c>
      <c r="D364">
        <f ca="1">VLOOKUP(B364,dados!A$23:E$422,5,0)</f>
        <v>10</v>
      </c>
      <c r="E364">
        <f ca="1">COUNTIF(C$2:C364,1)</f>
        <v>262</v>
      </c>
      <c r="F364">
        <f ca="1">COUNTIF(C$2:C364,2)</f>
        <v>64</v>
      </c>
      <c r="G364">
        <f ca="1">COUNTIF(C$2:C364,3)</f>
        <v>37</v>
      </c>
      <c r="L364">
        <v>361</v>
      </c>
      <c r="M364">
        <v>14.303750000000001</v>
      </c>
      <c r="N364">
        <v>13.726875</v>
      </c>
      <c r="O364">
        <v>13.499138888888888</v>
      </c>
      <c r="P364">
        <v>13.848319444444446</v>
      </c>
      <c r="AG364">
        <v>1</v>
      </c>
      <c r="AH364" t="e">
        <f t="shared" si="36"/>
        <v>#N/A</v>
      </c>
      <c r="AI364">
        <f t="shared" si="40"/>
        <v>2</v>
      </c>
      <c r="AJ364" t="e">
        <f t="shared" si="37"/>
        <v>#N/A</v>
      </c>
      <c r="AK364">
        <f t="shared" si="41"/>
        <v>3</v>
      </c>
      <c r="AL364" t="e">
        <f t="shared" si="38"/>
        <v>#N/A</v>
      </c>
      <c r="AM364">
        <f t="shared" si="42"/>
        <v>4</v>
      </c>
      <c r="AN364" t="e">
        <f t="shared" si="39"/>
        <v>#N/A</v>
      </c>
    </row>
    <row r="365" spans="1:40" x14ac:dyDescent="0.25">
      <c r="A365">
        <v>364</v>
      </c>
      <c r="B365">
        <f ca="1">SMALL(dados!A$23:A$422,A365)</f>
        <v>0.93781312686364182</v>
      </c>
      <c r="C365">
        <f ca="1">VLOOKUP(B365,dados!A$23:E$422,4,0)</f>
        <v>1</v>
      </c>
      <c r="D365">
        <f ca="1">VLOOKUP(B365,dados!A$23:E$422,5,0)</f>
        <v>11</v>
      </c>
      <c r="E365">
        <f ca="1">COUNTIF(C$2:C365,1)</f>
        <v>263</v>
      </c>
      <c r="F365">
        <f ca="1">COUNTIF(C$2:C365,2)</f>
        <v>64</v>
      </c>
      <c r="G365">
        <f ca="1">COUNTIF(C$2:C365,3)</f>
        <v>37</v>
      </c>
      <c r="L365">
        <v>362</v>
      </c>
      <c r="M365">
        <v>12.202500000000001</v>
      </c>
      <c r="N365">
        <v>12.605</v>
      </c>
      <c r="O365">
        <v>13.092805555555554</v>
      </c>
      <c r="P365">
        <v>13.151819444444444</v>
      </c>
      <c r="AG365">
        <v>1</v>
      </c>
      <c r="AH365" t="e">
        <f t="shared" si="36"/>
        <v>#N/A</v>
      </c>
      <c r="AI365">
        <f t="shared" si="40"/>
        <v>2</v>
      </c>
      <c r="AJ365" t="e">
        <f t="shared" si="37"/>
        <v>#N/A</v>
      </c>
      <c r="AK365">
        <f t="shared" si="41"/>
        <v>3</v>
      </c>
      <c r="AL365" t="e">
        <f t="shared" si="38"/>
        <v>#N/A</v>
      </c>
      <c r="AM365">
        <f t="shared" si="42"/>
        <v>4</v>
      </c>
      <c r="AN365" t="e">
        <f t="shared" si="39"/>
        <v>#N/A</v>
      </c>
    </row>
    <row r="366" spans="1:40" x14ac:dyDescent="0.25">
      <c r="A366">
        <v>365</v>
      </c>
      <c r="B366">
        <f ca="1">SMALL(dados!A$23:A$422,A366)</f>
        <v>0.93959088373689637</v>
      </c>
      <c r="C366">
        <f ca="1">VLOOKUP(B366,dados!A$23:E$422,4,0)</f>
        <v>2</v>
      </c>
      <c r="D366">
        <f ca="1">VLOOKUP(B366,dados!A$23:E$422,5,0)</f>
        <v>28</v>
      </c>
      <c r="E366">
        <f ca="1">COUNTIF(C$2:C366,1)</f>
        <v>263</v>
      </c>
      <c r="F366">
        <f ca="1">COUNTIF(C$2:C366,2)</f>
        <v>65</v>
      </c>
      <c r="G366">
        <f ca="1">COUNTIF(C$2:C366,3)</f>
        <v>37</v>
      </c>
      <c r="L366">
        <v>363</v>
      </c>
      <c r="M366">
        <v>14.348750000000001</v>
      </c>
      <c r="N366">
        <v>15.03875</v>
      </c>
      <c r="O366">
        <v>14.67825</v>
      </c>
      <c r="P366">
        <v>14.247138888888887</v>
      </c>
      <c r="AG366">
        <v>1</v>
      </c>
      <c r="AH366" t="e">
        <f t="shared" si="36"/>
        <v>#N/A</v>
      </c>
      <c r="AI366">
        <f t="shared" si="40"/>
        <v>2</v>
      </c>
      <c r="AJ366" t="e">
        <f t="shared" si="37"/>
        <v>#N/A</v>
      </c>
      <c r="AK366">
        <f t="shared" si="41"/>
        <v>3</v>
      </c>
      <c r="AL366" t="e">
        <f t="shared" si="38"/>
        <v>#N/A</v>
      </c>
      <c r="AM366">
        <f t="shared" si="42"/>
        <v>4</v>
      </c>
      <c r="AN366" t="e">
        <f t="shared" si="39"/>
        <v>#N/A</v>
      </c>
    </row>
    <row r="367" spans="1:40" x14ac:dyDescent="0.25">
      <c r="A367">
        <v>366</v>
      </c>
      <c r="B367">
        <f ca="1">SMALL(dados!A$23:A$422,A367)</f>
        <v>0.94148405812845093</v>
      </c>
      <c r="C367">
        <f ca="1">VLOOKUP(B367,dados!A$23:E$422,4,0)</f>
        <v>1</v>
      </c>
      <c r="D367">
        <f ca="1">VLOOKUP(B367,dados!A$23:E$422,5,0)</f>
        <v>14</v>
      </c>
      <c r="E367">
        <f ca="1">COUNTIF(C$2:C367,1)</f>
        <v>264</v>
      </c>
      <c r="F367">
        <f ca="1">COUNTIF(C$2:C367,2)</f>
        <v>65</v>
      </c>
      <c r="G367">
        <f ca="1">COUNTIF(C$2:C367,3)</f>
        <v>37</v>
      </c>
      <c r="L367">
        <v>364</v>
      </c>
      <c r="M367">
        <v>14.383749999999999</v>
      </c>
      <c r="N367">
        <v>14.3125</v>
      </c>
      <c r="O367">
        <v>14.519458333333333</v>
      </c>
      <c r="P367">
        <v>13.847652777777778</v>
      </c>
      <c r="AG367">
        <v>1</v>
      </c>
      <c r="AH367" t="e">
        <f t="shared" si="36"/>
        <v>#N/A</v>
      </c>
      <c r="AI367">
        <f t="shared" si="40"/>
        <v>2</v>
      </c>
      <c r="AJ367" t="e">
        <f t="shared" si="37"/>
        <v>#N/A</v>
      </c>
      <c r="AK367">
        <f t="shared" si="41"/>
        <v>3</v>
      </c>
      <c r="AL367" t="e">
        <f t="shared" si="38"/>
        <v>#N/A</v>
      </c>
      <c r="AM367">
        <f t="shared" si="42"/>
        <v>4</v>
      </c>
      <c r="AN367" t="e">
        <f t="shared" si="39"/>
        <v>#N/A</v>
      </c>
    </row>
    <row r="368" spans="1:40" x14ac:dyDescent="0.25">
      <c r="A368">
        <v>367</v>
      </c>
      <c r="B368">
        <f ca="1">SMALL(dados!A$23:A$422,A368)</f>
        <v>0.94293984996929647</v>
      </c>
      <c r="C368">
        <f ca="1">VLOOKUP(B368,dados!A$23:E$422,4,0)</f>
        <v>2</v>
      </c>
      <c r="D368">
        <f ca="1">VLOOKUP(B368,dados!A$23:E$422,5,0)</f>
        <v>11</v>
      </c>
      <c r="E368">
        <f ca="1">COUNTIF(C$2:C368,1)</f>
        <v>264</v>
      </c>
      <c r="F368">
        <f ca="1">COUNTIF(C$2:C368,2)</f>
        <v>66</v>
      </c>
      <c r="G368">
        <f ca="1">COUNTIF(C$2:C368,3)</f>
        <v>37</v>
      </c>
      <c r="L368">
        <v>365</v>
      </c>
      <c r="M368">
        <v>15.385</v>
      </c>
      <c r="N368">
        <v>15.375</v>
      </c>
      <c r="O368">
        <v>14.149569444444444</v>
      </c>
      <c r="P368">
        <v>14.008395833333331</v>
      </c>
      <c r="AG368">
        <v>1</v>
      </c>
      <c r="AH368" t="e">
        <f t="shared" si="36"/>
        <v>#N/A</v>
      </c>
      <c r="AI368">
        <f t="shared" si="40"/>
        <v>2</v>
      </c>
      <c r="AJ368" t="e">
        <f t="shared" si="37"/>
        <v>#N/A</v>
      </c>
      <c r="AK368">
        <f t="shared" si="41"/>
        <v>3</v>
      </c>
      <c r="AL368" t="e">
        <f t="shared" si="38"/>
        <v>#N/A</v>
      </c>
      <c r="AM368">
        <f t="shared" si="42"/>
        <v>4</v>
      </c>
      <c r="AN368" t="e">
        <f t="shared" si="39"/>
        <v>#N/A</v>
      </c>
    </row>
    <row r="369" spans="1:40" x14ac:dyDescent="0.25">
      <c r="A369">
        <v>368</v>
      </c>
      <c r="B369">
        <f ca="1">SMALL(dados!A$23:A$422,A369)</f>
        <v>0.94306614060799332</v>
      </c>
      <c r="C369">
        <f ca="1">VLOOKUP(B369,dados!A$23:E$422,4,0)</f>
        <v>1</v>
      </c>
      <c r="D369">
        <f ca="1">VLOOKUP(B369,dados!A$23:E$422,5,0)</f>
        <v>14</v>
      </c>
      <c r="E369">
        <f ca="1">COUNTIF(C$2:C369,1)</f>
        <v>265</v>
      </c>
      <c r="F369">
        <f ca="1">COUNTIF(C$2:C369,2)</f>
        <v>66</v>
      </c>
      <c r="G369">
        <f ca="1">COUNTIF(C$2:C369,3)</f>
        <v>37</v>
      </c>
      <c r="L369">
        <v>366</v>
      </c>
      <c r="M369">
        <v>11.38875</v>
      </c>
      <c r="N369">
        <v>12.239375000000001</v>
      </c>
      <c r="O369">
        <v>13.320416666666665</v>
      </c>
      <c r="P369">
        <v>13.597375</v>
      </c>
      <c r="AG369">
        <v>1</v>
      </c>
      <c r="AH369" t="e">
        <f t="shared" si="36"/>
        <v>#N/A</v>
      </c>
      <c r="AI369">
        <f t="shared" si="40"/>
        <v>2</v>
      </c>
      <c r="AJ369" t="e">
        <f t="shared" si="37"/>
        <v>#N/A</v>
      </c>
      <c r="AK369">
        <f t="shared" si="41"/>
        <v>3</v>
      </c>
      <c r="AL369" t="e">
        <f t="shared" si="38"/>
        <v>#N/A</v>
      </c>
      <c r="AM369">
        <f t="shared" si="42"/>
        <v>4</v>
      </c>
      <c r="AN369" t="e">
        <f t="shared" si="39"/>
        <v>#N/A</v>
      </c>
    </row>
    <row r="370" spans="1:40" x14ac:dyDescent="0.25">
      <c r="A370">
        <v>369</v>
      </c>
      <c r="B370">
        <f ca="1">SMALL(dados!A$23:A$422,A370)</f>
        <v>0.94365476411490623</v>
      </c>
      <c r="C370">
        <f ca="1">VLOOKUP(B370,dados!A$23:E$422,4,0)</f>
        <v>1</v>
      </c>
      <c r="D370">
        <f ca="1">VLOOKUP(B370,dados!A$23:E$422,5,0)</f>
        <v>6</v>
      </c>
      <c r="E370">
        <f ca="1">COUNTIF(C$2:C370,1)</f>
        <v>266</v>
      </c>
      <c r="F370">
        <f ca="1">COUNTIF(C$2:C370,2)</f>
        <v>66</v>
      </c>
      <c r="G370">
        <f ca="1">COUNTIF(C$2:C370,3)</f>
        <v>37</v>
      </c>
      <c r="L370">
        <v>367</v>
      </c>
      <c r="M370">
        <v>13.90625</v>
      </c>
      <c r="N370">
        <v>13.96125</v>
      </c>
      <c r="O370">
        <v>13.052291666666665</v>
      </c>
      <c r="P370">
        <v>13.438423611111114</v>
      </c>
      <c r="AG370">
        <v>1</v>
      </c>
      <c r="AH370" t="e">
        <f t="shared" si="36"/>
        <v>#N/A</v>
      </c>
      <c r="AI370">
        <f t="shared" si="40"/>
        <v>2</v>
      </c>
      <c r="AJ370" t="e">
        <f t="shared" si="37"/>
        <v>#N/A</v>
      </c>
      <c r="AK370">
        <f t="shared" si="41"/>
        <v>3</v>
      </c>
      <c r="AL370" t="e">
        <f t="shared" si="38"/>
        <v>#N/A</v>
      </c>
      <c r="AM370">
        <f t="shared" si="42"/>
        <v>4</v>
      </c>
      <c r="AN370" t="e">
        <f t="shared" si="39"/>
        <v>#N/A</v>
      </c>
    </row>
    <row r="371" spans="1:40" x14ac:dyDescent="0.25">
      <c r="A371">
        <v>370</v>
      </c>
      <c r="B371">
        <f ca="1">SMALL(dados!A$23:A$422,A371)</f>
        <v>0.94390544848068669</v>
      </c>
      <c r="C371">
        <f ca="1">VLOOKUP(B371,dados!A$23:E$422,4,0)</f>
        <v>2</v>
      </c>
      <c r="D371">
        <f ca="1">VLOOKUP(B371,dados!A$23:E$422,5,0)</f>
        <v>24</v>
      </c>
      <c r="E371">
        <f ca="1">COUNTIF(C$2:C371,1)</f>
        <v>266</v>
      </c>
      <c r="F371">
        <f ca="1">COUNTIF(C$2:C371,2)</f>
        <v>67</v>
      </c>
      <c r="G371">
        <f ca="1">COUNTIF(C$2:C371,3)</f>
        <v>37</v>
      </c>
      <c r="L371">
        <v>368</v>
      </c>
      <c r="M371">
        <v>14.112500000000001</v>
      </c>
      <c r="N371">
        <v>13.975625000000001</v>
      </c>
      <c r="O371">
        <v>13.874791666666665</v>
      </c>
      <c r="P371">
        <v>13.918868055555555</v>
      </c>
      <c r="AG371">
        <v>1</v>
      </c>
      <c r="AH371" t="e">
        <f t="shared" si="36"/>
        <v>#N/A</v>
      </c>
      <c r="AI371">
        <f t="shared" si="40"/>
        <v>2</v>
      </c>
      <c r="AJ371" t="e">
        <f t="shared" si="37"/>
        <v>#N/A</v>
      </c>
      <c r="AK371">
        <f t="shared" si="41"/>
        <v>3</v>
      </c>
      <c r="AL371" t="e">
        <f t="shared" si="38"/>
        <v>#N/A</v>
      </c>
      <c r="AM371">
        <f t="shared" si="42"/>
        <v>4</v>
      </c>
      <c r="AN371" t="e">
        <f t="shared" si="39"/>
        <v>#N/A</v>
      </c>
    </row>
    <row r="372" spans="1:40" x14ac:dyDescent="0.25">
      <c r="A372">
        <v>371</v>
      </c>
      <c r="B372">
        <f ca="1">SMALL(dados!A$23:A$422,A372)</f>
        <v>0.94488713458911155</v>
      </c>
      <c r="C372">
        <f ca="1">VLOOKUP(B372,dados!A$23:E$422,4,0)</f>
        <v>1</v>
      </c>
      <c r="D372">
        <f ca="1">VLOOKUP(B372,dados!A$23:E$422,5,0)</f>
        <v>6</v>
      </c>
      <c r="E372">
        <f ca="1">COUNTIF(C$2:C372,1)</f>
        <v>267</v>
      </c>
      <c r="F372">
        <f ca="1">COUNTIF(C$2:C372,2)</f>
        <v>67</v>
      </c>
      <c r="G372">
        <f ca="1">COUNTIF(C$2:C372,3)</f>
        <v>37</v>
      </c>
      <c r="L372">
        <v>369</v>
      </c>
      <c r="M372">
        <v>15.6</v>
      </c>
      <c r="N372">
        <v>15.58625</v>
      </c>
      <c r="O372">
        <v>14.848180555555556</v>
      </c>
      <c r="P372">
        <v>14.682520833333335</v>
      </c>
      <c r="AG372">
        <v>1</v>
      </c>
      <c r="AH372" t="e">
        <f t="shared" si="36"/>
        <v>#N/A</v>
      </c>
      <c r="AI372">
        <f t="shared" si="40"/>
        <v>2</v>
      </c>
      <c r="AJ372" t="e">
        <f t="shared" si="37"/>
        <v>#N/A</v>
      </c>
      <c r="AK372">
        <f t="shared" si="41"/>
        <v>3</v>
      </c>
      <c r="AL372" t="e">
        <f t="shared" si="38"/>
        <v>#N/A</v>
      </c>
      <c r="AM372">
        <f t="shared" si="42"/>
        <v>4</v>
      </c>
      <c r="AN372" t="e">
        <f t="shared" si="39"/>
        <v>#N/A</v>
      </c>
    </row>
    <row r="373" spans="1:40" x14ac:dyDescent="0.25">
      <c r="A373">
        <v>372</v>
      </c>
      <c r="B373">
        <f ca="1">SMALL(dados!A$23:A$422,A373)</f>
        <v>0.94726092506722626</v>
      </c>
      <c r="C373">
        <f ca="1">VLOOKUP(B373,dados!A$23:E$422,4,0)</f>
        <v>1</v>
      </c>
      <c r="D373">
        <f ca="1">VLOOKUP(B373,dados!A$23:E$422,5,0)</f>
        <v>11</v>
      </c>
      <c r="E373">
        <f ca="1">COUNTIF(C$2:C373,1)</f>
        <v>268</v>
      </c>
      <c r="F373">
        <f ca="1">COUNTIF(C$2:C373,2)</f>
        <v>67</v>
      </c>
      <c r="G373">
        <f ca="1">COUNTIF(C$2:C373,3)</f>
        <v>37</v>
      </c>
      <c r="L373">
        <v>370</v>
      </c>
      <c r="M373">
        <v>14.26375</v>
      </c>
      <c r="N373">
        <v>14.000624999999999</v>
      </c>
      <c r="O373">
        <v>13.698777777777778</v>
      </c>
      <c r="P373">
        <v>13.771979166666664</v>
      </c>
      <c r="AG373">
        <v>1</v>
      </c>
      <c r="AH373" t="e">
        <f t="shared" si="36"/>
        <v>#N/A</v>
      </c>
      <c r="AI373">
        <f t="shared" si="40"/>
        <v>2</v>
      </c>
      <c r="AJ373" t="e">
        <f t="shared" si="37"/>
        <v>#N/A</v>
      </c>
      <c r="AK373">
        <f t="shared" si="41"/>
        <v>3</v>
      </c>
      <c r="AL373" t="e">
        <f t="shared" si="38"/>
        <v>#N/A</v>
      </c>
      <c r="AM373">
        <f t="shared" si="42"/>
        <v>4</v>
      </c>
      <c r="AN373" t="e">
        <f t="shared" si="39"/>
        <v>#N/A</v>
      </c>
    </row>
    <row r="374" spans="1:40" x14ac:dyDescent="0.25">
      <c r="A374">
        <v>373</v>
      </c>
      <c r="B374">
        <f ca="1">SMALL(dados!A$23:A$422,A374)</f>
        <v>0.94924002179605071</v>
      </c>
      <c r="C374">
        <f ca="1">VLOOKUP(B374,dados!A$23:E$422,4,0)</f>
        <v>1</v>
      </c>
      <c r="D374">
        <f ca="1">VLOOKUP(B374,dados!A$23:E$422,5,0)</f>
        <v>14</v>
      </c>
      <c r="E374">
        <f ca="1">COUNTIF(C$2:C374,1)</f>
        <v>269</v>
      </c>
      <c r="F374">
        <f ca="1">COUNTIF(C$2:C374,2)</f>
        <v>67</v>
      </c>
      <c r="G374">
        <f ca="1">COUNTIF(C$2:C374,3)</f>
        <v>37</v>
      </c>
      <c r="L374">
        <v>371</v>
      </c>
      <c r="M374">
        <v>15.30125</v>
      </c>
      <c r="N374">
        <v>14.651875</v>
      </c>
      <c r="O374">
        <v>14.197777777777778</v>
      </c>
      <c r="P374">
        <v>14.27259722222222</v>
      </c>
      <c r="AG374">
        <v>1</v>
      </c>
      <c r="AH374" t="e">
        <f t="shared" si="36"/>
        <v>#N/A</v>
      </c>
      <c r="AI374">
        <f t="shared" si="40"/>
        <v>2</v>
      </c>
      <c r="AJ374" t="e">
        <f t="shared" si="37"/>
        <v>#N/A</v>
      </c>
      <c r="AK374">
        <f t="shared" si="41"/>
        <v>3</v>
      </c>
      <c r="AL374" t="e">
        <f t="shared" si="38"/>
        <v>#N/A</v>
      </c>
      <c r="AM374">
        <f t="shared" si="42"/>
        <v>4</v>
      </c>
      <c r="AN374" t="e">
        <f t="shared" si="39"/>
        <v>#N/A</v>
      </c>
    </row>
    <row r="375" spans="1:40" x14ac:dyDescent="0.25">
      <c r="A375">
        <v>374</v>
      </c>
      <c r="B375">
        <f ca="1">SMALL(dados!A$23:A$422,A375)</f>
        <v>0.95015602777987695</v>
      </c>
      <c r="C375">
        <f ca="1">VLOOKUP(B375,dados!A$23:E$422,4,0)</f>
        <v>3</v>
      </c>
      <c r="D375">
        <f ca="1">VLOOKUP(B375,dados!A$23:E$422,5,0)</f>
        <v>18</v>
      </c>
      <c r="E375">
        <f ca="1">COUNTIF(C$2:C375,1)</f>
        <v>269</v>
      </c>
      <c r="F375">
        <f ca="1">COUNTIF(C$2:C375,2)</f>
        <v>67</v>
      </c>
      <c r="G375">
        <f ca="1">COUNTIF(C$2:C375,3)</f>
        <v>38</v>
      </c>
      <c r="L375">
        <v>372</v>
      </c>
      <c r="M375">
        <v>15.28375</v>
      </c>
      <c r="N375">
        <v>16.202500000000001</v>
      </c>
      <c r="O375">
        <v>13.984861111111108</v>
      </c>
      <c r="P375">
        <v>14.099486111111112</v>
      </c>
      <c r="AG375">
        <v>1</v>
      </c>
      <c r="AH375" t="e">
        <f t="shared" si="36"/>
        <v>#N/A</v>
      </c>
      <c r="AI375">
        <f t="shared" si="40"/>
        <v>2</v>
      </c>
      <c r="AJ375">
        <f t="shared" si="37"/>
        <v>16.202500000000001</v>
      </c>
      <c r="AK375">
        <f t="shared" si="41"/>
        <v>3</v>
      </c>
      <c r="AL375" t="e">
        <f t="shared" si="38"/>
        <v>#N/A</v>
      </c>
      <c r="AM375">
        <f t="shared" si="42"/>
        <v>4</v>
      </c>
      <c r="AN375" t="e">
        <f t="shared" si="39"/>
        <v>#N/A</v>
      </c>
    </row>
    <row r="376" spans="1:40" x14ac:dyDescent="0.25">
      <c r="A376">
        <v>375</v>
      </c>
      <c r="B376">
        <f ca="1">SMALL(dados!A$23:A$422,A376)</f>
        <v>0.95029200633839261</v>
      </c>
      <c r="C376">
        <f ca="1">VLOOKUP(B376,dados!A$23:E$422,4,0)</f>
        <v>1</v>
      </c>
      <c r="D376">
        <f ca="1">VLOOKUP(B376,dados!A$23:E$422,5,0)</f>
        <v>13</v>
      </c>
      <c r="E376">
        <f ca="1">COUNTIF(C$2:C376,1)</f>
        <v>270</v>
      </c>
      <c r="F376">
        <f ca="1">COUNTIF(C$2:C376,2)</f>
        <v>67</v>
      </c>
      <c r="G376">
        <f ca="1">COUNTIF(C$2:C376,3)</f>
        <v>38</v>
      </c>
      <c r="L376">
        <v>373</v>
      </c>
      <c r="M376">
        <v>14.866250000000001</v>
      </c>
      <c r="N376">
        <v>15.085000000000001</v>
      </c>
      <c r="O376">
        <v>13.968083333333334</v>
      </c>
      <c r="P376">
        <v>14.482562499999998</v>
      </c>
      <c r="AG376">
        <v>1</v>
      </c>
      <c r="AH376" t="e">
        <f t="shared" si="36"/>
        <v>#N/A</v>
      </c>
      <c r="AI376">
        <f t="shared" si="40"/>
        <v>2</v>
      </c>
      <c r="AJ376" t="e">
        <f t="shared" si="37"/>
        <v>#N/A</v>
      </c>
      <c r="AK376">
        <f t="shared" si="41"/>
        <v>3</v>
      </c>
      <c r="AL376" t="e">
        <f t="shared" si="38"/>
        <v>#N/A</v>
      </c>
      <c r="AM376">
        <f t="shared" si="42"/>
        <v>4</v>
      </c>
      <c r="AN376" t="e">
        <f t="shared" si="39"/>
        <v>#N/A</v>
      </c>
    </row>
    <row r="377" spans="1:40" x14ac:dyDescent="0.25">
      <c r="A377">
        <v>376</v>
      </c>
      <c r="B377">
        <f ca="1">SMALL(dados!A$23:A$422,A377)</f>
        <v>0.95102635517762824</v>
      </c>
      <c r="C377">
        <f ca="1">VLOOKUP(B377,dados!A$23:E$422,4,0)</f>
        <v>3</v>
      </c>
      <c r="D377">
        <f ca="1">VLOOKUP(B377,dados!A$23:E$422,5,0)</f>
        <v>25</v>
      </c>
      <c r="E377">
        <f ca="1">COUNTIF(C$2:C377,1)</f>
        <v>270</v>
      </c>
      <c r="F377">
        <f ca="1">COUNTIF(C$2:C377,2)</f>
        <v>67</v>
      </c>
      <c r="G377">
        <f ca="1">COUNTIF(C$2:C377,3)</f>
        <v>39</v>
      </c>
      <c r="L377">
        <v>374</v>
      </c>
      <c r="M377">
        <v>14.991250000000001</v>
      </c>
      <c r="N377">
        <v>14.369375</v>
      </c>
      <c r="O377">
        <v>13.858833333333335</v>
      </c>
      <c r="P377">
        <v>13.660305555555556</v>
      </c>
      <c r="AG377">
        <v>1</v>
      </c>
      <c r="AH377" t="e">
        <f t="shared" si="36"/>
        <v>#N/A</v>
      </c>
      <c r="AI377">
        <f t="shared" si="40"/>
        <v>2</v>
      </c>
      <c r="AJ377" t="e">
        <f t="shared" si="37"/>
        <v>#N/A</v>
      </c>
      <c r="AK377">
        <f t="shared" si="41"/>
        <v>3</v>
      </c>
      <c r="AL377" t="e">
        <f t="shared" si="38"/>
        <v>#N/A</v>
      </c>
      <c r="AM377">
        <f t="shared" si="42"/>
        <v>4</v>
      </c>
      <c r="AN377" t="e">
        <f t="shared" si="39"/>
        <v>#N/A</v>
      </c>
    </row>
    <row r="378" spans="1:40" x14ac:dyDescent="0.25">
      <c r="A378">
        <v>377</v>
      </c>
      <c r="B378">
        <f ca="1">SMALL(dados!A$23:A$422,A378)</f>
        <v>0.9543933657019209</v>
      </c>
      <c r="C378">
        <f ca="1">VLOOKUP(B378,dados!A$23:E$422,4,0)</f>
        <v>1</v>
      </c>
      <c r="D378">
        <f ca="1">VLOOKUP(B378,dados!A$23:E$422,5,0)</f>
        <v>11</v>
      </c>
      <c r="E378">
        <f ca="1">COUNTIF(C$2:C378,1)</f>
        <v>271</v>
      </c>
      <c r="F378">
        <f ca="1">COUNTIF(C$2:C378,2)</f>
        <v>67</v>
      </c>
      <c r="G378">
        <f ca="1">COUNTIF(C$2:C378,3)</f>
        <v>39</v>
      </c>
      <c r="L378">
        <v>375</v>
      </c>
      <c r="M378">
        <v>13.8</v>
      </c>
      <c r="N378">
        <v>13.438124999999999</v>
      </c>
      <c r="O378">
        <v>13.762388888888886</v>
      </c>
      <c r="P378">
        <v>14.408222222222221</v>
      </c>
      <c r="AG378">
        <v>1</v>
      </c>
      <c r="AH378" t="e">
        <f t="shared" si="36"/>
        <v>#N/A</v>
      </c>
      <c r="AI378">
        <f t="shared" si="40"/>
        <v>2</v>
      </c>
      <c r="AJ378" t="e">
        <f t="shared" si="37"/>
        <v>#N/A</v>
      </c>
      <c r="AK378">
        <f t="shared" si="41"/>
        <v>3</v>
      </c>
      <c r="AL378" t="e">
        <f t="shared" si="38"/>
        <v>#N/A</v>
      </c>
      <c r="AM378">
        <f t="shared" si="42"/>
        <v>4</v>
      </c>
      <c r="AN378" t="e">
        <f t="shared" si="39"/>
        <v>#N/A</v>
      </c>
    </row>
    <row r="379" spans="1:40" x14ac:dyDescent="0.25">
      <c r="A379">
        <v>378</v>
      </c>
      <c r="B379">
        <f ca="1">SMALL(dados!A$23:A$422,A379)</f>
        <v>0.95870683830142533</v>
      </c>
      <c r="C379">
        <f ca="1">VLOOKUP(B379,dados!A$23:E$422,4,0)</f>
        <v>2</v>
      </c>
      <c r="D379">
        <f ca="1">VLOOKUP(B379,dados!A$23:E$422,5,0)</f>
        <v>28</v>
      </c>
      <c r="E379">
        <f ca="1">COUNTIF(C$2:C379,1)</f>
        <v>271</v>
      </c>
      <c r="F379">
        <f ca="1">COUNTIF(C$2:C379,2)</f>
        <v>68</v>
      </c>
      <c r="G379">
        <f ca="1">COUNTIF(C$2:C379,3)</f>
        <v>39</v>
      </c>
      <c r="L379">
        <v>376</v>
      </c>
      <c r="M379">
        <v>14.36375</v>
      </c>
      <c r="N379">
        <v>15.053750000000001</v>
      </c>
      <c r="O379">
        <v>14.086874999999999</v>
      </c>
      <c r="P379">
        <v>14.166381944444442</v>
      </c>
      <c r="AG379">
        <v>1</v>
      </c>
      <c r="AH379" t="e">
        <f t="shared" si="36"/>
        <v>#N/A</v>
      </c>
      <c r="AI379">
        <f t="shared" si="40"/>
        <v>2</v>
      </c>
      <c r="AJ379" t="e">
        <f t="shared" si="37"/>
        <v>#N/A</v>
      </c>
      <c r="AK379">
        <f t="shared" si="41"/>
        <v>3</v>
      </c>
      <c r="AL379" t="e">
        <f t="shared" si="38"/>
        <v>#N/A</v>
      </c>
      <c r="AM379">
        <f t="shared" si="42"/>
        <v>4</v>
      </c>
      <c r="AN379" t="e">
        <f t="shared" si="39"/>
        <v>#N/A</v>
      </c>
    </row>
    <row r="380" spans="1:40" x14ac:dyDescent="0.25">
      <c r="A380">
        <v>379</v>
      </c>
      <c r="B380">
        <f ca="1">SMALL(dados!A$23:A$422,A380)</f>
        <v>0.95984080489469503</v>
      </c>
      <c r="C380">
        <f ca="1">VLOOKUP(B380,dados!A$23:E$422,4,0)</f>
        <v>3</v>
      </c>
      <c r="D380">
        <f ca="1">VLOOKUP(B380,dados!A$23:E$422,5,0)</f>
        <v>28</v>
      </c>
      <c r="E380">
        <f ca="1">COUNTIF(C$2:C380,1)</f>
        <v>271</v>
      </c>
      <c r="F380">
        <f ca="1">COUNTIF(C$2:C380,2)</f>
        <v>68</v>
      </c>
      <c r="G380">
        <f ca="1">COUNTIF(C$2:C380,3)</f>
        <v>40</v>
      </c>
      <c r="L380">
        <v>377</v>
      </c>
      <c r="M380">
        <v>14.8125</v>
      </c>
      <c r="N380">
        <v>14.839375</v>
      </c>
      <c r="O380">
        <v>14.652611111111112</v>
      </c>
      <c r="P380">
        <v>15.016041666666668</v>
      </c>
      <c r="AG380">
        <v>1</v>
      </c>
      <c r="AH380" t="e">
        <f t="shared" si="36"/>
        <v>#N/A</v>
      </c>
      <c r="AI380">
        <f t="shared" si="40"/>
        <v>2</v>
      </c>
      <c r="AJ380" t="e">
        <f t="shared" si="37"/>
        <v>#N/A</v>
      </c>
      <c r="AK380">
        <f t="shared" si="41"/>
        <v>3</v>
      </c>
      <c r="AL380" t="e">
        <f t="shared" si="38"/>
        <v>#N/A</v>
      </c>
      <c r="AM380">
        <f t="shared" si="42"/>
        <v>4</v>
      </c>
      <c r="AN380">
        <f t="shared" si="39"/>
        <v>15.016041666666668</v>
      </c>
    </row>
    <row r="381" spans="1:40" x14ac:dyDescent="0.25">
      <c r="A381">
        <v>380</v>
      </c>
      <c r="B381">
        <f ca="1">SMALL(dados!A$23:A$422,A381)</f>
        <v>0.96145088795930889</v>
      </c>
      <c r="C381">
        <f ca="1">VLOOKUP(B381,dados!A$23:E$422,4,0)</f>
        <v>2</v>
      </c>
      <c r="D381">
        <f ca="1">VLOOKUP(B381,dados!A$23:E$422,5,0)</f>
        <v>17</v>
      </c>
      <c r="E381">
        <f ca="1">COUNTIF(C$2:C381,1)</f>
        <v>271</v>
      </c>
      <c r="F381">
        <f ca="1">COUNTIF(C$2:C381,2)</f>
        <v>69</v>
      </c>
      <c r="G381">
        <f ca="1">COUNTIF(C$2:C381,3)</f>
        <v>40</v>
      </c>
      <c r="L381">
        <v>378</v>
      </c>
      <c r="M381">
        <v>14.2225</v>
      </c>
      <c r="N381">
        <v>14.143750000000001</v>
      </c>
      <c r="O381">
        <v>14.313319444444444</v>
      </c>
      <c r="P381">
        <v>13.918111111111111</v>
      </c>
      <c r="AG381">
        <v>1</v>
      </c>
      <c r="AH381" t="e">
        <f t="shared" si="36"/>
        <v>#N/A</v>
      </c>
      <c r="AI381">
        <f t="shared" si="40"/>
        <v>2</v>
      </c>
      <c r="AJ381" t="e">
        <f t="shared" si="37"/>
        <v>#N/A</v>
      </c>
      <c r="AK381">
        <f t="shared" si="41"/>
        <v>3</v>
      </c>
      <c r="AL381" t="e">
        <f t="shared" si="38"/>
        <v>#N/A</v>
      </c>
      <c r="AM381">
        <f t="shared" si="42"/>
        <v>4</v>
      </c>
      <c r="AN381" t="e">
        <f t="shared" si="39"/>
        <v>#N/A</v>
      </c>
    </row>
    <row r="382" spans="1:40" x14ac:dyDescent="0.25">
      <c r="A382">
        <v>381</v>
      </c>
      <c r="B382">
        <f ca="1">SMALL(dados!A$23:A$422,A382)</f>
        <v>0.9627384868349006</v>
      </c>
      <c r="C382">
        <f ca="1">VLOOKUP(B382,dados!A$23:E$422,4,0)</f>
        <v>1</v>
      </c>
      <c r="D382">
        <f ca="1">VLOOKUP(B382,dados!A$23:E$422,5,0)</f>
        <v>10</v>
      </c>
      <c r="E382">
        <f ca="1">COUNTIF(C$2:C382,1)</f>
        <v>272</v>
      </c>
      <c r="F382">
        <f ca="1">COUNTIF(C$2:C382,2)</f>
        <v>69</v>
      </c>
      <c r="G382">
        <f ca="1">COUNTIF(C$2:C382,3)</f>
        <v>40</v>
      </c>
      <c r="L382">
        <v>379</v>
      </c>
      <c r="M382">
        <v>12.981249999999999</v>
      </c>
      <c r="N382">
        <v>13.7875</v>
      </c>
      <c r="O382">
        <v>13.594958333333334</v>
      </c>
      <c r="P382">
        <v>13.600666666666669</v>
      </c>
      <c r="AG382">
        <v>1</v>
      </c>
      <c r="AH382" t="e">
        <f t="shared" si="36"/>
        <v>#N/A</v>
      </c>
      <c r="AI382">
        <f t="shared" si="40"/>
        <v>2</v>
      </c>
      <c r="AJ382" t="e">
        <f t="shared" si="37"/>
        <v>#N/A</v>
      </c>
      <c r="AK382">
        <f t="shared" si="41"/>
        <v>3</v>
      </c>
      <c r="AL382" t="e">
        <f t="shared" si="38"/>
        <v>#N/A</v>
      </c>
      <c r="AM382">
        <f t="shared" si="42"/>
        <v>4</v>
      </c>
      <c r="AN382" t="e">
        <f t="shared" si="39"/>
        <v>#N/A</v>
      </c>
    </row>
    <row r="383" spans="1:40" x14ac:dyDescent="0.25">
      <c r="A383">
        <v>382</v>
      </c>
      <c r="B383">
        <f ca="1">SMALL(dados!A$23:A$422,A383)</f>
        <v>0.96470816834732676</v>
      </c>
      <c r="C383">
        <f ca="1">VLOOKUP(B383,dados!A$23:E$422,4,0)</f>
        <v>1</v>
      </c>
      <c r="D383">
        <f ca="1">VLOOKUP(B383,dados!A$23:E$422,5,0)</f>
        <v>12</v>
      </c>
      <c r="E383">
        <f ca="1">COUNTIF(C$2:C383,1)</f>
        <v>273</v>
      </c>
      <c r="F383">
        <f ca="1">COUNTIF(C$2:C383,2)</f>
        <v>69</v>
      </c>
      <c r="G383">
        <f ca="1">COUNTIF(C$2:C383,3)</f>
        <v>40</v>
      </c>
      <c r="L383">
        <v>380</v>
      </c>
      <c r="M383">
        <v>12.20875</v>
      </c>
      <c r="N383">
        <v>12.82375</v>
      </c>
      <c r="O383">
        <v>13.362208333333335</v>
      </c>
      <c r="P383">
        <v>13.985756944444443</v>
      </c>
      <c r="AG383">
        <v>1</v>
      </c>
      <c r="AH383" t="e">
        <f t="shared" si="36"/>
        <v>#N/A</v>
      </c>
      <c r="AI383">
        <f t="shared" si="40"/>
        <v>2</v>
      </c>
      <c r="AJ383" t="e">
        <f t="shared" si="37"/>
        <v>#N/A</v>
      </c>
      <c r="AK383">
        <f t="shared" si="41"/>
        <v>3</v>
      </c>
      <c r="AL383" t="e">
        <f t="shared" si="38"/>
        <v>#N/A</v>
      </c>
      <c r="AM383">
        <f t="shared" si="42"/>
        <v>4</v>
      </c>
      <c r="AN383" t="e">
        <f t="shared" si="39"/>
        <v>#N/A</v>
      </c>
    </row>
    <row r="384" spans="1:40" x14ac:dyDescent="0.25">
      <c r="A384">
        <v>383</v>
      </c>
      <c r="B384">
        <f ca="1">SMALL(dados!A$23:A$422,A384)</f>
        <v>0.96565455589086246</v>
      </c>
      <c r="C384">
        <f ca="1">VLOOKUP(B384,dados!A$23:E$422,4,0)</f>
        <v>1</v>
      </c>
      <c r="D384">
        <f ca="1">VLOOKUP(B384,dados!A$23:E$422,5,0)</f>
        <v>8</v>
      </c>
      <c r="E384">
        <f ca="1">COUNTIF(C$2:C384,1)</f>
        <v>274</v>
      </c>
      <c r="F384">
        <f ca="1">COUNTIF(C$2:C384,2)</f>
        <v>69</v>
      </c>
      <c r="G384">
        <f ca="1">COUNTIF(C$2:C384,3)</f>
        <v>40</v>
      </c>
      <c r="L384">
        <v>381</v>
      </c>
      <c r="M384">
        <v>13.59</v>
      </c>
      <c r="N384">
        <v>14.088749999999999</v>
      </c>
      <c r="O384">
        <v>14.044833333333337</v>
      </c>
      <c r="P384">
        <v>13.715923611111112</v>
      </c>
      <c r="AG384">
        <v>1</v>
      </c>
      <c r="AH384" t="e">
        <f t="shared" si="36"/>
        <v>#N/A</v>
      </c>
      <c r="AI384">
        <f t="shared" si="40"/>
        <v>2</v>
      </c>
      <c r="AJ384" t="e">
        <f t="shared" si="37"/>
        <v>#N/A</v>
      </c>
      <c r="AK384">
        <f t="shared" si="41"/>
        <v>3</v>
      </c>
      <c r="AL384" t="e">
        <f t="shared" si="38"/>
        <v>#N/A</v>
      </c>
      <c r="AM384">
        <f t="shared" si="42"/>
        <v>4</v>
      </c>
      <c r="AN384" t="e">
        <f t="shared" si="39"/>
        <v>#N/A</v>
      </c>
    </row>
    <row r="385" spans="1:40" x14ac:dyDescent="0.25">
      <c r="A385">
        <v>384</v>
      </c>
      <c r="B385">
        <f ca="1">SMALL(dados!A$23:A$422,A385)</f>
        <v>0.9657520687911153</v>
      </c>
      <c r="C385">
        <f ca="1">VLOOKUP(B385,dados!A$23:E$422,4,0)</f>
        <v>1</v>
      </c>
      <c r="D385">
        <f ca="1">VLOOKUP(B385,dados!A$23:E$422,5,0)</f>
        <v>9</v>
      </c>
      <c r="E385">
        <f ca="1">COUNTIF(C$2:C385,1)</f>
        <v>275</v>
      </c>
      <c r="F385">
        <f ca="1">COUNTIF(C$2:C385,2)</f>
        <v>69</v>
      </c>
      <c r="G385">
        <f ca="1">COUNTIF(C$2:C385,3)</f>
        <v>40</v>
      </c>
      <c r="L385">
        <v>382</v>
      </c>
      <c r="M385">
        <v>15.43375</v>
      </c>
      <c r="N385">
        <v>14.709375</v>
      </c>
      <c r="O385">
        <v>13.386472222222221</v>
      </c>
      <c r="P385">
        <v>13.670569444444443</v>
      </c>
      <c r="AG385">
        <v>1</v>
      </c>
      <c r="AH385" t="e">
        <f t="shared" si="36"/>
        <v>#N/A</v>
      </c>
      <c r="AI385">
        <f t="shared" si="40"/>
        <v>2</v>
      </c>
      <c r="AJ385" t="e">
        <f t="shared" si="37"/>
        <v>#N/A</v>
      </c>
      <c r="AK385">
        <f t="shared" si="41"/>
        <v>3</v>
      </c>
      <c r="AL385" t="e">
        <f t="shared" si="38"/>
        <v>#N/A</v>
      </c>
      <c r="AM385">
        <f t="shared" si="42"/>
        <v>4</v>
      </c>
      <c r="AN385" t="e">
        <f t="shared" si="39"/>
        <v>#N/A</v>
      </c>
    </row>
    <row r="386" spans="1:40" x14ac:dyDescent="0.25">
      <c r="A386">
        <v>385</v>
      </c>
      <c r="B386">
        <f ca="1">SMALL(dados!A$23:A$422,A386)</f>
        <v>0.96742844038880649</v>
      </c>
      <c r="C386">
        <f ca="1">VLOOKUP(B386,dados!A$23:E$422,4,0)</f>
        <v>3</v>
      </c>
      <c r="D386">
        <f ca="1">VLOOKUP(B386,dados!A$23:E$422,5,0)</f>
        <v>32</v>
      </c>
      <c r="E386">
        <f ca="1">COUNTIF(C$2:C386,1)</f>
        <v>275</v>
      </c>
      <c r="F386">
        <f ca="1">COUNTIF(C$2:C386,2)</f>
        <v>69</v>
      </c>
      <c r="G386">
        <f ca="1">COUNTIF(C$2:C386,3)</f>
        <v>41</v>
      </c>
      <c r="L386">
        <v>383</v>
      </c>
      <c r="M386">
        <v>12.733750000000001</v>
      </c>
      <c r="N386">
        <v>12.0025</v>
      </c>
      <c r="O386">
        <v>13.857027777777779</v>
      </c>
      <c r="P386">
        <v>13.669069444444444</v>
      </c>
      <c r="AG386">
        <v>1</v>
      </c>
      <c r="AH386" t="e">
        <f t="shared" si="36"/>
        <v>#N/A</v>
      </c>
      <c r="AI386">
        <f t="shared" si="40"/>
        <v>2</v>
      </c>
      <c r="AJ386">
        <f t="shared" si="37"/>
        <v>12.0025</v>
      </c>
      <c r="AK386">
        <f t="shared" si="41"/>
        <v>3</v>
      </c>
      <c r="AL386" t="e">
        <f t="shared" si="38"/>
        <v>#N/A</v>
      </c>
      <c r="AM386">
        <f t="shared" si="42"/>
        <v>4</v>
      </c>
      <c r="AN386" t="e">
        <f t="shared" si="39"/>
        <v>#N/A</v>
      </c>
    </row>
    <row r="387" spans="1:40" x14ac:dyDescent="0.25">
      <c r="A387">
        <v>386</v>
      </c>
      <c r="B387">
        <f ca="1">SMALL(dados!A$23:A$422,A387)</f>
        <v>0.9681443527848359</v>
      </c>
      <c r="C387">
        <f ca="1">VLOOKUP(B387,dados!A$23:E$422,4,0)</f>
        <v>1</v>
      </c>
      <c r="D387">
        <f ca="1">VLOOKUP(B387,dados!A$23:E$422,5,0)</f>
        <v>6</v>
      </c>
      <c r="E387">
        <f ca="1">COUNTIF(C$2:C387,1)</f>
        <v>276</v>
      </c>
      <c r="F387">
        <f ca="1">COUNTIF(C$2:C387,2)</f>
        <v>69</v>
      </c>
      <c r="G387">
        <f ca="1">COUNTIF(C$2:C387,3)</f>
        <v>41</v>
      </c>
      <c r="L387">
        <v>384</v>
      </c>
      <c r="M387">
        <v>14.1</v>
      </c>
      <c r="N387">
        <v>13.34125</v>
      </c>
      <c r="O387">
        <v>13.3475</v>
      </c>
      <c r="P387">
        <v>13.208847222222222</v>
      </c>
      <c r="AG387">
        <v>1</v>
      </c>
      <c r="AH387" t="e">
        <f t="shared" si="36"/>
        <v>#N/A</v>
      </c>
      <c r="AI387">
        <f t="shared" si="40"/>
        <v>2</v>
      </c>
      <c r="AJ387" t="e">
        <f t="shared" si="37"/>
        <v>#N/A</v>
      </c>
      <c r="AK387">
        <f t="shared" si="41"/>
        <v>3</v>
      </c>
      <c r="AL387" t="e">
        <f t="shared" si="38"/>
        <v>#N/A</v>
      </c>
      <c r="AM387">
        <f t="shared" si="42"/>
        <v>4</v>
      </c>
      <c r="AN387" t="e">
        <f t="shared" si="39"/>
        <v>#N/A</v>
      </c>
    </row>
    <row r="388" spans="1:40" x14ac:dyDescent="0.25">
      <c r="A388">
        <v>387</v>
      </c>
      <c r="B388">
        <f ca="1">SMALL(dados!A$23:A$422,A388)</f>
        <v>0.97154175849322821</v>
      </c>
      <c r="C388">
        <f ca="1">VLOOKUP(B388,dados!A$23:E$422,4,0)</f>
        <v>1</v>
      </c>
      <c r="D388">
        <f ca="1">VLOOKUP(B388,dados!A$23:E$422,5,0)</f>
        <v>12</v>
      </c>
      <c r="E388">
        <f ca="1">COUNTIF(C$2:C388,1)</f>
        <v>277</v>
      </c>
      <c r="F388">
        <f ca="1">COUNTIF(C$2:C388,2)</f>
        <v>69</v>
      </c>
      <c r="G388">
        <f ca="1">COUNTIF(C$2:C388,3)</f>
        <v>41</v>
      </c>
      <c r="L388">
        <v>385</v>
      </c>
      <c r="M388">
        <v>13.3775</v>
      </c>
      <c r="N388">
        <v>13.323124999999999</v>
      </c>
      <c r="O388">
        <v>13.639541666666664</v>
      </c>
      <c r="P388">
        <v>13.522743055555557</v>
      </c>
      <c r="AG388">
        <v>1</v>
      </c>
      <c r="AH388" t="e">
        <f t="shared" ref="AH388:AH451" si="43">IF(OR(M388&lt;S$3,M388&gt;S$7),M388,#N/A)</f>
        <v>#N/A</v>
      </c>
      <c r="AI388">
        <f t="shared" si="40"/>
        <v>2</v>
      </c>
      <c r="AJ388" t="e">
        <f t="shared" ref="AJ388:AJ451" si="44">IF(OR(N388&lt;T$3,N388&gt;T$7),N388,#N/A)</f>
        <v>#N/A</v>
      </c>
      <c r="AK388">
        <f t="shared" si="41"/>
        <v>3</v>
      </c>
      <c r="AL388" t="e">
        <f t="shared" ref="AL388:AL451" si="45">IF(OR(O388&lt;U$3,O388&gt;U$7),O388,#N/A)</f>
        <v>#N/A</v>
      </c>
      <c r="AM388">
        <f t="shared" si="42"/>
        <v>4</v>
      </c>
      <c r="AN388" t="e">
        <f t="shared" ref="AN388:AN451" si="46">IF(OR(P388&lt;V$3,P388&gt;V$7),P388,#N/A)</f>
        <v>#N/A</v>
      </c>
    </row>
    <row r="389" spans="1:40" x14ac:dyDescent="0.25">
      <c r="A389">
        <v>388</v>
      </c>
      <c r="B389">
        <f ca="1">SMALL(dados!A$23:A$422,A389)</f>
        <v>0.97200403124349333</v>
      </c>
      <c r="C389">
        <f ca="1">VLOOKUP(B389,dados!A$23:E$422,4,0)</f>
        <v>1</v>
      </c>
      <c r="D389">
        <f ca="1">VLOOKUP(B389,dados!A$23:E$422,5,0)</f>
        <v>15</v>
      </c>
      <c r="E389">
        <f ca="1">COUNTIF(C$2:C389,1)</f>
        <v>278</v>
      </c>
      <c r="F389">
        <f ca="1">COUNTIF(C$2:C389,2)</f>
        <v>69</v>
      </c>
      <c r="G389">
        <f ca="1">COUNTIF(C$2:C389,3)</f>
        <v>41</v>
      </c>
      <c r="L389">
        <v>386</v>
      </c>
      <c r="M389">
        <v>13.30125</v>
      </c>
      <c r="N389">
        <v>13.004375</v>
      </c>
      <c r="O389">
        <v>13.601736111111114</v>
      </c>
      <c r="P389">
        <v>13.528548611111113</v>
      </c>
      <c r="AG389">
        <v>1</v>
      </c>
      <c r="AH389" t="e">
        <f t="shared" si="43"/>
        <v>#N/A</v>
      </c>
      <c r="AI389">
        <f t="shared" ref="AI389:AI452" si="47">AG389+1</f>
        <v>2</v>
      </c>
      <c r="AJ389" t="e">
        <f t="shared" si="44"/>
        <v>#N/A</v>
      </c>
      <c r="AK389">
        <f t="shared" ref="AK389:AK452" si="48">AI389+1</f>
        <v>3</v>
      </c>
      <c r="AL389" t="e">
        <f t="shared" si="45"/>
        <v>#N/A</v>
      </c>
      <c r="AM389">
        <f t="shared" ref="AM389:AM452" si="49">AK389+1</f>
        <v>4</v>
      </c>
      <c r="AN389" t="e">
        <f t="shared" si="46"/>
        <v>#N/A</v>
      </c>
    </row>
    <row r="390" spans="1:40" x14ac:dyDescent="0.25">
      <c r="A390">
        <v>389</v>
      </c>
      <c r="B390">
        <f ca="1">SMALL(dados!A$23:A$422,A390)</f>
        <v>0.97226573341833378</v>
      </c>
      <c r="C390">
        <f ca="1">VLOOKUP(B390,dados!A$23:E$422,4,0)</f>
        <v>1</v>
      </c>
      <c r="D390">
        <f ca="1">VLOOKUP(B390,dados!A$23:E$422,5,0)</f>
        <v>11</v>
      </c>
      <c r="E390">
        <f ca="1">COUNTIF(C$2:C390,1)</f>
        <v>279</v>
      </c>
      <c r="F390">
        <f ca="1">COUNTIF(C$2:C390,2)</f>
        <v>69</v>
      </c>
      <c r="G390">
        <f ca="1">COUNTIF(C$2:C390,3)</f>
        <v>41</v>
      </c>
      <c r="L390">
        <v>387</v>
      </c>
      <c r="M390">
        <v>13.766249999999999</v>
      </c>
      <c r="N390">
        <v>13.745625</v>
      </c>
      <c r="O390">
        <v>13.841222222222223</v>
      </c>
      <c r="P390">
        <v>13.915805555555558</v>
      </c>
      <c r="AG390">
        <v>1</v>
      </c>
      <c r="AH390" t="e">
        <f t="shared" si="43"/>
        <v>#N/A</v>
      </c>
      <c r="AI390">
        <f t="shared" si="47"/>
        <v>2</v>
      </c>
      <c r="AJ390" t="e">
        <f t="shared" si="44"/>
        <v>#N/A</v>
      </c>
      <c r="AK390">
        <f t="shared" si="48"/>
        <v>3</v>
      </c>
      <c r="AL390" t="e">
        <f t="shared" si="45"/>
        <v>#N/A</v>
      </c>
      <c r="AM390">
        <f t="shared" si="49"/>
        <v>4</v>
      </c>
      <c r="AN390" t="e">
        <f t="shared" si="46"/>
        <v>#N/A</v>
      </c>
    </row>
    <row r="391" spans="1:40" x14ac:dyDescent="0.25">
      <c r="A391">
        <v>390</v>
      </c>
      <c r="B391">
        <f ca="1">SMALL(dados!A$23:A$422,A391)</f>
        <v>0.97443404090897856</v>
      </c>
      <c r="C391">
        <f ca="1">VLOOKUP(B391,dados!A$23:E$422,4,0)</f>
        <v>1</v>
      </c>
      <c r="D391">
        <f ca="1">VLOOKUP(B391,dados!A$23:E$422,5,0)</f>
        <v>6</v>
      </c>
      <c r="E391">
        <f ca="1">COUNTIF(C$2:C391,1)</f>
        <v>280</v>
      </c>
      <c r="F391">
        <f ca="1">COUNTIF(C$2:C391,2)</f>
        <v>69</v>
      </c>
      <c r="G391">
        <f ca="1">COUNTIF(C$2:C391,3)</f>
        <v>41</v>
      </c>
      <c r="L391">
        <v>388</v>
      </c>
      <c r="M391">
        <v>14.295</v>
      </c>
      <c r="N391">
        <v>14.926875000000001</v>
      </c>
      <c r="O391">
        <v>13.760847222222221</v>
      </c>
      <c r="P391">
        <v>14.280333333333335</v>
      </c>
      <c r="AG391">
        <v>1</v>
      </c>
      <c r="AH391" t="e">
        <f t="shared" si="43"/>
        <v>#N/A</v>
      </c>
      <c r="AI391">
        <f t="shared" si="47"/>
        <v>2</v>
      </c>
      <c r="AJ391" t="e">
        <f t="shared" si="44"/>
        <v>#N/A</v>
      </c>
      <c r="AK391">
        <f t="shared" si="48"/>
        <v>3</v>
      </c>
      <c r="AL391" t="e">
        <f t="shared" si="45"/>
        <v>#N/A</v>
      </c>
      <c r="AM391">
        <f t="shared" si="49"/>
        <v>4</v>
      </c>
      <c r="AN391" t="e">
        <f t="shared" si="46"/>
        <v>#N/A</v>
      </c>
    </row>
    <row r="392" spans="1:40" x14ac:dyDescent="0.25">
      <c r="A392">
        <v>391</v>
      </c>
      <c r="B392">
        <f ca="1">SMALL(dados!A$23:A$422,A392)</f>
        <v>0.98247235672682665</v>
      </c>
      <c r="C392">
        <f ca="1">VLOOKUP(B392,dados!A$23:E$422,4,0)</f>
        <v>2</v>
      </c>
      <c r="D392">
        <f ca="1">VLOOKUP(B392,dados!A$23:E$422,5,0)</f>
        <v>19</v>
      </c>
      <c r="E392">
        <f ca="1">COUNTIF(C$2:C392,1)</f>
        <v>280</v>
      </c>
      <c r="F392">
        <f ca="1">COUNTIF(C$2:C392,2)</f>
        <v>70</v>
      </c>
      <c r="G392">
        <f ca="1">COUNTIF(C$2:C392,3)</f>
        <v>41</v>
      </c>
      <c r="L392">
        <v>389</v>
      </c>
      <c r="M392">
        <v>15.467499999999999</v>
      </c>
      <c r="N392">
        <v>15.716875</v>
      </c>
      <c r="O392">
        <v>14.953194444444446</v>
      </c>
      <c r="P392">
        <v>14.074784722222221</v>
      </c>
      <c r="AG392">
        <v>1</v>
      </c>
      <c r="AH392" t="e">
        <f t="shared" si="43"/>
        <v>#N/A</v>
      </c>
      <c r="AI392">
        <f t="shared" si="47"/>
        <v>2</v>
      </c>
      <c r="AJ392" t="e">
        <f t="shared" si="44"/>
        <v>#N/A</v>
      </c>
      <c r="AK392">
        <f t="shared" si="48"/>
        <v>3</v>
      </c>
      <c r="AL392" t="e">
        <f t="shared" si="45"/>
        <v>#N/A</v>
      </c>
      <c r="AM392">
        <f t="shared" si="49"/>
        <v>4</v>
      </c>
      <c r="AN392" t="e">
        <f t="shared" si="46"/>
        <v>#N/A</v>
      </c>
    </row>
    <row r="393" spans="1:40" x14ac:dyDescent="0.25">
      <c r="A393">
        <v>392</v>
      </c>
      <c r="B393">
        <f ca="1">SMALL(dados!A$23:A$422,A393)</f>
        <v>0.98429656655727193</v>
      </c>
      <c r="C393">
        <f ca="1">VLOOKUP(B393,dados!A$23:E$422,4,0)</f>
        <v>1</v>
      </c>
      <c r="D393">
        <f ca="1">VLOOKUP(B393,dados!A$23:E$422,5,0)</f>
        <v>7</v>
      </c>
      <c r="E393">
        <f ca="1">COUNTIF(C$2:C393,1)</f>
        <v>281</v>
      </c>
      <c r="F393">
        <f ca="1">COUNTIF(C$2:C393,2)</f>
        <v>70</v>
      </c>
      <c r="G393">
        <f ca="1">COUNTIF(C$2:C393,3)</f>
        <v>41</v>
      </c>
      <c r="L393">
        <v>390</v>
      </c>
      <c r="M393">
        <v>15.275</v>
      </c>
      <c r="N393">
        <v>14.998125</v>
      </c>
      <c r="O393">
        <v>14.324402777777777</v>
      </c>
      <c r="P393">
        <v>14.066743055555557</v>
      </c>
      <c r="AG393">
        <v>1</v>
      </c>
      <c r="AH393" t="e">
        <f t="shared" si="43"/>
        <v>#N/A</v>
      </c>
      <c r="AI393">
        <f t="shared" si="47"/>
        <v>2</v>
      </c>
      <c r="AJ393" t="e">
        <f t="shared" si="44"/>
        <v>#N/A</v>
      </c>
      <c r="AK393">
        <f t="shared" si="48"/>
        <v>3</v>
      </c>
      <c r="AL393" t="e">
        <f t="shared" si="45"/>
        <v>#N/A</v>
      </c>
      <c r="AM393">
        <f t="shared" si="49"/>
        <v>4</v>
      </c>
      <c r="AN393" t="e">
        <f t="shared" si="46"/>
        <v>#N/A</v>
      </c>
    </row>
    <row r="394" spans="1:40" x14ac:dyDescent="0.25">
      <c r="A394">
        <v>393</v>
      </c>
      <c r="B394">
        <f ca="1">SMALL(dados!A$23:A$422,A394)</f>
        <v>0.98812679476203136</v>
      </c>
      <c r="C394">
        <f ca="1">VLOOKUP(B394,dados!A$23:E$422,4,0)</f>
        <v>1</v>
      </c>
      <c r="D394">
        <f ca="1">VLOOKUP(B394,dados!A$23:E$422,5,0)</f>
        <v>12</v>
      </c>
      <c r="E394">
        <f ca="1">COUNTIF(C$2:C394,1)</f>
        <v>282</v>
      </c>
      <c r="F394">
        <f ca="1">COUNTIF(C$2:C394,2)</f>
        <v>70</v>
      </c>
      <c r="G394">
        <f ca="1">COUNTIF(C$2:C394,3)</f>
        <v>41</v>
      </c>
      <c r="L394">
        <v>391</v>
      </c>
      <c r="M394">
        <v>13.421250000000001</v>
      </c>
      <c r="N394">
        <v>12.88125</v>
      </c>
      <c r="O394">
        <v>13.919486111111112</v>
      </c>
      <c r="P394">
        <v>14.284284722222221</v>
      </c>
      <c r="AG394">
        <v>1</v>
      </c>
      <c r="AH394" t="e">
        <f t="shared" si="43"/>
        <v>#N/A</v>
      </c>
      <c r="AI394">
        <f t="shared" si="47"/>
        <v>2</v>
      </c>
      <c r="AJ394" t="e">
        <f t="shared" si="44"/>
        <v>#N/A</v>
      </c>
      <c r="AK394">
        <f t="shared" si="48"/>
        <v>3</v>
      </c>
      <c r="AL394" t="e">
        <f t="shared" si="45"/>
        <v>#N/A</v>
      </c>
      <c r="AM394">
        <f t="shared" si="49"/>
        <v>4</v>
      </c>
      <c r="AN394" t="e">
        <f t="shared" si="46"/>
        <v>#N/A</v>
      </c>
    </row>
    <row r="395" spans="1:40" x14ac:dyDescent="0.25">
      <c r="A395">
        <v>394</v>
      </c>
      <c r="B395">
        <f ca="1">SMALL(dados!A$23:A$422,A395)</f>
        <v>0.98824452585817035</v>
      </c>
      <c r="C395">
        <f ca="1">VLOOKUP(B395,dados!A$23:E$422,4,0)</f>
        <v>3</v>
      </c>
      <c r="D395">
        <f ca="1">VLOOKUP(B395,dados!A$23:E$422,5,0)</f>
        <v>22</v>
      </c>
      <c r="E395">
        <f ca="1">COUNTIF(C$2:C395,1)</f>
        <v>282</v>
      </c>
      <c r="F395">
        <f ca="1">COUNTIF(C$2:C395,2)</f>
        <v>70</v>
      </c>
      <c r="G395">
        <f ca="1">COUNTIF(C$2:C395,3)</f>
        <v>42</v>
      </c>
      <c r="L395">
        <v>392</v>
      </c>
      <c r="M395">
        <v>14.59125</v>
      </c>
      <c r="N395">
        <v>14.324375</v>
      </c>
      <c r="O395">
        <v>14.410388888888891</v>
      </c>
      <c r="P395">
        <v>14.18317361111111</v>
      </c>
      <c r="AG395">
        <v>1</v>
      </c>
      <c r="AH395" t="e">
        <f t="shared" si="43"/>
        <v>#N/A</v>
      </c>
      <c r="AI395">
        <f t="shared" si="47"/>
        <v>2</v>
      </c>
      <c r="AJ395" t="e">
        <f t="shared" si="44"/>
        <v>#N/A</v>
      </c>
      <c r="AK395">
        <f t="shared" si="48"/>
        <v>3</v>
      </c>
      <c r="AL395" t="e">
        <f t="shared" si="45"/>
        <v>#N/A</v>
      </c>
      <c r="AM395">
        <f t="shared" si="49"/>
        <v>4</v>
      </c>
      <c r="AN395" t="e">
        <f t="shared" si="46"/>
        <v>#N/A</v>
      </c>
    </row>
    <row r="396" spans="1:40" x14ac:dyDescent="0.25">
      <c r="A396">
        <v>395</v>
      </c>
      <c r="B396">
        <f ca="1">SMALL(dados!A$23:A$422,A396)</f>
        <v>0.99558553105019609</v>
      </c>
      <c r="C396">
        <f ca="1">VLOOKUP(B396,dados!A$23:E$422,4,0)</f>
        <v>1</v>
      </c>
      <c r="D396">
        <f ca="1">VLOOKUP(B396,dados!A$23:E$422,5,0)</f>
        <v>14</v>
      </c>
      <c r="E396">
        <f ca="1">COUNTIF(C$2:C396,1)</f>
        <v>283</v>
      </c>
      <c r="F396">
        <f ca="1">COUNTIF(C$2:C396,2)</f>
        <v>70</v>
      </c>
      <c r="G396">
        <f ca="1">COUNTIF(C$2:C396,3)</f>
        <v>42</v>
      </c>
      <c r="L396">
        <v>393</v>
      </c>
      <c r="M396">
        <v>12.217499999999999</v>
      </c>
      <c r="N396">
        <v>13.635</v>
      </c>
      <c r="O396">
        <v>13.261041666666667</v>
      </c>
      <c r="P396">
        <v>13.672499999999999</v>
      </c>
      <c r="AG396">
        <v>1</v>
      </c>
      <c r="AH396" t="e">
        <f t="shared" si="43"/>
        <v>#N/A</v>
      </c>
      <c r="AI396">
        <f t="shared" si="47"/>
        <v>2</v>
      </c>
      <c r="AJ396" t="e">
        <f t="shared" si="44"/>
        <v>#N/A</v>
      </c>
      <c r="AK396">
        <f t="shared" si="48"/>
        <v>3</v>
      </c>
      <c r="AL396" t="e">
        <f t="shared" si="45"/>
        <v>#N/A</v>
      </c>
      <c r="AM396">
        <f t="shared" si="49"/>
        <v>4</v>
      </c>
      <c r="AN396" t="e">
        <f t="shared" si="46"/>
        <v>#N/A</v>
      </c>
    </row>
    <row r="397" spans="1:40" x14ac:dyDescent="0.25">
      <c r="A397">
        <v>396</v>
      </c>
      <c r="B397">
        <f ca="1">SMALL(dados!A$23:A$422,A397)</f>
        <v>0.9966665489762232</v>
      </c>
      <c r="C397">
        <f ca="1">VLOOKUP(B397,dados!A$23:E$422,4,0)</f>
        <v>2</v>
      </c>
      <c r="D397">
        <f ca="1">VLOOKUP(B397,dados!A$23:E$422,5,0)</f>
        <v>22</v>
      </c>
      <c r="E397">
        <f ca="1">COUNTIF(C$2:C397,1)</f>
        <v>283</v>
      </c>
      <c r="F397">
        <f ca="1">COUNTIF(C$2:C397,2)</f>
        <v>71</v>
      </c>
      <c r="G397">
        <f ca="1">COUNTIF(C$2:C397,3)</f>
        <v>42</v>
      </c>
      <c r="L397">
        <v>394</v>
      </c>
      <c r="M397">
        <v>12.675000000000001</v>
      </c>
      <c r="N397">
        <v>13.105</v>
      </c>
      <c r="O397">
        <v>13.472166666666665</v>
      </c>
      <c r="P397">
        <v>13.937069444444443</v>
      </c>
      <c r="AG397">
        <v>1</v>
      </c>
      <c r="AH397" t="e">
        <f t="shared" si="43"/>
        <v>#N/A</v>
      </c>
      <c r="AI397">
        <f t="shared" si="47"/>
        <v>2</v>
      </c>
      <c r="AJ397" t="e">
        <f t="shared" si="44"/>
        <v>#N/A</v>
      </c>
      <c r="AK397">
        <f t="shared" si="48"/>
        <v>3</v>
      </c>
      <c r="AL397" t="e">
        <f t="shared" si="45"/>
        <v>#N/A</v>
      </c>
      <c r="AM397">
        <f t="shared" si="49"/>
        <v>4</v>
      </c>
      <c r="AN397" t="e">
        <f t="shared" si="46"/>
        <v>#N/A</v>
      </c>
    </row>
    <row r="398" spans="1:40" x14ac:dyDescent="0.25">
      <c r="A398">
        <v>397</v>
      </c>
      <c r="B398">
        <f ca="1">SMALL(dados!A$23:A$422,A398)</f>
        <v>0.99688403064595577</v>
      </c>
      <c r="C398">
        <f ca="1">VLOOKUP(B398,dados!A$23:E$422,4,0)</f>
        <v>1</v>
      </c>
      <c r="D398">
        <f ca="1">VLOOKUP(B398,dados!A$23:E$422,5,0)</f>
        <v>5</v>
      </c>
      <c r="E398">
        <f ca="1">COUNTIF(C$2:C398,1)</f>
        <v>284</v>
      </c>
      <c r="F398">
        <f ca="1">COUNTIF(C$2:C398,2)</f>
        <v>71</v>
      </c>
      <c r="G398">
        <f ca="1">COUNTIF(C$2:C398,3)</f>
        <v>42</v>
      </c>
      <c r="L398">
        <v>395</v>
      </c>
      <c r="M398">
        <v>11.932499999999999</v>
      </c>
      <c r="N398">
        <v>12.8925</v>
      </c>
      <c r="O398">
        <v>13.194180555555556</v>
      </c>
      <c r="P398">
        <v>13.924645833333335</v>
      </c>
      <c r="AG398">
        <v>1</v>
      </c>
      <c r="AH398" t="e">
        <f t="shared" si="43"/>
        <v>#N/A</v>
      </c>
      <c r="AI398">
        <f t="shared" si="47"/>
        <v>2</v>
      </c>
      <c r="AJ398" t="e">
        <f t="shared" si="44"/>
        <v>#N/A</v>
      </c>
      <c r="AK398">
        <f t="shared" si="48"/>
        <v>3</v>
      </c>
      <c r="AL398" t="e">
        <f t="shared" si="45"/>
        <v>#N/A</v>
      </c>
      <c r="AM398">
        <f t="shared" si="49"/>
        <v>4</v>
      </c>
      <c r="AN398" t="e">
        <f t="shared" si="46"/>
        <v>#N/A</v>
      </c>
    </row>
    <row r="399" spans="1:40" x14ac:dyDescent="0.25">
      <c r="A399">
        <v>398</v>
      </c>
      <c r="B399">
        <f ca="1">SMALL(dados!A$23:A$422,A399)</f>
        <v>0.9972814916639392</v>
      </c>
      <c r="C399">
        <f ca="1">VLOOKUP(B399,dados!A$23:E$422,4,0)</f>
        <v>1</v>
      </c>
      <c r="D399">
        <f ca="1">VLOOKUP(B399,dados!A$23:E$422,5,0)</f>
        <v>14</v>
      </c>
      <c r="E399">
        <f ca="1">COUNTIF(C$2:C399,1)</f>
        <v>285</v>
      </c>
      <c r="F399">
        <f ca="1">COUNTIF(C$2:C399,2)</f>
        <v>71</v>
      </c>
      <c r="G399">
        <f ca="1">COUNTIF(C$2:C399,3)</f>
        <v>42</v>
      </c>
      <c r="L399">
        <v>396</v>
      </c>
      <c r="M399">
        <v>13.63625</v>
      </c>
      <c r="N399">
        <v>13.755625</v>
      </c>
      <c r="O399">
        <v>14.700819444444447</v>
      </c>
      <c r="P399">
        <v>14.099479166666665</v>
      </c>
      <c r="AG399">
        <v>1</v>
      </c>
      <c r="AH399" t="e">
        <f t="shared" si="43"/>
        <v>#N/A</v>
      </c>
      <c r="AI399">
        <f t="shared" si="47"/>
        <v>2</v>
      </c>
      <c r="AJ399" t="e">
        <f t="shared" si="44"/>
        <v>#N/A</v>
      </c>
      <c r="AK399">
        <f t="shared" si="48"/>
        <v>3</v>
      </c>
      <c r="AL399" t="e">
        <f t="shared" si="45"/>
        <v>#N/A</v>
      </c>
      <c r="AM399">
        <f t="shared" si="49"/>
        <v>4</v>
      </c>
      <c r="AN399" t="e">
        <f t="shared" si="46"/>
        <v>#N/A</v>
      </c>
    </row>
    <row r="400" spans="1:40" x14ac:dyDescent="0.25">
      <c r="A400">
        <v>399</v>
      </c>
      <c r="B400">
        <f ca="1">SMALL(dados!A$23:A$422,A400)</f>
        <v>0.99915729156337429</v>
      </c>
      <c r="C400">
        <f ca="1">VLOOKUP(B400,dados!A$23:E$422,4,0)</f>
        <v>1</v>
      </c>
      <c r="D400">
        <f ca="1">VLOOKUP(B400,dados!A$23:E$422,5,0)</f>
        <v>13</v>
      </c>
      <c r="E400">
        <f ca="1">COUNTIF(C$2:C400,1)</f>
        <v>286</v>
      </c>
      <c r="F400">
        <f ca="1">COUNTIF(C$2:C400,2)</f>
        <v>71</v>
      </c>
      <c r="G400">
        <f ca="1">COUNTIF(C$2:C400,3)</f>
        <v>42</v>
      </c>
      <c r="L400">
        <v>397</v>
      </c>
      <c r="M400">
        <v>13.702500000000001</v>
      </c>
      <c r="N400">
        <v>13.644375</v>
      </c>
      <c r="O400">
        <v>13.378402777777778</v>
      </c>
      <c r="P400">
        <v>13.245631944444444</v>
      </c>
      <c r="AG400">
        <v>1</v>
      </c>
      <c r="AH400" t="e">
        <f t="shared" si="43"/>
        <v>#N/A</v>
      </c>
      <c r="AI400">
        <f t="shared" si="47"/>
        <v>2</v>
      </c>
      <c r="AJ400" t="e">
        <f t="shared" si="44"/>
        <v>#N/A</v>
      </c>
      <c r="AK400">
        <f t="shared" si="48"/>
        <v>3</v>
      </c>
      <c r="AL400" t="e">
        <f t="shared" si="45"/>
        <v>#N/A</v>
      </c>
      <c r="AM400">
        <f t="shared" si="49"/>
        <v>4</v>
      </c>
      <c r="AN400" t="e">
        <f t="shared" si="46"/>
        <v>#N/A</v>
      </c>
    </row>
    <row r="401" spans="1:40" x14ac:dyDescent="0.25">
      <c r="A401">
        <v>400</v>
      </c>
      <c r="B401">
        <f ca="1">SMALL(dados!A$23:A$422,A401)</f>
        <v>0.99976439301662989</v>
      </c>
      <c r="C401">
        <f ca="1">VLOOKUP(B401,dados!A$23:E$422,4,0)</f>
        <v>1</v>
      </c>
      <c r="D401">
        <f ca="1">VLOOKUP(B401,dados!A$23:E$422,5,0)</f>
        <v>9</v>
      </c>
      <c r="E401">
        <f ca="1">COUNTIF(C$2:C401,1)</f>
        <v>287</v>
      </c>
      <c r="F401">
        <f ca="1">COUNTIF(C$2:C401,2)</f>
        <v>71</v>
      </c>
      <c r="G401">
        <f ca="1">COUNTIF(C$2:C401,3)</f>
        <v>42</v>
      </c>
      <c r="L401">
        <v>398</v>
      </c>
      <c r="M401">
        <v>14.2925</v>
      </c>
      <c r="N401">
        <v>14.070625</v>
      </c>
      <c r="O401">
        <v>13.844638888888889</v>
      </c>
      <c r="P401">
        <v>13.60825</v>
      </c>
      <c r="AG401">
        <v>1</v>
      </c>
      <c r="AH401" t="e">
        <f t="shared" si="43"/>
        <v>#N/A</v>
      </c>
      <c r="AI401">
        <f t="shared" si="47"/>
        <v>2</v>
      </c>
      <c r="AJ401" t="e">
        <f t="shared" si="44"/>
        <v>#N/A</v>
      </c>
      <c r="AK401">
        <f t="shared" si="48"/>
        <v>3</v>
      </c>
      <c r="AL401" t="e">
        <f t="shared" si="45"/>
        <v>#N/A</v>
      </c>
      <c r="AM401">
        <f t="shared" si="49"/>
        <v>4</v>
      </c>
      <c r="AN401" t="e">
        <f t="shared" si="46"/>
        <v>#N/A</v>
      </c>
    </row>
    <row r="402" spans="1:40" x14ac:dyDescent="0.25">
      <c r="L402">
        <v>399</v>
      </c>
      <c r="M402">
        <v>13.3125</v>
      </c>
      <c r="N402">
        <v>13.763125</v>
      </c>
      <c r="O402">
        <v>14.348430555555556</v>
      </c>
      <c r="P402">
        <v>14.29338888888889</v>
      </c>
      <c r="AG402">
        <v>1</v>
      </c>
      <c r="AH402" t="e">
        <f t="shared" si="43"/>
        <v>#N/A</v>
      </c>
      <c r="AI402">
        <f t="shared" si="47"/>
        <v>2</v>
      </c>
      <c r="AJ402" t="e">
        <f t="shared" si="44"/>
        <v>#N/A</v>
      </c>
      <c r="AK402">
        <f t="shared" si="48"/>
        <v>3</v>
      </c>
      <c r="AL402" t="e">
        <f t="shared" si="45"/>
        <v>#N/A</v>
      </c>
      <c r="AM402">
        <f t="shared" si="49"/>
        <v>4</v>
      </c>
      <c r="AN402" t="e">
        <f t="shared" si="46"/>
        <v>#N/A</v>
      </c>
    </row>
    <row r="403" spans="1:40" x14ac:dyDescent="0.25">
      <c r="L403">
        <v>400</v>
      </c>
      <c r="M403">
        <v>15.063750000000001</v>
      </c>
      <c r="N403">
        <v>14.899374999999999</v>
      </c>
      <c r="O403">
        <v>13.260416666666664</v>
      </c>
      <c r="P403">
        <v>13.590736111111109</v>
      </c>
      <c r="AG403">
        <v>1</v>
      </c>
      <c r="AH403" t="e">
        <f t="shared" si="43"/>
        <v>#N/A</v>
      </c>
      <c r="AI403">
        <f t="shared" si="47"/>
        <v>2</v>
      </c>
      <c r="AJ403" t="e">
        <f t="shared" si="44"/>
        <v>#N/A</v>
      </c>
      <c r="AK403">
        <f t="shared" si="48"/>
        <v>3</v>
      </c>
      <c r="AL403" t="e">
        <f t="shared" si="45"/>
        <v>#N/A</v>
      </c>
      <c r="AM403">
        <f t="shared" si="49"/>
        <v>4</v>
      </c>
      <c r="AN403" t="e">
        <f t="shared" si="46"/>
        <v>#N/A</v>
      </c>
    </row>
    <row r="404" spans="1:40" x14ac:dyDescent="0.25">
      <c r="L404">
        <v>401</v>
      </c>
      <c r="M404">
        <v>15.86125</v>
      </c>
      <c r="N404">
        <v>15.560625</v>
      </c>
      <c r="O404">
        <v>14.293805555555558</v>
      </c>
      <c r="P404">
        <v>14.359777777777779</v>
      </c>
      <c r="AG404">
        <v>1</v>
      </c>
      <c r="AH404" t="e">
        <f t="shared" si="43"/>
        <v>#N/A</v>
      </c>
      <c r="AI404">
        <f t="shared" si="47"/>
        <v>2</v>
      </c>
      <c r="AJ404" t="e">
        <f t="shared" si="44"/>
        <v>#N/A</v>
      </c>
      <c r="AK404">
        <f t="shared" si="48"/>
        <v>3</v>
      </c>
      <c r="AL404" t="e">
        <f t="shared" si="45"/>
        <v>#N/A</v>
      </c>
      <c r="AM404">
        <f t="shared" si="49"/>
        <v>4</v>
      </c>
      <c r="AN404" t="e">
        <f t="shared" si="46"/>
        <v>#N/A</v>
      </c>
    </row>
    <row r="405" spans="1:40" x14ac:dyDescent="0.25">
      <c r="L405">
        <v>402</v>
      </c>
      <c r="M405">
        <v>15.404999999999999</v>
      </c>
      <c r="N405">
        <v>14.435</v>
      </c>
      <c r="O405">
        <v>14.337111111111112</v>
      </c>
      <c r="P405">
        <v>14.006124999999999</v>
      </c>
      <c r="AG405">
        <v>1</v>
      </c>
      <c r="AH405" t="e">
        <f t="shared" si="43"/>
        <v>#N/A</v>
      </c>
      <c r="AI405">
        <f t="shared" si="47"/>
        <v>2</v>
      </c>
      <c r="AJ405" t="e">
        <f t="shared" si="44"/>
        <v>#N/A</v>
      </c>
      <c r="AK405">
        <f t="shared" si="48"/>
        <v>3</v>
      </c>
      <c r="AL405" t="e">
        <f t="shared" si="45"/>
        <v>#N/A</v>
      </c>
      <c r="AM405">
        <f t="shared" si="49"/>
        <v>4</v>
      </c>
      <c r="AN405" t="e">
        <f t="shared" si="46"/>
        <v>#N/A</v>
      </c>
    </row>
    <row r="406" spans="1:40" x14ac:dyDescent="0.25">
      <c r="L406">
        <v>403</v>
      </c>
      <c r="M406">
        <v>14.151249999999999</v>
      </c>
      <c r="N406">
        <v>14.025</v>
      </c>
      <c r="O406">
        <v>14.005180555555555</v>
      </c>
      <c r="P406">
        <v>14.076854166666667</v>
      </c>
      <c r="AG406">
        <v>1</v>
      </c>
      <c r="AH406" t="e">
        <f t="shared" si="43"/>
        <v>#N/A</v>
      </c>
      <c r="AI406">
        <f t="shared" si="47"/>
        <v>2</v>
      </c>
      <c r="AJ406" t="e">
        <f t="shared" si="44"/>
        <v>#N/A</v>
      </c>
      <c r="AK406">
        <f t="shared" si="48"/>
        <v>3</v>
      </c>
      <c r="AL406" t="e">
        <f t="shared" si="45"/>
        <v>#N/A</v>
      </c>
      <c r="AM406">
        <f t="shared" si="49"/>
        <v>4</v>
      </c>
      <c r="AN406" t="e">
        <f t="shared" si="46"/>
        <v>#N/A</v>
      </c>
    </row>
    <row r="407" spans="1:40" x14ac:dyDescent="0.25">
      <c r="L407">
        <v>404</v>
      </c>
      <c r="M407">
        <v>16.137499999999999</v>
      </c>
      <c r="N407">
        <v>14.296250000000001</v>
      </c>
      <c r="O407">
        <v>14.774694444444444</v>
      </c>
      <c r="P407">
        <v>14.372888888888889</v>
      </c>
      <c r="AG407">
        <v>1</v>
      </c>
      <c r="AH407" t="e">
        <f t="shared" si="43"/>
        <v>#N/A</v>
      </c>
      <c r="AI407">
        <f t="shared" si="47"/>
        <v>2</v>
      </c>
      <c r="AJ407" t="e">
        <f t="shared" si="44"/>
        <v>#N/A</v>
      </c>
      <c r="AK407">
        <f t="shared" si="48"/>
        <v>3</v>
      </c>
      <c r="AL407" t="e">
        <f t="shared" si="45"/>
        <v>#N/A</v>
      </c>
      <c r="AM407">
        <f t="shared" si="49"/>
        <v>4</v>
      </c>
      <c r="AN407" t="e">
        <f t="shared" si="46"/>
        <v>#N/A</v>
      </c>
    </row>
    <row r="408" spans="1:40" x14ac:dyDescent="0.25">
      <c r="L408">
        <v>405</v>
      </c>
      <c r="M408">
        <v>14.78875</v>
      </c>
      <c r="N408">
        <v>13.797499999999999</v>
      </c>
      <c r="O408">
        <v>13.530083333333334</v>
      </c>
      <c r="P408">
        <v>13.70447222222222</v>
      </c>
      <c r="AG408">
        <v>1</v>
      </c>
      <c r="AH408" t="e">
        <f t="shared" si="43"/>
        <v>#N/A</v>
      </c>
      <c r="AI408">
        <f t="shared" si="47"/>
        <v>2</v>
      </c>
      <c r="AJ408" t="e">
        <f t="shared" si="44"/>
        <v>#N/A</v>
      </c>
      <c r="AK408">
        <f t="shared" si="48"/>
        <v>3</v>
      </c>
      <c r="AL408" t="e">
        <f t="shared" si="45"/>
        <v>#N/A</v>
      </c>
      <c r="AM408">
        <f t="shared" si="49"/>
        <v>4</v>
      </c>
      <c r="AN408" t="e">
        <f t="shared" si="46"/>
        <v>#N/A</v>
      </c>
    </row>
    <row r="409" spans="1:40" x14ac:dyDescent="0.25">
      <c r="L409">
        <v>406</v>
      </c>
      <c r="M409">
        <v>14.418749999999999</v>
      </c>
      <c r="N409">
        <v>14.606875</v>
      </c>
      <c r="O409">
        <v>13.358083333333331</v>
      </c>
      <c r="P409">
        <v>13.867395833333335</v>
      </c>
      <c r="AG409">
        <v>1</v>
      </c>
      <c r="AH409" t="e">
        <f t="shared" si="43"/>
        <v>#N/A</v>
      </c>
      <c r="AI409">
        <f t="shared" si="47"/>
        <v>2</v>
      </c>
      <c r="AJ409" t="e">
        <f t="shared" si="44"/>
        <v>#N/A</v>
      </c>
      <c r="AK409">
        <f t="shared" si="48"/>
        <v>3</v>
      </c>
      <c r="AL409" t="e">
        <f t="shared" si="45"/>
        <v>#N/A</v>
      </c>
      <c r="AM409">
        <f t="shared" si="49"/>
        <v>4</v>
      </c>
      <c r="AN409" t="e">
        <f t="shared" si="46"/>
        <v>#N/A</v>
      </c>
    </row>
    <row r="410" spans="1:40" x14ac:dyDescent="0.25">
      <c r="L410">
        <v>407</v>
      </c>
      <c r="M410">
        <v>16.047499999999999</v>
      </c>
      <c r="N410">
        <v>14.766249999999999</v>
      </c>
      <c r="O410">
        <v>14.258666666666665</v>
      </c>
      <c r="P410">
        <v>14.187708333333335</v>
      </c>
      <c r="AG410">
        <v>1</v>
      </c>
      <c r="AH410" t="e">
        <f t="shared" si="43"/>
        <v>#N/A</v>
      </c>
      <c r="AI410">
        <f t="shared" si="47"/>
        <v>2</v>
      </c>
      <c r="AJ410" t="e">
        <f t="shared" si="44"/>
        <v>#N/A</v>
      </c>
      <c r="AK410">
        <f t="shared" si="48"/>
        <v>3</v>
      </c>
      <c r="AL410" t="e">
        <f t="shared" si="45"/>
        <v>#N/A</v>
      </c>
      <c r="AM410">
        <f t="shared" si="49"/>
        <v>4</v>
      </c>
      <c r="AN410" t="e">
        <f t="shared" si="46"/>
        <v>#N/A</v>
      </c>
    </row>
    <row r="411" spans="1:40" x14ac:dyDescent="0.25">
      <c r="L411">
        <v>408</v>
      </c>
      <c r="M411">
        <v>16.611249999999998</v>
      </c>
      <c r="N411">
        <v>14.855625</v>
      </c>
      <c r="O411">
        <v>14.246375</v>
      </c>
      <c r="P411">
        <v>13.876423611111113</v>
      </c>
      <c r="AG411">
        <v>1</v>
      </c>
      <c r="AH411" t="e">
        <f t="shared" si="43"/>
        <v>#N/A</v>
      </c>
      <c r="AI411">
        <f t="shared" si="47"/>
        <v>2</v>
      </c>
      <c r="AJ411" t="e">
        <f t="shared" si="44"/>
        <v>#N/A</v>
      </c>
      <c r="AK411">
        <f t="shared" si="48"/>
        <v>3</v>
      </c>
      <c r="AL411" t="e">
        <f t="shared" si="45"/>
        <v>#N/A</v>
      </c>
      <c r="AM411">
        <f t="shared" si="49"/>
        <v>4</v>
      </c>
      <c r="AN411" t="e">
        <f t="shared" si="46"/>
        <v>#N/A</v>
      </c>
    </row>
    <row r="412" spans="1:40" x14ac:dyDescent="0.25">
      <c r="L412">
        <v>409</v>
      </c>
      <c r="M412">
        <v>14.1425</v>
      </c>
      <c r="N412">
        <v>14.706250000000001</v>
      </c>
      <c r="O412">
        <v>14.181111111111111</v>
      </c>
      <c r="P412">
        <v>13.89507638888889</v>
      </c>
      <c r="AG412">
        <v>1</v>
      </c>
      <c r="AH412" t="e">
        <f t="shared" si="43"/>
        <v>#N/A</v>
      </c>
      <c r="AI412">
        <f t="shared" si="47"/>
        <v>2</v>
      </c>
      <c r="AJ412" t="e">
        <f t="shared" si="44"/>
        <v>#N/A</v>
      </c>
      <c r="AK412">
        <f t="shared" si="48"/>
        <v>3</v>
      </c>
      <c r="AL412" t="e">
        <f t="shared" si="45"/>
        <v>#N/A</v>
      </c>
      <c r="AM412">
        <f t="shared" si="49"/>
        <v>4</v>
      </c>
      <c r="AN412" t="e">
        <f t="shared" si="46"/>
        <v>#N/A</v>
      </c>
    </row>
    <row r="413" spans="1:40" x14ac:dyDescent="0.25">
      <c r="L413">
        <v>410</v>
      </c>
      <c r="M413">
        <v>14.393750000000001</v>
      </c>
      <c r="N413">
        <v>14.6225</v>
      </c>
      <c r="O413">
        <v>14.619638888888888</v>
      </c>
      <c r="P413">
        <v>14.107958333333336</v>
      </c>
      <c r="AG413">
        <v>1</v>
      </c>
      <c r="AH413" t="e">
        <f t="shared" si="43"/>
        <v>#N/A</v>
      </c>
      <c r="AI413">
        <f t="shared" si="47"/>
        <v>2</v>
      </c>
      <c r="AJ413" t="e">
        <f t="shared" si="44"/>
        <v>#N/A</v>
      </c>
      <c r="AK413">
        <f t="shared" si="48"/>
        <v>3</v>
      </c>
      <c r="AL413" t="e">
        <f t="shared" si="45"/>
        <v>#N/A</v>
      </c>
      <c r="AM413">
        <f t="shared" si="49"/>
        <v>4</v>
      </c>
      <c r="AN413" t="e">
        <f t="shared" si="46"/>
        <v>#N/A</v>
      </c>
    </row>
    <row r="414" spans="1:40" x14ac:dyDescent="0.25">
      <c r="L414">
        <v>411</v>
      </c>
      <c r="M414">
        <v>13.623749999999999</v>
      </c>
      <c r="N414">
        <v>14.1225</v>
      </c>
      <c r="O414">
        <v>13.521944444444445</v>
      </c>
      <c r="P414">
        <v>13.788944444444445</v>
      </c>
      <c r="AG414">
        <v>1</v>
      </c>
      <c r="AH414" t="e">
        <f t="shared" si="43"/>
        <v>#N/A</v>
      </c>
      <c r="AI414">
        <f t="shared" si="47"/>
        <v>2</v>
      </c>
      <c r="AJ414" t="e">
        <f t="shared" si="44"/>
        <v>#N/A</v>
      </c>
      <c r="AK414">
        <f t="shared" si="48"/>
        <v>3</v>
      </c>
      <c r="AL414" t="e">
        <f t="shared" si="45"/>
        <v>#N/A</v>
      </c>
      <c r="AM414">
        <f t="shared" si="49"/>
        <v>4</v>
      </c>
      <c r="AN414" t="e">
        <f t="shared" si="46"/>
        <v>#N/A</v>
      </c>
    </row>
    <row r="415" spans="1:40" x14ac:dyDescent="0.25">
      <c r="L415">
        <v>412</v>
      </c>
      <c r="M415">
        <v>13.936249999999999</v>
      </c>
      <c r="N415">
        <v>13.81</v>
      </c>
      <c r="O415">
        <v>13.508972222222221</v>
      </c>
      <c r="P415">
        <v>13.754243055555555</v>
      </c>
      <c r="AG415">
        <v>1</v>
      </c>
      <c r="AH415" t="e">
        <f t="shared" si="43"/>
        <v>#N/A</v>
      </c>
      <c r="AI415">
        <f t="shared" si="47"/>
        <v>2</v>
      </c>
      <c r="AJ415" t="e">
        <f t="shared" si="44"/>
        <v>#N/A</v>
      </c>
      <c r="AK415">
        <f t="shared" si="48"/>
        <v>3</v>
      </c>
      <c r="AL415" t="e">
        <f t="shared" si="45"/>
        <v>#N/A</v>
      </c>
      <c r="AM415">
        <f t="shared" si="49"/>
        <v>4</v>
      </c>
      <c r="AN415" t="e">
        <f t="shared" si="46"/>
        <v>#N/A</v>
      </c>
    </row>
    <row r="416" spans="1:40" x14ac:dyDescent="0.25">
      <c r="L416">
        <v>413</v>
      </c>
      <c r="M416">
        <v>13.893750000000001</v>
      </c>
      <c r="N416">
        <v>13.32</v>
      </c>
      <c r="O416">
        <v>13.408333333333333</v>
      </c>
      <c r="P416">
        <v>13.95526388888889</v>
      </c>
      <c r="AG416">
        <v>1</v>
      </c>
      <c r="AH416" t="e">
        <f t="shared" si="43"/>
        <v>#N/A</v>
      </c>
      <c r="AI416">
        <f t="shared" si="47"/>
        <v>2</v>
      </c>
      <c r="AJ416" t="e">
        <f t="shared" si="44"/>
        <v>#N/A</v>
      </c>
      <c r="AK416">
        <f t="shared" si="48"/>
        <v>3</v>
      </c>
      <c r="AL416" t="e">
        <f t="shared" si="45"/>
        <v>#N/A</v>
      </c>
      <c r="AM416">
        <f t="shared" si="49"/>
        <v>4</v>
      </c>
      <c r="AN416" t="e">
        <f t="shared" si="46"/>
        <v>#N/A</v>
      </c>
    </row>
    <row r="417" spans="12:40" x14ac:dyDescent="0.25">
      <c r="L417">
        <v>414</v>
      </c>
      <c r="M417">
        <v>13.78875</v>
      </c>
      <c r="N417">
        <v>14.331875</v>
      </c>
      <c r="O417">
        <v>14.117222222222221</v>
      </c>
      <c r="P417">
        <v>14.117444444444445</v>
      </c>
      <c r="AG417">
        <v>1</v>
      </c>
      <c r="AH417" t="e">
        <f t="shared" si="43"/>
        <v>#N/A</v>
      </c>
      <c r="AI417">
        <f t="shared" si="47"/>
        <v>2</v>
      </c>
      <c r="AJ417" t="e">
        <f t="shared" si="44"/>
        <v>#N/A</v>
      </c>
      <c r="AK417">
        <f t="shared" si="48"/>
        <v>3</v>
      </c>
      <c r="AL417" t="e">
        <f t="shared" si="45"/>
        <v>#N/A</v>
      </c>
      <c r="AM417">
        <f t="shared" si="49"/>
        <v>4</v>
      </c>
      <c r="AN417" t="e">
        <f t="shared" si="46"/>
        <v>#N/A</v>
      </c>
    </row>
    <row r="418" spans="12:40" x14ac:dyDescent="0.25">
      <c r="L418">
        <v>415</v>
      </c>
      <c r="M418">
        <v>13.86</v>
      </c>
      <c r="N418">
        <v>13.19375</v>
      </c>
      <c r="O418">
        <v>13.524152777777777</v>
      </c>
      <c r="P418">
        <v>13.803902777777777</v>
      </c>
      <c r="AG418">
        <v>1</v>
      </c>
      <c r="AH418" t="e">
        <f t="shared" si="43"/>
        <v>#N/A</v>
      </c>
      <c r="AI418">
        <f t="shared" si="47"/>
        <v>2</v>
      </c>
      <c r="AJ418" t="e">
        <f t="shared" si="44"/>
        <v>#N/A</v>
      </c>
      <c r="AK418">
        <f t="shared" si="48"/>
        <v>3</v>
      </c>
      <c r="AL418" t="e">
        <f t="shared" si="45"/>
        <v>#N/A</v>
      </c>
      <c r="AM418">
        <f t="shared" si="49"/>
        <v>4</v>
      </c>
      <c r="AN418" t="e">
        <f t="shared" si="46"/>
        <v>#N/A</v>
      </c>
    </row>
    <row r="419" spans="12:40" x14ac:dyDescent="0.25">
      <c r="L419">
        <v>416</v>
      </c>
      <c r="M419">
        <v>13.545</v>
      </c>
      <c r="N419">
        <v>14.403124999999999</v>
      </c>
      <c r="O419">
        <v>14.422833333333335</v>
      </c>
      <c r="P419">
        <v>14.361284722222221</v>
      </c>
      <c r="AG419">
        <v>1</v>
      </c>
      <c r="AH419" t="e">
        <f t="shared" si="43"/>
        <v>#N/A</v>
      </c>
      <c r="AI419">
        <f t="shared" si="47"/>
        <v>2</v>
      </c>
      <c r="AJ419" t="e">
        <f t="shared" si="44"/>
        <v>#N/A</v>
      </c>
      <c r="AK419">
        <f t="shared" si="48"/>
        <v>3</v>
      </c>
      <c r="AL419" t="e">
        <f t="shared" si="45"/>
        <v>#N/A</v>
      </c>
      <c r="AM419">
        <f t="shared" si="49"/>
        <v>4</v>
      </c>
      <c r="AN419" t="e">
        <f t="shared" si="46"/>
        <v>#N/A</v>
      </c>
    </row>
    <row r="420" spans="12:40" x14ac:dyDescent="0.25">
      <c r="L420">
        <v>417</v>
      </c>
      <c r="M420">
        <v>13.11125</v>
      </c>
      <c r="N420">
        <v>13.886875</v>
      </c>
      <c r="O420">
        <v>13.467736111111108</v>
      </c>
      <c r="P420">
        <v>13.883472222222222</v>
      </c>
      <c r="AG420">
        <v>1</v>
      </c>
      <c r="AH420" t="e">
        <f t="shared" si="43"/>
        <v>#N/A</v>
      </c>
      <c r="AI420">
        <f t="shared" si="47"/>
        <v>2</v>
      </c>
      <c r="AJ420" t="e">
        <f t="shared" si="44"/>
        <v>#N/A</v>
      </c>
      <c r="AK420">
        <f t="shared" si="48"/>
        <v>3</v>
      </c>
      <c r="AL420" t="e">
        <f t="shared" si="45"/>
        <v>#N/A</v>
      </c>
      <c r="AM420">
        <f t="shared" si="49"/>
        <v>4</v>
      </c>
      <c r="AN420" t="e">
        <f t="shared" si="46"/>
        <v>#N/A</v>
      </c>
    </row>
    <row r="421" spans="12:40" x14ac:dyDescent="0.25">
      <c r="L421">
        <v>418</v>
      </c>
      <c r="M421">
        <v>12.845000000000001</v>
      </c>
      <c r="N421">
        <v>13.265625</v>
      </c>
      <c r="O421">
        <v>13.770916666666666</v>
      </c>
      <c r="P421">
        <v>14.050194444444443</v>
      </c>
      <c r="AG421">
        <v>1</v>
      </c>
      <c r="AH421" t="e">
        <f t="shared" si="43"/>
        <v>#N/A</v>
      </c>
      <c r="AI421">
        <f t="shared" si="47"/>
        <v>2</v>
      </c>
      <c r="AJ421" t="e">
        <f t="shared" si="44"/>
        <v>#N/A</v>
      </c>
      <c r="AK421">
        <f t="shared" si="48"/>
        <v>3</v>
      </c>
      <c r="AL421" t="e">
        <f t="shared" si="45"/>
        <v>#N/A</v>
      </c>
      <c r="AM421">
        <f t="shared" si="49"/>
        <v>4</v>
      </c>
      <c r="AN421" t="e">
        <f t="shared" si="46"/>
        <v>#N/A</v>
      </c>
    </row>
    <row r="422" spans="12:40" x14ac:dyDescent="0.25">
      <c r="L422">
        <v>419</v>
      </c>
      <c r="M422">
        <v>14.55875</v>
      </c>
      <c r="N422">
        <v>14.500624999999999</v>
      </c>
      <c r="O422">
        <v>13.999208333333335</v>
      </c>
      <c r="P422">
        <v>14.225159722222223</v>
      </c>
      <c r="AG422">
        <v>1</v>
      </c>
      <c r="AH422" t="e">
        <f t="shared" si="43"/>
        <v>#N/A</v>
      </c>
      <c r="AI422">
        <f t="shared" si="47"/>
        <v>2</v>
      </c>
      <c r="AJ422" t="e">
        <f t="shared" si="44"/>
        <v>#N/A</v>
      </c>
      <c r="AK422">
        <f t="shared" si="48"/>
        <v>3</v>
      </c>
      <c r="AL422" t="e">
        <f t="shared" si="45"/>
        <v>#N/A</v>
      </c>
      <c r="AM422">
        <f t="shared" si="49"/>
        <v>4</v>
      </c>
      <c r="AN422" t="e">
        <f t="shared" si="46"/>
        <v>#N/A</v>
      </c>
    </row>
    <row r="423" spans="12:40" x14ac:dyDescent="0.25">
      <c r="L423">
        <v>420</v>
      </c>
      <c r="M423">
        <v>13.7875</v>
      </c>
      <c r="N423">
        <v>13.855625</v>
      </c>
      <c r="O423">
        <v>14.004527777777778</v>
      </c>
      <c r="P423">
        <v>14.300444444444443</v>
      </c>
      <c r="AG423">
        <v>1</v>
      </c>
      <c r="AH423" t="e">
        <f t="shared" si="43"/>
        <v>#N/A</v>
      </c>
      <c r="AI423">
        <f t="shared" si="47"/>
        <v>2</v>
      </c>
      <c r="AJ423" t="e">
        <f t="shared" si="44"/>
        <v>#N/A</v>
      </c>
      <c r="AK423">
        <f t="shared" si="48"/>
        <v>3</v>
      </c>
      <c r="AL423" t="e">
        <f t="shared" si="45"/>
        <v>#N/A</v>
      </c>
      <c r="AM423">
        <f t="shared" si="49"/>
        <v>4</v>
      </c>
      <c r="AN423" t="e">
        <f t="shared" si="46"/>
        <v>#N/A</v>
      </c>
    </row>
    <row r="424" spans="12:40" x14ac:dyDescent="0.25">
      <c r="L424">
        <v>421</v>
      </c>
      <c r="M424">
        <v>16.1175</v>
      </c>
      <c r="N424">
        <v>15.116875</v>
      </c>
      <c r="O424">
        <v>14.569208333333336</v>
      </c>
      <c r="P424">
        <v>14.378187499999999</v>
      </c>
      <c r="AG424">
        <v>1</v>
      </c>
      <c r="AH424" t="e">
        <f t="shared" si="43"/>
        <v>#N/A</v>
      </c>
      <c r="AI424">
        <f t="shared" si="47"/>
        <v>2</v>
      </c>
      <c r="AJ424" t="e">
        <f t="shared" si="44"/>
        <v>#N/A</v>
      </c>
      <c r="AK424">
        <f t="shared" si="48"/>
        <v>3</v>
      </c>
      <c r="AL424" t="e">
        <f t="shared" si="45"/>
        <v>#N/A</v>
      </c>
      <c r="AM424">
        <f t="shared" si="49"/>
        <v>4</v>
      </c>
      <c r="AN424" t="e">
        <f t="shared" si="46"/>
        <v>#N/A</v>
      </c>
    </row>
    <row r="425" spans="12:40" x14ac:dyDescent="0.25">
      <c r="L425">
        <v>422</v>
      </c>
      <c r="M425">
        <v>12.7675</v>
      </c>
      <c r="N425">
        <v>14.400625</v>
      </c>
      <c r="O425">
        <v>14.142402777777779</v>
      </c>
      <c r="P425">
        <v>14.405152777777777</v>
      </c>
      <c r="AG425">
        <v>1</v>
      </c>
      <c r="AH425" t="e">
        <f t="shared" si="43"/>
        <v>#N/A</v>
      </c>
      <c r="AI425">
        <f t="shared" si="47"/>
        <v>2</v>
      </c>
      <c r="AJ425" t="e">
        <f t="shared" si="44"/>
        <v>#N/A</v>
      </c>
      <c r="AK425">
        <f t="shared" si="48"/>
        <v>3</v>
      </c>
      <c r="AL425" t="e">
        <f t="shared" si="45"/>
        <v>#N/A</v>
      </c>
      <c r="AM425">
        <f t="shared" si="49"/>
        <v>4</v>
      </c>
      <c r="AN425" t="e">
        <f t="shared" si="46"/>
        <v>#N/A</v>
      </c>
    </row>
    <row r="426" spans="12:40" x14ac:dyDescent="0.25">
      <c r="L426">
        <v>423</v>
      </c>
      <c r="M426">
        <v>14.28375</v>
      </c>
      <c r="N426">
        <v>14.233124999999999</v>
      </c>
      <c r="O426">
        <v>13.258097222222222</v>
      </c>
      <c r="P426">
        <v>13.841145833333336</v>
      </c>
      <c r="AG426">
        <v>1</v>
      </c>
      <c r="AH426" t="e">
        <f t="shared" si="43"/>
        <v>#N/A</v>
      </c>
      <c r="AI426">
        <f t="shared" si="47"/>
        <v>2</v>
      </c>
      <c r="AJ426" t="e">
        <f t="shared" si="44"/>
        <v>#N/A</v>
      </c>
      <c r="AK426">
        <f t="shared" si="48"/>
        <v>3</v>
      </c>
      <c r="AL426" t="e">
        <f t="shared" si="45"/>
        <v>#N/A</v>
      </c>
      <c r="AM426">
        <f t="shared" si="49"/>
        <v>4</v>
      </c>
      <c r="AN426" t="e">
        <f t="shared" si="46"/>
        <v>#N/A</v>
      </c>
    </row>
    <row r="427" spans="12:40" x14ac:dyDescent="0.25">
      <c r="L427">
        <v>424</v>
      </c>
      <c r="M427">
        <v>16.83625</v>
      </c>
      <c r="N427">
        <v>16.419374999999999</v>
      </c>
      <c r="O427">
        <v>15.075847222222221</v>
      </c>
      <c r="P427">
        <v>13.850819444444443</v>
      </c>
      <c r="AG427">
        <v>1</v>
      </c>
      <c r="AH427" t="e">
        <f t="shared" si="43"/>
        <v>#N/A</v>
      </c>
      <c r="AI427">
        <f t="shared" si="47"/>
        <v>2</v>
      </c>
      <c r="AJ427">
        <f t="shared" si="44"/>
        <v>16.419374999999999</v>
      </c>
      <c r="AK427">
        <f t="shared" si="48"/>
        <v>3</v>
      </c>
      <c r="AL427" t="e">
        <f t="shared" si="45"/>
        <v>#N/A</v>
      </c>
      <c r="AM427">
        <f t="shared" si="49"/>
        <v>4</v>
      </c>
      <c r="AN427" t="e">
        <f t="shared" si="46"/>
        <v>#N/A</v>
      </c>
    </row>
    <row r="428" spans="12:40" x14ac:dyDescent="0.25">
      <c r="L428">
        <v>425</v>
      </c>
      <c r="M428">
        <v>13.78875</v>
      </c>
      <c r="N428">
        <v>14.194375000000001</v>
      </c>
      <c r="O428">
        <v>13.987041666666665</v>
      </c>
      <c r="P428">
        <v>13.925652777777778</v>
      </c>
      <c r="AG428">
        <v>1</v>
      </c>
      <c r="AH428" t="e">
        <f t="shared" si="43"/>
        <v>#N/A</v>
      </c>
      <c r="AI428">
        <f t="shared" si="47"/>
        <v>2</v>
      </c>
      <c r="AJ428" t="e">
        <f t="shared" si="44"/>
        <v>#N/A</v>
      </c>
      <c r="AK428">
        <f t="shared" si="48"/>
        <v>3</v>
      </c>
      <c r="AL428" t="e">
        <f t="shared" si="45"/>
        <v>#N/A</v>
      </c>
      <c r="AM428">
        <f t="shared" si="49"/>
        <v>4</v>
      </c>
      <c r="AN428" t="e">
        <f t="shared" si="46"/>
        <v>#N/A</v>
      </c>
    </row>
    <row r="429" spans="12:40" x14ac:dyDescent="0.25">
      <c r="L429">
        <v>426</v>
      </c>
      <c r="M429">
        <v>12.295</v>
      </c>
      <c r="N429">
        <v>12.865625</v>
      </c>
      <c r="O429">
        <v>13.358236111111111</v>
      </c>
      <c r="P429">
        <v>13.260256944444443</v>
      </c>
      <c r="AG429">
        <v>1</v>
      </c>
      <c r="AH429" t="e">
        <f t="shared" si="43"/>
        <v>#N/A</v>
      </c>
      <c r="AI429">
        <f t="shared" si="47"/>
        <v>2</v>
      </c>
      <c r="AJ429" t="e">
        <f t="shared" si="44"/>
        <v>#N/A</v>
      </c>
      <c r="AK429">
        <f t="shared" si="48"/>
        <v>3</v>
      </c>
      <c r="AL429" t="e">
        <f t="shared" si="45"/>
        <v>#N/A</v>
      </c>
      <c r="AM429">
        <f t="shared" si="49"/>
        <v>4</v>
      </c>
      <c r="AN429" t="e">
        <f t="shared" si="46"/>
        <v>#N/A</v>
      </c>
    </row>
    <row r="430" spans="12:40" x14ac:dyDescent="0.25">
      <c r="L430">
        <v>427</v>
      </c>
      <c r="M430">
        <v>14.38875</v>
      </c>
      <c r="N430">
        <v>14.176875000000001</v>
      </c>
      <c r="O430">
        <v>13.744041666666668</v>
      </c>
      <c r="P430">
        <v>14.018152777777777</v>
      </c>
      <c r="AG430">
        <v>1</v>
      </c>
      <c r="AH430" t="e">
        <f t="shared" si="43"/>
        <v>#N/A</v>
      </c>
      <c r="AI430">
        <f t="shared" si="47"/>
        <v>2</v>
      </c>
      <c r="AJ430" t="e">
        <f t="shared" si="44"/>
        <v>#N/A</v>
      </c>
      <c r="AK430">
        <f t="shared" si="48"/>
        <v>3</v>
      </c>
      <c r="AL430" t="e">
        <f t="shared" si="45"/>
        <v>#N/A</v>
      </c>
      <c r="AM430">
        <f t="shared" si="49"/>
        <v>4</v>
      </c>
      <c r="AN430" t="e">
        <f t="shared" si="46"/>
        <v>#N/A</v>
      </c>
    </row>
    <row r="431" spans="12:40" x14ac:dyDescent="0.25">
      <c r="L431">
        <v>428</v>
      </c>
      <c r="M431">
        <v>12.23625</v>
      </c>
      <c r="N431">
        <v>14.005625</v>
      </c>
      <c r="O431">
        <v>13.538763888888887</v>
      </c>
      <c r="P431">
        <v>13.40446527777778</v>
      </c>
      <c r="AG431">
        <v>1</v>
      </c>
      <c r="AH431" t="e">
        <f t="shared" si="43"/>
        <v>#N/A</v>
      </c>
      <c r="AI431">
        <f t="shared" si="47"/>
        <v>2</v>
      </c>
      <c r="AJ431" t="e">
        <f t="shared" si="44"/>
        <v>#N/A</v>
      </c>
      <c r="AK431">
        <f t="shared" si="48"/>
        <v>3</v>
      </c>
      <c r="AL431" t="e">
        <f t="shared" si="45"/>
        <v>#N/A</v>
      </c>
      <c r="AM431">
        <f t="shared" si="49"/>
        <v>4</v>
      </c>
      <c r="AN431" t="e">
        <f t="shared" si="46"/>
        <v>#N/A</v>
      </c>
    </row>
    <row r="432" spans="12:40" x14ac:dyDescent="0.25">
      <c r="L432">
        <v>429</v>
      </c>
      <c r="M432">
        <v>15.37</v>
      </c>
      <c r="N432">
        <v>15.397500000000001</v>
      </c>
      <c r="O432">
        <v>14.738361111111113</v>
      </c>
      <c r="P432">
        <v>14.66588888888889</v>
      </c>
      <c r="AG432">
        <v>1</v>
      </c>
      <c r="AH432" t="e">
        <f t="shared" si="43"/>
        <v>#N/A</v>
      </c>
      <c r="AI432">
        <f t="shared" si="47"/>
        <v>2</v>
      </c>
      <c r="AJ432" t="e">
        <f t="shared" si="44"/>
        <v>#N/A</v>
      </c>
      <c r="AK432">
        <f t="shared" si="48"/>
        <v>3</v>
      </c>
      <c r="AL432" t="e">
        <f t="shared" si="45"/>
        <v>#N/A</v>
      </c>
      <c r="AM432">
        <f t="shared" si="49"/>
        <v>4</v>
      </c>
      <c r="AN432" t="e">
        <f t="shared" si="46"/>
        <v>#N/A</v>
      </c>
    </row>
    <row r="433" spans="12:40" x14ac:dyDescent="0.25">
      <c r="L433">
        <v>430</v>
      </c>
      <c r="M433">
        <v>13.78</v>
      </c>
      <c r="N433">
        <v>13.096875000000001</v>
      </c>
      <c r="O433">
        <v>12.952194444444444</v>
      </c>
      <c r="P433">
        <v>13.372</v>
      </c>
      <c r="AG433">
        <v>1</v>
      </c>
      <c r="AH433" t="e">
        <f t="shared" si="43"/>
        <v>#N/A</v>
      </c>
      <c r="AI433">
        <f t="shared" si="47"/>
        <v>2</v>
      </c>
      <c r="AJ433" t="e">
        <f t="shared" si="44"/>
        <v>#N/A</v>
      </c>
      <c r="AK433">
        <f t="shared" si="48"/>
        <v>3</v>
      </c>
      <c r="AL433" t="e">
        <f t="shared" si="45"/>
        <v>#N/A</v>
      </c>
      <c r="AM433">
        <f t="shared" si="49"/>
        <v>4</v>
      </c>
      <c r="AN433" t="e">
        <f t="shared" si="46"/>
        <v>#N/A</v>
      </c>
    </row>
    <row r="434" spans="12:40" x14ac:dyDescent="0.25">
      <c r="L434">
        <v>431</v>
      </c>
      <c r="M434">
        <v>12.505000000000001</v>
      </c>
      <c r="N434">
        <v>13.731875</v>
      </c>
      <c r="O434">
        <v>14.191208333333332</v>
      </c>
      <c r="P434">
        <v>14.184736111111112</v>
      </c>
      <c r="AG434">
        <v>1</v>
      </c>
      <c r="AH434" t="e">
        <f t="shared" si="43"/>
        <v>#N/A</v>
      </c>
      <c r="AI434">
        <f t="shared" si="47"/>
        <v>2</v>
      </c>
      <c r="AJ434" t="e">
        <f t="shared" si="44"/>
        <v>#N/A</v>
      </c>
      <c r="AK434">
        <f t="shared" si="48"/>
        <v>3</v>
      </c>
      <c r="AL434" t="e">
        <f t="shared" si="45"/>
        <v>#N/A</v>
      </c>
      <c r="AM434">
        <f t="shared" si="49"/>
        <v>4</v>
      </c>
      <c r="AN434" t="e">
        <f t="shared" si="46"/>
        <v>#N/A</v>
      </c>
    </row>
    <row r="435" spans="12:40" x14ac:dyDescent="0.25">
      <c r="L435">
        <v>432</v>
      </c>
      <c r="M435">
        <v>12.28375</v>
      </c>
      <c r="N435">
        <v>13.4175</v>
      </c>
      <c r="O435">
        <v>13.908611111111108</v>
      </c>
      <c r="P435">
        <v>14.393277777777778</v>
      </c>
      <c r="AG435">
        <v>1</v>
      </c>
      <c r="AH435" t="e">
        <f t="shared" si="43"/>
        <v>#N/A</v>
      </c>
      <c r="AI435">
        <f t="shared" si="47"/>
        <v>2</v>
      </c>
      <c r="AJ435" t="e">
        <f t="shared" si="44"/>
        <v>#N/A</v>
      </c>
      <c r="AK435">
        <f t="shared" si="48"/>
        <v>3</v>
      </c>
      <c r="AL435" t="e">
        <f t="shared" si="45"/>
        <v>#N/A</v>
      </c>
      <c r="AM435">
        <f t="shared" si="49"/>
        <v>4</v>
      </c>
      <c r="AN435" t="e">
        <f t="shared" si="46"/>
        <v>#N/A</v>
      </c>
    </row>
    <row r="436" spans="12:40" x14ac:dyDescent="0.25">
      <c r="L436">
        <v>433</v>
      </c>
      <c r="M436">
        <v>14.01</v>
      </c>
      <c r="N436">
        <v>14.16375</v>
      </c>
      <c r="O436">
        <v>13.816749999999999</v>
      </c>
      <c r="P436">
        <v>13.669173611111113</v>
      </c>
      <c r="AG436">
        <v>1</v>
      </c>
      <c r="AH436" t="e">
        <f t="shared" si="43"/>
        <v>#N/A</v>
      </c>
      <c r="AI436">
        <f t="shared" si="47"/>
        <v>2</v>
      </c>
      <c r="AJ436" t="e">
        <f t="shared" si="44"/>
        <v>#N/A</v>
      </c>
      <c r="AK436">
        <f t="shared" si="48"/>
        <v>3</v>
      </c>
      <c r="AL436" t="e">
        <f t="shared" si="45"/>
        <v>#N/A</v>
      </c>
      <c r="AM436">
        <f t="shared" si="49"/>
        <v>4</v>
      </c>
      <c r="AN436" t="e">
        <f t="shared" si="46"/>
        <v>#N/A</v>
      </c>
    </row>
    <row r="437" spans="12:40" x14ac:dyDescent="0.25">
      <c r="L437">
        <v>434</v>
      </c>
      <c r="M437">
        <v>14.768750000000001</v>
      </c>
      <c r="N437">
        <v>13.829375000000001</v>
      </c>
      <c r="O437">
        <v>14.568555555555555</v>
      </c>
      <c r="P437">
        <v>14.021638888888891</v>
      </c>
      <c r="AG437">
        <v>1</v>
      </c>
      <c r="AH437" t="e">
        <f t="shared" si="43"/>
        <v>#N/A</v>
      </c>
      <c r="AI437">
        <f t="shared" si="47"/>
        <v>2</v>
      </c>
      <c r="AJ437" t="e">
        <f t="shared" si="44"/>
        <v>#N/A</v>
      </c>
      <c r="AK437">
        <f t="shared" si="48"/>
        <v>3</v>
      </c>
      <c r="AL437" t="e">
        <f t="shared" si="45"/>
        <v>#N/A</v>
      </c>
      <c r="AM437">
        <f t="shared" si="49"/>
        <v>4</v>
      </c>
      <c r="AN437" t="e">
        <f t="shared" si="46"/>
        <v>#N/A</v>
      </c>
    </row>
    <row r="438" spans="12:40" x14ac:dyDescent="0.25">
      <c r="L438">
        <v>435</v>
      </c>
      <c r="M438">
        <v>14.64625</v>
      </c>
      <c r="N438">
        <v>14.434374999999999</v>
      </c>
      <c r="O438">
        <v>13.684694444444444</v>
      </c>
      <c r="P438">
        <v>14.026868055555555</v>
      </c>
      <c r="AG438">
        <v>1</v>
      </c>
      <c r="AH438" t="e">
        <f t="shared" si="43"/>
        <v>#N/A</v>
      </c>
      <c r="AI438">
        <f t="shared" si="47"/>
        <v>2</v>
      </c>
      <c r="AJ438" t="e">
        <f t="shared" si="44"/>
        <v>#N/A</v>
      </c>
      <c r="AK438">
        <f t="shared" si="48"/>
        <v>3</v>
      </c>
      <c r="AL438" t="e">
        <f t="shared" si="45"/>
        <v>#N/A</v>
      </c>
      <c r="AM438">
        <f t="shared" si="49"/>
        <v>4</v>
      </c>
      <c r="AN438" t="e">
        <f t="shared" si="46"/>
        <v>#N/A</v>
      </c>
    </row>
    <row r="439" spans="12:40" x14ac:dyDescent="0.25">
      <c r="L439">
        <v>436</v>
      </c>
      <c r="M439">
        <v>15.1775</v>
      </c>
      <c r="N439">
        <v>14.69875</v>
      </c>
      <c r="O439">
        <v>14.117166666666664</v>
      </c>
      <c r="P439">
        <v>13.667347222222222</v>
      </c>
      <c r="AG439">
        <v>1</v>
      </c>
      <c r="AH439" t="e">
        <f t="shared" si="43"/>
        <v>#N/A</v>
      </c>
      <c r="AI439">
        <f t="shared" si="47"/>
        <v>2</v>
      </c>
      <c r="AJ439" t="e">
        <f t="shared" si="44"/>
        <v>#N/A</v>
      </c>
      <c r="AK439">
        <f t="shared" si="48"/>
        <v>3</v>
      </c>
      <c r="AL439" t="e">
        <f t="shared" si="45"/>
        <v>#N/A</v>
      </c>
      <c r="AM439">
        <f t="shared" si="49"/>
        <v>4</v>
      </c>
      <c r="AN439" t="e">
        <f t="shared" si="46"/>
        <v>#N/A</v>
      </c>
    </row>
    <row r="440" spans="12:40" x14ac:dyDescent="0.25">
      <c r="L440">
        <v>437</v>
      </c>
      <c r="M440">
        <v>12.765000000000001</v>
      </c>
      <c r="N440">
        <v>13.465</v>
      </c>
      <c r="O440">
        <v>13.737527777777778</v>
      </c>
      <c r="P440">
        <v>14.052423611111109</v>
      </c>
      <c r="AG440">
        <v>1</v>
      </c>
      <c r="AH440" t="e">
        <f t="shared" si="43"/>
        <v>#N/A</v>
      </c>
      <c r="AI440">
        <f t="shared" si="47"/>
        <v>2</v>
      </c>
      <c r="AJ440" t="e">
        <f t="shared" si="44"/>
        <v>#N/A</v>
      </c>
      <c r="AK440">
        <f t="shared" si="48"/>
        <v>3</v>
      </c>
      <c r="AL440" t="e">
        <f t="shared" si="45"/>
        <v>#N/A</v>
      </c>
      <c r="AM440">
        <f t="shared" si="49"/>
        <v>4</v>
      </c>
      <c r="AN440" t="e">
        <f t="shared" si="46"/>
        <v>#N/A</v>
      </c>
    </row>
    <row r="441" spans="12:40" x14ac:dyDescent="0.25">
      <c r="L441">
        <v>438</v>
      </c>
      <c r="M441">
        <v>13.70875</v>
      </c>
      <c r="N441">
        <v>13.473125</v>
      </c>
      <c r="O441">
        <v>13.297375000000002</v>
      </c>
      <c r="P441">
        <v>13.473326388888887</v>
      </c>
      <c r="AG441">
        <v>1</v>
      </c>
      <c r="AH441" t="e">
        <f t="shared" si="43"/>
        <v>#N/A</v>
      </c>
      <c r="AI441">
        <f t="shared" si="47"/>
        <v>2</v>
      </c>
      <c r="AJ441" t="e">
        <f t="shared" si="44"/>
        <v>#N/A</v>
      </c>
      <c r="AK441">
        <f t="shared" si="48"/>
        <v>3</v>
      </c>
      <c r="AL441" t="e">
        <f t="shared" si="45"/>
        <v>#N/A</v>
      </c>
      <c r="AM441">
        <f t="shared" si="49"/>
        <v>4</v>
      </c>
      <c r="AN441" t="e">
        <f t="shared" si="46"/>
        <v>#N/A</v>
      </c>
    </row>
    <row r="442" spans="12:40" x14ac:dyDescent="0.25">
      <c r="L442">
        <v>439</v>
      </c>
      <c r="M442">
        <v>15.717499999999999</v>
      </c>
      <c r="N442">
        <v>14.464375</v>
      </c>
      <c r="O442">
        <v>14.648833333333332</v>
      </c>
      <c r="P442">
        <v>14.251416666666664</v>
      </c>
      <c r="AG442">
        <v>1</v>
      </c>
      <c r="AH442" t="e">
        <f t="shared" si="43"/>
        <v>#N/A</v>
      </c>
      <c r="AI442">
        <f t="shared" si="47"/>
        <v>2</v>
      </c>
      <c r="AJ442" t="e">
        <f t="shared" si="44"/>
        <v>#N/A</v>
      </c>
      <c r="AK442">
        <f t="shared" si="48"/>
        <v>3</v>
      </c>
      <c r="AL442" t="e">
        <f t="shared" si="45"/>
        <v>#N/A</v>
      </c>
      <c r="AM442">
        <f t="shared" si="49"/>
        <v>4</v>
      </c>
      <c r="AN442" t="e">
        <f t="shared" si="46"/>
        <v>#N/A</v>
      </c>
    </row>
    <row r="443" spans="12:40" x14ac:dyDescent="0.25">
      <c r="L443">
        <v>440</v>
      </c>
      <c r="M443">
        <v>15.956250000000001</v>
      </c>
      <c r="N443">
        <v>15.82625</v>
      </c>
      <c r="O443">
        <v>15.131180555555556</v>
      </c>
      <c r="P443">
        <v>14.968083333333334</v>
      </c>
      <c r="AG443">
        <v>1</v>
      </c>
      <c r="AH443" t="e">
        <f t="shared" si="43"/>
        <v>#N/A</v>
      </c>
      <c r="AI443">
        <f t="shared" si="47"/>
        <v>2</v>
      </c>
      <c r="AJ443" t="e">
        <f t="shared" si="44"/>
        <v>#N/A</v>
      </c>
      <c r="AK443">
        <f t="shared" si="48"/>
        <v>3</v>
      </c>
      <c r="AL443" t="e">
        <f t="shared" si="45"/>
        <v>#N/A</v>
      </c>
      <c r="AM443">
        <f t="shared" si="49"/>
        <v>4</v>
      </c>
      <c r="AN443">
        <f t="shared" si="46"/>
        <v>14.968083333333334</v>
      </c>
    </row>
    <row r="444" spans="12:40" x14ac:dyDescent="0.25">
      <c r="L444">
        <v>441</v>
      </c>
      <c r="M444">
        <v>13.72</v>
      </c>
      <c r="N444">
        <v>14.2325</v>
      </c>
      <c r="O444">
        <v>14.515625</v>
      </c>
      <c r="P444">
        <v>14.378041666666668</v>
      </c>
      <c r="AG444">
        <v>1</v>
      </c>
      <c r="AH444" t="e">
        <f t="shared" si="43"/>
        <v>#N/A</v>
      </c>
      <c r="AI444">
        <f t="shared" si="47"/>
        <v>2</v>
      </c>
      <c r="AJ444" t="e">
        <f t="shared" si="44"/>
        <v>#N/A</v>
      </c>
      <c r="AK444">
        <f t="shared" si="48"/>
        <v>3</v>
      </c>
      <c r="AL444" t="e">
        <f t="shared" si="45"/>
        <v>#N/A</v>
      </c>
      <c r="AM444">
        <f t="shared" si="49"/>
        <v>4</v>
      </c>
      <c r="AN444" t="e">
        <f t="shared" si="46"/>
        <v>#N/A</v>
      </c>
    </row>
    <row r="445" spans="12:40" x14ac:dyDescent="0.25">
      <c r="L445">
        <v>442</v>
      </c>
      <c r="M445">
        <v>12.53</v>
      </c>
      <c r="N445">
        <v>13.773125</v>
      </c>
      <c r="O445">
        <v>13.619138888888887</v>
      </c>
      <c r="P445">
        <v>13.847034722222222</v>
      </c>
      <c r="AG445">
        <v>1</v>
      </c>
      <c r="AH445" t="e">
        <f t="shared" si="43"/>
        <v>#N/A</v>
      </c>
      <c r="AI445">
        <f t="shared" si="47"/>
        <v>2</v>
      </c>
      <c r="AJ445" t="e">
        <f t="shared" si="44"/>
        <v>#N/A</v>
      </c>
      <c r="AK445">
        <f t="shared" si="48"/>
        <v>3</v>
      </c>
      <c r="AL445" t="e">
        <f t="shared" si="45"/>
        <v>#N/A</v>
      </c>
      <c r="AM445">
        <f t="shared" si="49"/>
        <v>4</v>
      </c>
      <c r="AN445" t="e">
        <f t="shared" si="46"/>
        <v>#N/A</v>
      </c>
    </row>
    <row r="446" spans="12:40" x14ac:dyDescent="0.25">
      <c r="L446">
        <v>443</v>
      </c>
      <c r="M446">
        <v>14.592499999999999</v>
      </c>
      <c r="N446">
        <v>15.217499999999999</v>
      </c>
      <c r="O446">
        <v>14.363611111111114</v>
      </c>
      <c r="P446">
        <v>14.241604166666669</v>
      </c>
      <c r="AG446">
        <v>1</v>
      </c>
      <c r="AH446" t="e">
        <f t="shared" si="43"/>
        <v>#N/A</v>
      </c>
      <c r="AI446">
        <f t="shared" si="47"/>
        <v>2</v>
      </c>
      <c r="AJ446" t="e">
        <f t="shared" si="44"/>
        <v>#N/A</v>
      </c>
      <c r="AK446">
        <f t="shared" si="48"/>
        <v>3</v>
      </c>
      <c r="AL446" t="e">
        <f t="shared" si="45"/>
        <v>#N/A</v>
      </c>
      <c r="AM446">
        <f t="shared" si="49"/>
        <v>4</v>
      </c>
      <c r="AN446" t="e">
        <f t="shared" si="46"/>
        <v>#N/A</v>
      </c>
    </row>
    <row r="447" spans="12:40" x14ac:dyDescent="0.25">
      <c r="L447">
        <v>444</v>
      </c>
      <c r="M447">
        <v>13.766249999999999</v>
      </c>
      <c r="N447">
        <v>13.34625</v>
      </c>
      <c r="O447">
        <v>13.232569444444444</v>
      </c>
      <c r="P447">
        <v>13.737937500000001</v>
      </c>
      <c r="AG447">
        <v>1</v>
      </c>
      <c r="AH447" t="e">
        <f t="shared" si="43"/>
        <v>#N/A</v>
      </c>
      <c r="AI447">
        <f t="shared" si="47"/>
        <v>2</v>
      </c>
      <c r="AJ447" t="e">
        <f t="shared" si="44"/>
        <v>#N/A</v>
      </c>
      <c r="AK447">
        <f t="shared" si="48"/>
        <v>3</v>
      </c>
      <c r="AL447" t="e">
        <f t="shared" si="45"/>
        <v>#N/A</v>
      </c>
      <c r="AM447">
        <f t="shared" si="49"/>
        <v>4</v>
      </c>
      <c r="AN447" t="e">
        <f t="shared" si="46"/>
        <v>#N/A</v>
      </c>
    </row>
    <row r="448" spans="12:40" x14ac:dyDescent="0.25">
      <c r="L448">
        <v>445</v>
      </c>
      <c r="M448">
        <v>13.44125</v>
      </c>
      <c r="N448">
        <v>13.715</v>
      </c>
      <c r="O448">
        <v>13.353472222222221</v>
      </c>
      <c r="P448">
        <v>13.966583333333332</v>
      </c>
      <c r="AG448">
        <v>1</v>
      </c>
      <c r="AH448" t="e">
        <f t="shared" si="43"/>
        <v>#N/A</v>
      </c>
      <c r="AI448">
        <f t="shared" si="47"/>
        <v>2</v>
      </c>
      <c r="AJ448" t="e">
        <f t="shared" si="44"/>
        <v>#N/A</v>
      </c>
      <c r="AK448">
        <f t="shared" si="48"/>
        <v>3</v>
      </c>
      <c r="AL448" t="e">
        <f t="shared" si="45"/>
        <v>#N/A</v>
      </c>
      <c r="AM448">
        <f t="shared" si="49"/>
        <v>4</v>
      </c>
      <c r="AN448" t="e">
        <f t="shared" si="46"/>
        <v>#N/A</v>
      </c>
    </row>
    <row r="449" spans="12:40" x14ac:dyDescent="0.25">
      <c r="L449">
        <v>446</v>
      </c>
      <c r="M449">
        <v>13.17625</v>
      </c>
      <c r="N449">
        <v>14.2525</v>
      </c>
      <c r="O449">
        <v>13.911888888888889</v>
      </c>
      <c r="P449">
        <v>13.771111111111111</v>
      </c>
      <c r="AG449">
        <v>1</v>
      </c>
      <c r="AH449" t="e">
        <f t="shared" si="43"/>
        <v>#N/A</v>
      </c>
      <c r="AI449">
        <f t="shared" si="47"/>
        <v>2</v>
      </c>
      <c r="AJ449" t="e">
        <f t="shared" si="44"/>
        <v>#N/A</v>
      </c>
      <c r="AK449">
        <f t="shared" si="48"/>
        <v>3</v>
      </c>
      <c r="AL449" t="e">
        <f t="shared" si="45"/>
        <v>#N/A</v>
      </c>
      <c r="AM449">
        <f t="shared" si="49"/>
        <v>4</v>
      </c>
      <c r="AN449" t="e">
        <f t="shared" si="46"/>
        <v>#N/A</v>
      </c>
    </row>
    <row r="450" spans="12:40" x14ac:dyDescent="0.25">
      <c r="L450">
        <v>447</v>
      </c>
      <c r="M450">
        <v>13.26</v>
      </c>
      <c r="N450">
        <v>13.471875000000001</v>
      </c>
      <c r="O450">
        <v>13.606958333333335</v>
      </c>
      <c r="P450">
        <v>13.658569444444442</v>
      </c>
      <c r="AG450">
        <v>1</v>
      </c>
      <c r="AH450" t="e">
        <f t="shared" si="43"/>
        <v>#N/A</v>
      </c>
      <c r="AI450">
        <f t="shared" si="47"/>
        <v>2</v>
      </c>
      <c r="AJ450" t="e">
        <f t="shared" si="44"/>
        <v>#N/A</v>
      </c>
      <c r="AK450">
        <f t="shared" si="48"/>
        <v>3</v>
      </c>
      <c r="AL450" t="e">
        <f t="shared" si="45"/>
        <v>#N/A</v>
      </c>
      <c r="AM450">
        <f t="shared" si="49"/>
        <v>4</v>
      </c>
      <c r="AN450" t="e">
        <f t="shared" si="46"/>
        <v>#N/A</v>
      </c>
    </row>
    <row r="451" spans="12:40" x14ac:dyDescent="0.25">
      <c r="L451">
        <v>448</v>
      </c>
      <c r="M451">
        <v>14.327500000000001</v>
      </c>
      <c r="N451">
        <v>14.385624999999999</v>
      </c>
      <c r="O451">
        <v>14.182986111111111</v>
      </c>
      <c r="P451">
        <v>14.193423611111111</v>
      </c>
      <c r="AG451">
        <v>1</v>
      </c>
      <c r="AH451" t="e">
        <f t="shared" si="43"/>
        <v>#N/A</v>
      </c>
      <c r="AI451">
        <f t="shared" si="47"/>
        <v>2</v>
      </c>
      <c r="AJ451" t="e">
        <f t="shared" si="44"/>
        <v>#N/A</v>
      </c>
      <c r="AK451">
        <f t="shared" si="48"/>
        <v>3</v>
      </c>
      <c r="AL451" t="e">
        <f t="shared" si="45"/>
        <v>#N/A</v>
      </c>
      <c r="AM451">
        <f t="shared" si="49"/>
        <v>4</v>
      </c>
      <c r="AN451" t="e">
        <f t="shared" si="46"/>
        <v>#N/A</v>
      </c>
    </row>
    <row r="452" spans="12:40" x14ac:dyDescent="0.25">
      <c r="L452">
        <v>449</v>
      </c>
      <c r="M452">
        <v>16.296250000000001</v>
      </c>
      <c r="N452">
        <v>15.018750000000001</v>
      </c>
      <c r="O452">
        <v>14.692263888888888</v>
      </c>
      <c r="P452">
        <v>14.230215277777779</v>
      </c>
      <c r="AG452">
        <v>1</v>
      </c>
      <c r="AH452" t="e">
        <f t="shared" ref="AH452:AH515" si="50">IF(OR(M452&lt;S$3,M452&gt;S$7),M452,#N/A)</f>
        <v>#N/A</v>
      </c>
      <c r="AI452">
        <f t="shared" si="47"/>
        <v>2</v>
      </c>
      <c r="AJ452" t="e">
        <f t="shared" ref="AJ452:AJ515" si="51">IF(OR(N452&lt;T$3,N452&gt;T$7),N452,#N/A)</f>
        <v>#N/A</v>
      </c>
      <c r="AK452">
        <f t="shared" si="48"/>
        <v>3</v>
      </c>
      <c r="AL452" t="e">
        <f t="shared" ref="AL452:AL515" si="52">IF(OR(O452&lt;U$3,O452&gt;U$7),O452,#N/A)</f>
        <v>#N/A</v>
      </c>
      <c r="AM452">
        <f t="shared" si="49"/>
        <v>4</v>
      </c>
      <c r="AN452" t="e">
        <f t="shared" ref="AN452:AN515" si="53">IF(OR(P452&lt;V$3,P452&gt;V$7),P452,#N/A)</f>
        <v>#N/A</v>
      </c>
    </row>
    <row r="453" spans="12:40" x14ac:dyDescent="0.25">
      <c r="L453">
        <v>450</v>
      </c>
      <c r="M453">
        <v>15.19125</v>
      </c>
      <c r="N453">
        <v>14.282500000000001</v>
      </c>
      <c r="O453">
        <v>14.783722222222222</v>
      </c>
      <c r="P453">
        <v>14.428694444444442</v>
      </c>
      <c r="AG453">
        <v>1</v>
      </c>
      <c r="AH453" t="e">
        <f t="shared" si="50"/>
        <v>#N/A</v>
      </c>
      <c r="AI453">
        <f t="shared" ref="AI453:AI516" si="54">AG453+1</f>
        <v>2</v>
      </c>
      <c r="AJ453" t="e">
        <f t="shared" si="51"/>
        <v>#N/A</v>
      </c>
      <c r="AK453">
        <f t="shared" ref="AK453:AK516" si="55">AI453+1</f>
        <v>3</v>
      </c>
      <c r="AL453" t="e">
        <f t="shared" si="52"/>
        <v>#N/A</v>
      </c>
      <c r="AM453">
        <f t="shared" ref="AM453:AM516" si="56">AK453+1</f>
        <v>4</v>
      </c>
      <c r="AN453" t="e">
        <f t="shared" si="53"/>
        <v>#N/A</v>
      </c>
    </row>
    <row r="454" spans="12:40" x14ac:dyDescent="0.25">
      <c r="L454">
        <v>451</v>
      </c>
      <c r="M454">
        <v>11.84125</v>
      </c>
      <c r="N454">
        <v>12.975</v>
      </c>
      <c r="O454">
        <v>13.657569444444443</v>
      </c>
      <c r="P454">
        <v>14.178763888888888</v>
      </c>
      <c r="AG454">
        <v>1</v>
      </c>
      <c r="AH454" t="e">
        <f t="shared" si="50"/>
        <v>#N/A</v>
      </c>
      <c r="AI454">
        <f t="shared" si="54"/>
        <v>2</v>
      </c>
      <c r="AJ454" t="e">
        <f t="shared" si="51"/>
        <v>#N/A</v>
      </c>
      <c r="AK454">
        <f t="shared" si="55"/>
        <v>3</v>
      </c>
      <c r="AL454" t="e">
        <f t="shared" si="52"/>
        <v>#N/A</v>
      </c>
      <c r="AM454">
        <f t="shared" si="56"/>
        <v>4</v>
      </c>
      <c r="AN454" t="e">
        <f t="shared" si="53"/>
        <v>#N/A</v>
      </c>
    </row>
    <row r="455" spans="12:40" x14ac:dyDescent="0.25">
      <c r="L455">
        <v>452</v>
      </c>
      <c r="M455">
        <v>13.00625</v>
      </c>
      <c r="N455">
        <v>13.785</v>
      </c>
      <c r="O455">
        <v>13.532375</v>
      </c>
      <c r="P455">
        <v>13.709256944444444</v>
      </c>
      <c r="AG455">
        <v>1</v>
      </c>
      <c r="AH455" t="e">
        <f t="shared" si="50"/>
        <v>#N/A</v>
      </c>
      <c r="AI455">
        <f t="shared" si="54"/>
        <v>2</v>
      </c>
      <c r="AJ455" t="e">
        <f t="shared" si="51"/>
        <v>#N/A</v>
      </c>
      <c r="AK455">
        <f t="shared" si="55"/>
        <v>3</v>
      </c>
      <c r="AL455" t="e">
        <f t="shared" si="52"/>
        <v>#N/A</v>
      </c>
      <c r="AM455">
        <f t="shared" si="56"/>
        <v>4</v>
      </c>
      <c r="AN455" t="e">
        <f t="shared" si="53"/>
        <v>#N/A</v>
      </c>
    </row>
    <row r="456" spans="12:40" x14ac:dyDescent="0.25">
      <c r="L456">
        <v>453</v>
      </c>
      <c r="M456">
        <v>17.4025</v>
      </c>
      <c r="N456">
        <v>15.90625</v>
      </c>
      <c r="O456">
        <v>14.187527777777778</v>
      </c>
      <c r="P456">
        <v>13.871208333333334</v>
      </c>
      <c r="AG456">
        <v>1</v>
      </c>
      <c r="AH456">
        <f t="shared" si="50"/>
        <v>17.4025</v>
      </c>
      <c r="AI456">
        <f t="shared" si="54"/>
        <v>2</v>
      </c>
      <c r="AJ456" t="e">
        <f t="shared" si="51"/>
        <v>#N/A</v>
      </c>
      <c r="AK456">
        <f t="shared" si="55"/>
        <v>3</v>
      </c>
      <c r="AL456" t="e">
        <f t="shared" si="52"/>
        <v>#N/A</v>
      </c>
      <c r="AM456">
        <f t="shared" si="56"/>
        <v>4</v>
      </c>
      <c r="AN456" t="e">
        <f t="shared" si="53"/>
        <v>#N/A</v>
      </c>
    </row>
    <row r="457" spans="12:40" x14ac:dyDescent="0.25">
      <c r="L457">
        <v>454</v>
      </c>
      <c r="M457">
        <v>13.641249999999999</v>
      </c>
      <c r="N457">
        <v>13.931875</v>
      </c>
      <c r="O457">
        <v>13.914680555555556</v>
      </c>
      <c r="P457">
        <v>13.630708333333335</v>
      </c>
      <c r="AG457">
        <v>1</v>
      </c>
      <c r="AH457" t="e">
        <f t="shared" si="50"/>
        <v>#N/A</v>
      </c>
      <c r="AI457">
        <f t="shared" si="54"/>
        <v>2</v>
      </c>
      <c r="AJ457" t="e">
        <f t="shared" si="51"/>
        <v>#N/A</v>
      </c>
      <c r="AK457">
        <f t="shared" si="55"/>
        <v>3</v>
      </c>
      <c r="AL457" t="e">
        <f t="shared" si="52"/>
        <v>#N/A</v>
      </c>
      <c r="AM457">
        <f t="shared" si="56"/>
        <v>4</v>
      </c>
      <c r="AN457" t="e">
        <f t="shared" si="53"/>
        <v>#N/A</v>
      </c>
    </row>
    <row r="458" spans="12:40" x14ac:dyDescent="0.25">
      <c r="L458">
        <v>455</v>
      </c>
      <c r="M458">
        <v>13.82625</v>
      </c>
      <c r="N458">
        <v>14.960625</v>
      </c>
      <c r="O458">
        <v>14.550583333333334</v>
      </c>
      <c r="P458">
        <v>14.369944444444442</v>
      </c>
      <c r="AG458">
        <v>1</v>
      </c>
      <c r="AH458" t="e">
        <f t="shared" si="50"/>
        <v>#N/A</v>
      </c>
      <c r="AI458">
        <f t="shared" si="54"/>
        <v>2</v>
      </c>
      <c r="AJ458" t="e">
        <f t="shared" si="51"/>
        <v>#N/A</v>
      </c>
      <c r="AK458">
        <f t="shared" si="55"/>
        <v>3</v>
      </c>
      <c r="AL458" t="e">
        <f t="shared" si="52"/>
        <v>#N/A</v>
      </c>
      <c r="AM458">
        <f t="shared" si="56"/>
        <v>4</v>
      </c>
      <c r="AN458" t="e">
        <f t="shared" si="53"/>
        <v>#N/A</v>
      </c>
    </row>
    <row r="459" spans="12:40" x14ac:dyDescent="0.25">
      <c r="L459">
        <v>456</v>
      </c>
      <c r="M459">
        <v>13.99375</v>
      </c>
      <c r="N459">
        <v>13.631875000000001</v>
      </c>
      <c r="O459">
        <v>13.696194444444442</v>
      </c>
      <c r="P459">
        <v>13.736243055555555</v>
      </c>
      <c r="AG459">
        <v>1</v>
      </c>
      <c r="AH459" t="e">
        <f t="shared" si="50"/>
        <v>#N/A</v>
      </c>
      <c r="AI459">
        <f t="shared" si="54"/>
        <v>2</v>
      </c>
      <c r="AJ459" t="e">
        <f t="shared" si="51"/>
        <v>#N/A</v>
      </c>
      <c r="AK459">
        <f t="shared" si="55"/>
        <v>3</v>
      </c>
      <c r="AL459" t="e">
        <f t="shared" si="52"/>
        <v>#N/A</v>
      </c>
      <c r="AM459">
        <f t="shared" si="56"/>
        <v>4</v>
      </c>
      <c r="AN459" t="e">
        <f t="shared" si="53"/>
        <v>#N/A</v>
      </c>
    </row>
    <row r="460" spans="12:40" x14ac:dyDescent="0.25">
      <c r="L460">
        <v>457</v>
      </c>
      <c r="M460">
        <v>15.491250000000001</v>
      </c>
      <c r="N460">
        <v>14.480625</v>
      </c>
      <c r="O460">
        <v>14.049402777777777</v>
      </c>
      <c r="P460">
        <v>13.922590277777779</v>
      </c>
      <c r="AG460">
        <v>1</v>
      </c>
      <c r="AH460" t="e">
        <f t="shared" si="50"/>
        <v>#N/A</v>
      </c>
      <c r="AI460">
        <f t="shared" si="54"/>
        <v>2</v>
      </c>
      <c r="AJ460" t="e">
        <f t="shared" si="51"/>
        <v>#N/A</v>
      </c>
      <c r="AK460">
        <f t="shared" si="55"/>
        <v>3</v>
      </c>
      <c r="AL460" t="e">
        <f t="shared" si="52"/>
        <v>#N/A</v>
      </c>
      <c r="AM460">
        <f t="shared" si="56"/>
        <v>4</v>
      </c>
      <c r="AN460" t="e">
        <f t="shared" si="53"/>
        <v>#N/A</v>
      </c>
    </row>
    <row r="461" spans="12:40" x14ac:dyDescent="0.25">
      <c r="L461">
        <v>458</v>
      </c>
      <c r="M461">
        <v>13.2125</v>
      </c>
      <c r="N461">
        <v>14.104374999999999</v>
      </c>
      <c r="O461">
        <v>13.442611111111113</v>
      </c>
      <c r="P461">
        <v>14.129972222222223</v>
      </c>
      <c r="AG461">
        <v>1</v>
      </c>
      <c r="AH461" t="e">
        <f t="shared" si="50"/>
        <v>#N/A</v>
      </c>
      <c r="AI461">
        <f t="shared" si="54"/>
        <v>2</v>
      </c>
      <c r="AJ461" t="e">
        <f t="shared" si="51"/>
        <v>#N/A</v>
      </c>
      <c r="AK461">
        <f t="shared" si="55"/>
        <v>3</v>
      </c>
      <c r="AL461" t="e">
        <f t="shared" si="52"/>
        <v>#N/A</v>
      </c>
      <c r="AM461">
        <f t="shared" si="56"/>
        <v>4</v>
      </c>
      <c r="AN461" t="e">
        <f t="shared" si="53"/>
        <v>#N/A</v>
      </c>
    </row>
    <row r="462" spans="12:40" x14ac:dyDescent="0.25">
      <c r="L462">
        <v>459</v>
      </c>
      <c r="M462">
        <v>12.77875</v>
      </c>
      <c r="N462">
        <v>13.024374999999999</v>
      </c>
      <c r="O462">
        <v>14.10138888888889</v>
      </c>
      <c r="P462">
        <v>13.865583333333333</v>
      </c>
      <c r="AG462">
        <v>1</v>
      </c>
      <c r="AH462" t="e">
        <f t="shared" si="50"/>
        <v>#N/A</v>
      </c>
      <c r="AI462">
        <f t="shared" si="54"/>
        <v>2</v>
      </c>
      <c r="AJ462" t="e">
        <f t="shared" si="51"/>
        <v>#N/A</v>
      </c>
      <c r="AK462">
        <f t="shared" si="55"/>
        <v>3</v>
      </c>
      <c r="AL462" t="e">
        <f t="shared" si="52"/>
        <v>#N/A</v>
      </c>
      <c r="AM462">
        <f t="shared" si="56"/>
        <v>4</v>
      </c>
      <c r="AN462" t="e">
        <f t="shared" si="53"/>
        <v>#N/A</v>
      </c>
    </row>
    <row r="463" spans="12:40" x14ac:dyDescent="0.25">
      <c r="L463">
        <v>460</v>
      </c>
      <c r="M463">
        <v>15.0375</v>
      </c>
      <c r="N463">
        <v>14.504375</v>
      </c>
      <c r="O463">
        <v>13.811013888888892</v>
      </c>
      <c r="P463">
        <v>13.600083333333332</v>
      </c>
      <c r="AG463">
        <v>1</v>
      </c>
      <c r="AH463" t="e">
        <f t="shared" si="50"/>
        <v>#N/A</v>
      </c>
      <c r="AI463">
        <f t="shared" si="54"/>
        <v>2</v>
      </c>
      <c r="AJ463" t="e">
        <f t="shared" si="51"/>
        <v>#N/A</v>
      </c>
      <c r="AK463">
        <f t="shared" si="55"/>
        <v>3</v>
      </c>
      <c r="AL463" t="e">
        <f t="shared" si="52"/>
        <v>#N/A</v>
      </c>
      <c r="AM463">
        <f t="shared" si="56"/>
        <v>4</v>
      </c>
      <c r="AN463" t="e">
        <f t="shared" si="53"/>
        <v>#N/A</v>
      </c>
    </row>
    <row r="464" spans="12:40" x14ac:dyDescent="0.25">
      <c r="L464">
        <v>461</v>
      </c>
      <c r="M464">
        <v>13.3375</v>
      </c>
      <c r="N464">
        <v>13.55625</v>
      </c>
      <c r="O464">
        <v>13.884138888888888</v>
      </c>
      <c r="P464">
        <v>13.647972222222222</v>
      </c>
      <c r="AG464">
        <v>1</v>
      </c>
      <c r="AH464" t="e">
        <f t="shared" si="50"/>
        <v>#N/A</v>
      </c>
      <c r="AI464">
        <f t="shared" si="54"/>
        <v>2</v>
      </c>
      <c r="AJ464" t="e">
        <f t="shared" si="51"/>
        <v>#N/A</v>
      </c>
      <c r="AK464">
        <f t="shared" si="55"/>
        <v>3</v>
      </c>
      <c r="AL464" t="e">
        <f t="shared" si="52"/>
        <v>#N/A</v>
      </c>
      <c r="AM464">
        <f t="shared" si="56"/>
        <v>4</v>
      </c>
      <c r="AN464" t="e">
        <f t="shared" si="53"/>
        <v>#N/A</v>
      </c>
    </row>
    <row r="465" spans="12:40" x14ac:dyDescent="0.25">
      <c r="L465">
        <v>462</v>
      </c>
      <c r="M465">
        <v>14.813750000000001</v>
      </c>
      <c r="N465">
        <v>14.704375000000001</v>
      </c>
      <c r="O465">
        <v>13.432486111111114</v>
      </c>
      <c r="P465">
        <v>13.791500000000001</v>
      </c>
      <c r="AG465">
        <v>1</v>
      </c>
      <c r="AH465" t="e">
        <f t="shared" si="50"/>
        <v>#N/A</v>
      </c>
      <c r="AI465">
        <f t="shared" si="54"/>
        <v>2</v>
      </c>
      <c r="AJ465" t="e">
        <f t="shared" si="51"/>
        <v>#N/A</v>
      </c>
      <c r="AK465">
        <f t="shared" si="55"/>
        <v>3</v>
      </c>
      <c r="AL465" t="e">
        <f t="shared" si="52"/>
        <v>#N/A</v>
      </c>
      <c r="AM465">
        <f t="shared" si="56"/>
        <v>4</v>
      </c>
      <c r="AN465" t="e">
        <f t="shared" si="53"/>
        <v>#N/A</v>
      </c>
    </row>
    <row r="466" spans="12:40" x14ac:dyDescent="0.25">
      <c r="L466">
        <v>463</v>
      </c>
      <c r="M466">
        <v>14.85</v>
      </c>
      <c r="N466">
        <v>14.531874999999999</v>
      </c>
      <c r="O466">
        <v>14.108222222222221</v>
      </c>
      <c r="P466">
        <v>14.257673611111111</v>
      </c>
      <c r="AG466">
        <v>1</v>
      </c>
      <c r="AH466" t="e">
        <f t="shared" si="50"/>
        <v>#N/A</v>
      </c>
      <c r="AI466">
        <f t="shared" si="54"/>
        <v>2</v>
      </c>
      <c r="AJ466" t="e">
        <f t="shared" si="51"/>
        <v>#N/A</v>
      </c>
      <c r="AK466">
        <f t="shared" si="55"/>
        <v>3</v>
      </c>
      <c r="AL466" t="e">
        <f t="shared" si="52"/>
        <v>#N/A</v>
      </c>
      <c r="AM466">
        <f t="shared" si="56"/>
        <v>4</v>
      </c>
      <c r="AN466" t="e">
        <f t="shared" si="53"/>
        <v>#N/A</v>
      </c>
    </row>
    <row r="467" spans="12:40" x14ac:dyDescent="0.25">
      <c r="L467">
        <v>464</v>
      </c>
      <c r="M467">
        <v>16.282499999999999</v>
      </c>
      <c r="N467">
        <v>15.124375000000001</v>
      </c>
      <c r="O467">
        <v>14.494930555555557</v>
      </c>
      <c r="P467">
        <v>14.103215277777778</v>
      </c>
      <c r="AG467">
        <v>1</v>
      </c>
      <c r="AH467" t="e">
        <f t="shared" si="50"/>
        <v>#N/A</v>
      </c>
      <c r="AI467">
        <f t="shared" si="54"/>
        <v>2</v>
      </c>
      <c r="AJ467" t="e">
        <f t="shared" si="51"/>
        <v>#N/A</v>
      </c>
      <c r="AK467">
        <f t="shared" si="55"/>
        <v>3</v>
      </c>
      <c r="AL467" t="e">
        <f t="shared" si="52"/>
        <v>#N/A</v>
      </c>
      <c r="AM467">
        <f t="shared" si="56"/>
        <v>4</v>
      </c>
      <c r="AN467" t="e">
        <f t="shared" si="53"/>
        <v>#N/A</v>
      </c>
    </row>
    <row r="468" spans="12:40" x14ac:dyDescent="0.25">
      <c r="L468">
        <v>465</v>
      </c>
      <c r="M468">
        <v>11.765000000000001</v>
      </c>
      <c r="N468">
        <v>13.004375</v>
      </c>
      <c r="O468">
        <v>13.386541666666666</v>
      </c>
      <c r="P468">
        <v>14.105506944444446</v>
      </c>
      <c r="AG468">
        <v>1</v>
      </c>
      <c r="AH468" t="e">
        <f t="shared" si="50"/>
        <v>#N/A</v>
      </c>
      <c r="AI468">
        <f t="shared" si="54"/>
        <v>2</v>
      </c>
      <c r="AJ468" t="e">
        <f t="shared" si="51"/>
        <v>#N/A</v>
      </c>
      <c r="AK468">
        <f t="shared" si="55"/>
        <v>3</v>
      </c>
      <c r="AL468" t="e">
        <f t="shared" si="52"/>
        <v>#N/A</v>
      </c>
      <c r="AM468">
        <f t="shared" si="56"/>
        <v>4</v>
      </c>
      <c r="AN468" t="e">
        <f t="shared" si="53"/>
        <v>#N/A</v>
      </c>
    </row>
    <row r="469" spans="12:40" x14ac:dyDescent="0.25">
      <c r="L469">
        <v>466</v>
      </c>
      <c r="M469">
        <v>14.93</v>
      </c>
      <c r="N469">
        <v>14.52375</v>
      </c>
      <c r="O469">
        <v>14.651777777777779</v>
      </c>
      <c r="P469">
        <v>14.59485416666667</v>
      </c>
      <c r="AG469">
        <v>1</v>
      </c>
      <c r="AH469" t="e">
        <f t="shared" si="50"/>
        <v>#N/A</v>
      </c>
      <c r="AI469">
        <f t="shared" si="54"/>
        <v>2</v>
      </c>
      <c r="AJ469" t="e">
        <f t="shared" si="51"/>
        <v>#N/A</v>
      </c>
      <c r="AK469">
        <f t="shared" si="55"/>
        <v>3</v>
      </c>
      <c r="AL469" t="e">
        <f t="shared" si="52"/>
        <v>#N/A</v>
      </c>
      <c r="AM469">
        <f t="shared" si="56"/>
        <v>4</v>
      </c>
      <c r="AN469" t="e">
        <f t="shared" si="53"/>
        <v>#N/A</v>
      </c>
    </row>
    <row r="470" spans="12:40" x14ac:dyDescent="0.25">
      <c r="L470">
        <v>467</v>
      </c>
      <c r="M470">
        <v>14.154999999999999</v>
      </c>
      <c r="N470">
        <v>13.635624999999999</v>
      </c>
      <c r="O470">
        <v>13.97473611111111</v>
      </c>
      <c r="P470">
        <v>14.428743055555556</v>
      </c>
      <c r="AG470">
        <v>1</v>
      </c>
      <c r="AH470" t="e">
        <f t="shared" si="50"/>
        <v>#N/A</v>
      </c>
      <c r="AI470">
        <f t="shared" si="54"/>
        <v>2</v>
      </c>
      <c r="AJ470" t="e">
        <f t="shared" si="51"/>
        <v>#N/A</v>
      </c>
      <c r="AK470">
        <f t="shared" si="55"/>
        <v>3</v>
      </c>
      <c r="AL470" t="e">
        <f t="shared" si="52"/>
        <v>#N/A</v>
      </c>
      <c r="AM470">
        <f t="shared" si="56"/>
        <v>4</v>
      </c>
      <c r="AN470" t="e">
        <f t="shared" si="53"/>
        <v>#N/A</v>
      </c>
    </row>
    <row r="471" spans="12:40" x14ac:dyDescent="0.25">
      <c r="L471">
        <v>468</v>
      </c>
      <c r="M471">
        <v>15.535</v>
      </c>
      <c r="N471">
        <v>14.585000000000001</v>
      </c>
      <c r="O471">
        <v>13.791375</v>
      </c>
      <c r="P471">
        <v>13.665437500000001</v>
      </c>
      <c r="AG471">
        <v>1</v>
      </c>
      <c r="AH471" t="e">
        <f t="shared" si="50"/>
        <v>#N/A</v>
      </c>
      <c r="AI471">
        <f t="shared" si="54"/>
        <v>2</v>
      </c>
      <c r="AJ471" t="e">
        <f t="shared" si="51"/>
        <v>#N/A</v>
      </c>
      <c r="AK471">
        <f t="shared" si="55"/>
        <v>3</v>
      </c>
      <c r="AL471" t="e">
        <f t="shared" si="52"/>
        <v>#N/A</v>
      </c>
      <c r="AM471">
        <f t="shared" si="56"/>
        <v>4</v>
      </c>
      <c r="AN471" t="e">
        <f t="shared" si="53"/>
        <v>#N/A</v>
      </c>
    </row>
    <row r="472" spans="12:40" x14ac:dyDescent="0.25">
      <c r="L472">
        <v>469</v>
      </c>
      <c r="M472">
        <v>13.51375</v>
      </c>
      <c r="N472">
        <v>13.196249999999999</v>
      </c>
      <c r="O472">
        <v>13.533624999999999</v>
      </c>
      <c r="P472">
        <v>13.523937499999999</v>
      </c>
      <c r="AG472">
        <v>1</v>
      </c>
      <c r="AH472" t="e">
        <f t="shared" si="50"/>
        <v>#N/A</v>
      </c>
      <c r="AI472">
        <f t="shared" si="54"/>
        <v>2</v>
      </c>
      <c r="AJ472" t="e">
        <f t="shared" si="51"/>
        <v>#N/A</v>
      </c>
      <c r="AK472">
        <f t="shared" si="55"/>
        <v>3</v>
      </c>
      <c r="AL472" t="e">
        <f t="shared" si="52"/>
        <v>#N/A</v>
      </c>
      <c r="AM472">
        <f t="shared" si="56"/>
        <v>4</v>
      </c>
      <c r="AN472" t="e">
        <f t="shared" si="53"/>
        <v>#N/A</v>
      </c>
    </row>
    <row r="473" spans="12:40" x14ac:dyDescent="0.25">
      <c r="L473">
        <v>470</v>
      </c>
      <c r="M473">
        <v>14.105</v>
      </c>
      <c r="N473">
        <v>13.650625</v>
      </c>
      <c r="O473">
        <v>14.45675</v>
      </c>
      <c r="P473">
        <v>14.073215277777779</v>
      </c>
      <c r="AG473">
        <v>1</v>
      </c>
      <c r="AH473" t="e">
        <f t="shared" si="50"/>
        <v>#N/A</v>
      </c>
      <c r="AI473">
        <f t="shared" si="54"/>
        <v>2</v>
      </c>
      <c r="AJ473" t="e">
        <f t="shared" si="51"/>
        <v>#N/A</v>
      </c>
      <c r="AK473">
        <f t="shared" si="55"/>
        <v>3</v>
      </c>
      <c r="AL473" t="e">
        <f t="shared" si="52"/>
        <v>#N/A</v>
      </c>
      <c r="AM473">
        <f t="shared" si="56"/>
        <v>4</v>
      </c>
      <c r="AN473" t="e">
        <f t="shared" si="53"/>
        <v>#N/A</v>
      </c>
    </row>
    <row r="474" spans="12:40" x14ac:dyDescent="0.25">
      <c r="L474">
        <v>471</v>
      </c>
      <c r="M474">
        <v>13.22875</v>
      </c>
      <c r="N474">
        <v>13.755000000000001</v>
      </c>
      <c r="O474">
        <v>13.566361111111112</v>
      </c>
      <c r="P474">
        <v>14.051715277777777</v>
      </c>
      <c r="AG474">
        <v>1</v>
      </c>
      <c r="AH474" t="e">
        <f t="shared" si="50"/>
        <v>#N/A</v>
      </c>
      <c r="AI474">
        <f t="shared" si="54"/>
        <v>2</v>
      </c>
      <c r="AJ474" t="e">
        <f t="shared" si="51"/>
        <v>#N/A</v>
      </c>
      <c r="AK474">
        <f t="shared" si="55"/>
        <v>3</v>
      </c>
      <c r="AL474" t="e">
        <f t="shared" si="52"/>
        <v>#N/A</v>
      </c>
      <c r="AM474">
        <f t="shared" si="56"/>
        <v>4</v>
      </c>
      <c r="AN474" t="e">
        <f t="shared" si="53"/>
        <v>#N/A</v>
      </c>
    </row>
    <row r="475" spans="12:40" x14ac:dyDescent="0.25">
      <c r="L475">
        <v>472</v>
      </c>
      <c r="M475">
        <v>14.95125</v>
      </c>
      <c r="N475">
        <v>13.779375</v>
      </c>
      <c r="O475">
        <v>13.597180555555555</v>
      </c>
      <c r="P475">
        <v>13.429187500000001</v>
      </c>
      <c r="AG475">
        <v>1</v>
      </c>
      <c r="AH475" t="e">
        <f t="shared" si="50"/>
        <v>#N/A</v>
      </c>
      <c r="AI475">
        <f t="shared" si="54"/>
        <v>2</v>
      </c>
      <c r="AJ475" t="e">
        <f t="shared" si="51"/>
        <v>#N/A</v>
      </c>
      <c r="AK475">
        <f t="shared" si="55"/>
        <v>3</v>
      </c>
      <c r="AL475" t="e">
        <f t="shared" si="52"/>
        <v>#N/A</v>
      </c>
      <c r="AM475">
        <f t="shared" si="56"/>
        <v>4</v>
      </c>
      <c r="AN475" t="e">
        <f t="shared" si="53"/>
        <v>#N/A</v>
      </c>
    </row>
    <row r="476" spans="12:40" x14ac:dyDescent="0.25">
      <c r="L476">
        <v>473</v>
      </c>
      <c r="M476">
        <v>15.0025</v>
      </c>
      <c r="N476">
        <v>14.95125</v>
      </c>
      <c r="O476">
        <v>14.47211111111111</v>
      </c>
      <c r="P476">
        <v>14.559243055555555</v>
      </c>
      <c r="AG476">
        <v>1</v>
      </c>
      <c r="AH476" t="e">
        <f t="shared" si="50"/>
        <v>#N/A</v>
      </c>
      <c r="AI476">
        <f t="shared" si="54"/>
        <v>2</v>
      </c>
      <c r="AJ476" t="e">
        <f t="shared" si="51"/>
        <v>#N/A</v>
      </c>
      <c r="AK476">
        <f t="shared" si="55"/>
        <v>3</v>
      </c>
      <c r="AL476" t="e">
        <f t="shared" si="52"/>
        <v>#N/A</v>
      </c>
      <c r="AM476">
        <f t="shared" si="56"/>
        <v>4</v>
      </c>
      <c r="AN476" t="e">
        <f t="shared" si="53"/>
        <v>#N/A</v>
      </c>
    </row>
    <row r="477" spans="12:40" x14ac:dyDescent="0.25">
      <c r="L477">
        <v>474</v>
      </c>
      <c r="M477">
        <v>13.31875</v>
      </c>
      <c r="N477">
        <v>13.88875</v>
      </c>
      <c r="O477">
        <v>14.420875000000001</v>
      </c>
      <c r="P477">
        <v>14.133277777777778</v>
      </c>
      <c r="AG477">
        <v>1</v>
      </c>
      <c r="AH477" t="e">
        <f t="shared" si="50"/>
        <v>#N/A</v>
      </c>
      <c r="AI477">
        <f t="shared" si="54"/>
        <v>2</v>
      </c>
      <c r="AJ477" t="e">
        <f t="shared" si="51"/>
        <v>#N/A</v>
      </c>
      <c r="AK477">
        <f t="shared" si="55"/>
        <v>3</v>
      </c>
      <c r="AL477" t="e">
        <f t="shared" si="52"/>
        <v>#N/A</v>
      </c>
      <c r="AM477">
        <f t="shared" si="56"/>
        <v>4</v>
      </c>
      <c r="AN477" t="e">
        <f t="shared" si="53"/>
        <v>#N/A</v>
      </c>
    </row>
    <row r="478" spans="12:40" x14ac:dyDescent="0.25">
      <c r="L478">
        <v>475</v>
      </c>
      <c r="M478">
        <v>13.866250000000001</v>
      </c>
      <c r="N478">
        <v>14.036875</v>
      </c>
      <c r="O478">
        <v>13.392388888888888</v>
      </c>
      <c r="P478">
        <v>13.572798611111111</v>
      </c>
      <c r="AG478">
        <v>1</v>
      </c>
      <c r="AH478" t="e">
        <f t="shared" si="50"/>
        <v>#N/A</v>
      </c>
      <c r="AI478">
        <f t="shared" si="54"/>
        <v>2</v>
      </c>
      <c r="AJ478" t="e">
        <f t="shared" si="51"/>
        <v>#N/A</v>
      </c>
      <c r="AK478">
        <f t="shared" si="55"/>
        <v>3</v>
      </c>
      <c r="AL478" t="e">
        <f t="shared" si="52"/>
        <v>#N/A</v>
      </c>
      <c r="AM478">
        <f t="shared" si="56"/>
        <v>4</v>
      </c>
      <c r="AN478" t="e">
        <f t="shared" si="53"/>
        <v>#N/A</v>
      </c>
    </row>
    <row r="479" spans="12:40" x14ac:dyDescent="0.25">
      <c r="L479">
        <v>476</v>
      </c>
      <c r="M479">
        <v>14.4925</v>
      </c>
      <c r="N479">
        <v>14.540625</v>
      </c>
      <c r="O479">
        <v>14.208055555555557</v>
      </c>
      <c r="P479">
        <v>14.143270833333336</v>
      </c>
      <c r="AG479">
        <v>1</v>
      </c>
      <c r="AH479" t="e">
        <f t="shared" si="50"/>
        <v>#N/A</v>
      </c>
      <c r="AI479">
        <f t="shared" si="54"/>
        <v>2</v>
      </c>
      <c r="AJ479" t="e">
        <f t="shared" si="51"/>
        <v>#N/A</v>
      </c>
      <c r="AK479">
        <f t="shared" si="55"/>
        <v>3</v>
      </c>
      <c r="AL479" t="e">
        <f t="shared" si="52"/>
        <v>#N/A</v>
      </c>
      <c r="AM479">
        <f t="shared" si="56"/>
        <v>4</v>
      </c>
      <c r="AN479" t="e">
        <f t="shared" si="53"/>
        <v>#N/A</v>
      </c>
    </row>
    <row r="480" spans="12:40" x14ac:dyDescent="0.25">
      <c r="L480">
        <v>477</v>
      </c>
      <c r="M480">
        <v>14.3</v>
      </c>
      <c r="N480">
        <v>15.047499999999999</v>
      </c>
      <c r="O480">
        <v>13.913402777777778</v>
      </c>
      <c r="P480">
        <v>14.003597222222222</v>
      </c>
      <c r="AG480">
        <v>1</v>
      </c>
      <c r="AH480" t="e">
        <f t="shared" si="50"/>
        <v>#N/A</v>
      </c>
      <c r="AI480">
        <f t="shared" si="54"/>
        <v>2</v>
      </c>
      <c r="AJ480" t="e">
        <f t="shared" si="51"/>
        <v>#N/A</v>
      </c>
      <c r="AK480">
        <f t="shared" si="55"/>
        <v>3</v>
      </c>
      <c r="AL480" t="e">
        <f t="shared" si="52"/>
        <v>#N/A</v>
      </c>
      <c r="AM480">
        <f t="shared" si="56"/>
        <v>4</v>
      </c>
      <c r="AN480" t="e">
        <f t="shared" si="53"/>
        <v>#N/A</v>
      </c>
    </row>
    <row r="481" spans="12:40" x14ac:dyDescent="0.25">
      <c r="L481">
        <v>478</v>
      </c>
      <c r="M481">
        <v>13.60125</v>
      </c>
      <c r="N481">
        <v>14.4725</v>
      </c>
      <c r="O481">
        <v>14.218055555555557</v>
      </c>
      <c r="P481">
        <v>14.567347222222223</v>
      </c>
      <c r="AG481">
        <v>1</v>
      </c>
      <c r="AH481" t="e">
        <f t="shared" si="50"/>
        <v>#N/A</v>
      </c>
      <c r="AI481">
        <f t="shared" si="54"/>
        <v>2</v>
      </c>
      <c r="AJ481" t="e">
        <f t="shared" si="51"/>
        <v>#N/A</v>
      </c>
      <c r="AK481">
        <f t="shared" si="55"/>
        <v>3</v>
      </c>
      <c r="AL481" t="e">
        <f t="shared" si="52"/>
        <v>#N/A</v>
      </c>
      <c r="AM481">
        <f t="shared" si="56"/>
        <v>4</v>
      </c>
      <c r="AN481" t="e">
        <f t="shared" si="53"/>
        <v>#N/A</v>
      </c>
    </row>
    <row r="482" spans="12:40" x14ac:dyDescent="0.25">
      <c r="L482">
        <v>479</v>
      </c>
      <c r="M482">
        <v>15.28125</v>
      </c>
      <c r="N482">
        <v>14.338749999999999</v>
      </c>
      <c r="O482">
        <v>14.145625000000001</v>
      </c>
      <c r="P482">
        <v>14.024479166666667</v>
      </c>
      <c r="AG482">
        <v>1</v>
      </c>
      <c r="AH482" t="e">
        <f t="shared" si="50"/>
        <v>#N/A</v>
      </c>
      <c r="AI482">
        <f t="shared" si="54"/>
        <v>2</v>
      </c>
      <c r="AJ482" t="e">
        <f t="shared" si="51"/>
        <v>#N/A</v>
      </c>
      <c r="AK482">
        <f t="shared" si="55"/>
        <v>3</v>
      </c>
      <c r="AL482" t="e">
        <f t="shared" si="52"/>
        <v>#N/A</v>
      </c>
      <c r="AM482">
        <f t="shared" si="56"/>
        <v>4</v>
      </c>
      <c r="AN482" t="e">
        <f t="shared" si="53"/>
        <v>#N/A</v>
      </c>
    </row>
    <row r="483" spans="12:40" x14ac:dyDescent="0.25">
      <c r="L483">
        <v>480</v>
      </c>
      <c r="M483">
        <v>13.467499999999999</v>
      </c>
      <c r="N483">
        <v>13.023125</v>
      </c>
      <c r="O483">
        <v>14.231333333333334</v>
      </c>
      <c r="P483">
        <v>14.523479166666668</v>
      </c>
      <c r="AG483">
        <v>1</v>
      </c>
      <c r="AH483" t="e">
        <f t="shared" si="50"/>
        <v>#N/A</v>
      </c>
      <c r="AI483">
        <f t="shared" si="54"/>
        <v>2</v>
      </c>
      <c r="AJ483" t="e">
        <f t="shared" si="51"/>
        <v>#N/A</v>
      </c>
      <c r="AK483">
        <f t="shared" si="55"/>
        <v>3</v>
      </c>
      <c r="AL483" t="e">
        <f t="shared" si="52"/>
        <v>#N/A</v>
      </c>
      <c r="AM483">
        <f t="shared" si="56"/>
        <v>4</v>
      </c>
      <c r="AN483" t="e">
        <f t="shared" si="53"/>
        <v>#N/A</v>
      </c>
    </row>
    <row r="484" spans="12:40" x14ac:dyDescent="0.25">
      <c r="L484">
        <v>481</v>
      </c>
      <c r="M484">
        <v>13.29</v>
      </c>
      <c r="N484">
        <v>13.498125</v>
      </c>
      <c r="O484">
        <v>13.651541666666665</v>
      </c>
      <c r="P484">
        <v>14.252916666666666</v>
      </c>
      <c r="AG484">
        <v>1</v>
      </c>
      <c r="AH484" t="e">
        <f t="shared" si="50"/>
        <v>#N/A</v>
      </c>
      <c r="AI484">
        <f t="shared" si="54"/>
        <v>2</v>
      </c>
      <c r="AJ484" t="e">
        <f t="shared" si="51"/>
        <v>#N/A</v>
      </c>
      <c r="AK484">
        <f t="shared" si="55"/>
        <v>3</v>
      </c>
      <c r="AL484" t="e">
        <f t="shared" si="52"/>
        <v>#N/A</v>
      </c>
      <c r="AM484">
        <f t="shared" si="56"/>
        <v>4</v>
      </c>
      <c r="AN484" t="e">
        <f t="shared" si="53"/>
        <v>#N/A</v>
      </c>
    </row>
    <row r="485" spans="12:40" x14ac:dyDescent="0.25">
      <c r="L485">
        <v>482</v>
      </c>
      <c r="M485">
        <v>13.125</v>
      </c>
      <c r="N485">
        <v>12.719374999999999</v>
      </c>
      <c r="O485">
        <v>14.102694444444444</v>
      </c>
      <c r="P485">
        <v>14.591076388888887</v>
      </c>
      <c r="AG485">
        <v>1</v>
      </c>
      <c r="AH485" t="e">
        <f t="shared" si="50"/>
        <v>#N/A</v>
      </c>
      <c r="AI485">
        <f t="shared" si="54"/>
        <v>2</v>
      </c>
      <c r="AJ485" t="e">
        <f t="shared" si="51"/>
        <v>#N/A</v>
      </c>
      <c r="AK485">
        <f t="shared" si="55"/>
        <v>3</v>
      </c>
      <c r="AL485" t="e">
        <f t="shared" si="52"/>
        <v>#N/A</v>
      </c>
      <c r="AM485">
        <f t="shared" si="56"/>
        <v>4</v>
      </c>
      <c r="AN485" t="e">
        <f t="shared" si="53"/>
        <v>#N/A</v>
      </c>
    </row>
    <row r="486" spans="12:40" x14ac:dyDescent="0.25">
      <c r="L486">
        <v>483</v>
      </c>
      <c r="M486">
        <v>16.172499999999999</v>
      </c>
      <c r="N486">
        <v>14.9975</v>
      </c>
      <c r="O486">
        <v>14.951486111111112</v>
      </c>
      <c r="P486">
        <v>14.247291666666667</v>
      </c>
      <c r="AG486">
        <v>1</v>
      </c>
      <c r="AH486" t="e">
        <f t="shared" si="50"/>
        <v>#N/A</v>
      </c>
      <c r="AI486">
        <f t="shared" si="54"/>
        <v>2</v>
      </c>
      <c r="AJ486" t="e">
        <f t="shared" si="51"/>
        <v>#N/A</v>
      </c>
      <c r="AK486">
        <f t="shared" si="55"/>
        <v>3</v>
      </c>
      <c r="AL486" t="e">
        <f t="shared" si="52"/>
        <v>#N/A</v>
      </c>
      <c r="AM486">
        <f t="shared" si="56"/>
        <v>4</v>
      </c>
      <c r="AN486" t="e">
        <f t="shared" si="53"/>
        <v>#N/A</v>
      </c>
    </row>
    <row r="487" spans="12:40" x14ac:dyDescent="0.25">
      <c r="L487">
        <v>484</v>
      </c>
      <c r="M487">
        <v>12.85375</v>
      </c>
      <c r="N487">
        <v>13.400625</v>
      </c>
      <c r="O487">
        <v>13.973763888888886</v>
      </c>
      <c r="P487">
        <v>13.604763888888892</v>
      </c>
      <c r="AG487">
        <v>1</v>
      </c>
      <c r="AH487" t="e">
        <f t="shared" si="50"/>
        <v>#N/A</v>
      </c>
      <c r="AI487">
        <f t="shared" si="54"/>
        <v>2</v>
      </c>
      <c r="AJ487" t="e">
        <f t="shared" si="51"/>
        <v>#N/A</v>
      </c>
      <c r="AK487">
        <f t="shared" si="55"/>
        <v>3</v>
      </c>
      <c r="AL487" t="e">
        <f t="shared" si="52"/>
        <v>#N/A</v>
      </c>
      <c r="AM487">
        <f t="shared" si="56"/>
        <v>4</v>
      </c>
      <c r="AN487" t="e">
        <f t="shared" si="53"/>
        <v>#N/A</v>
      </c>
    </row>
    <row r="488" spans="12:40" x14ac:dyDescent="0.25">
      <c r="L488">
        <v>485</v>
      </c>
      <c r="M488">
        <v>13.654999999999999</v>
      </c>
      <c r="N488">
        <v>14.043749999999999</v>
      </c>
      <c r="O488">
        <v>14.043319444444444</v>
      </c>
      <c r="P488">
        <v>14.10957638888889</v>
      </c>
      <c r="AG488">
        <v>1</v>
      </c>
      <c r="AH488" t="e">
        <f t="shared" si="50"/>
        <v>#N/A</v>
      </c>
      <c r="AI488">
        <f t="shared" si="54"/>
        <v>2</v>
      </c>
      <c r="AJ488" t="e">
        <f t="shared" si="51"/>
        <v>#N/A</v>
      </c>
      <c r="AK488">
        <f t="shared" si="55"/>
        <v>3</v>
      </c>
      <c r="AL488" t="e">
        <f t="shared" si="52"/>
        <v>#N/A</v>
      </c>
      <c r="AM488">
        <f t="shared" si="56"/>
        <v>4</v>
      </c>
      <c r="AN488" t="e">
        <f t="shared" si="53"/>
        <v>#N/A</v>
      </c>
    </row>
    <row r="489" spans="12:40" x14ac:dyDescent="0.25">
      <c r="L489">
        <v>486</v>
      </c>
      <c r="M489">
        <v>13.60125</v>
      </c>
      <c r="N489">
        <v>14.2775</v>
      </c>
      <c r="O489">
        <v>14.029236111111111</v>
      </c>
      <c r="P489">
        <v>13.807270833333334</v>
      </c>
      <c r="AG489">
        <v>1</v>
      </c>
      <c r="AH489" t="e">
        <f t="shared" si="50"/>
        <v>#N/A</v>
      </c>
      <c r="AI489">
        <f t="shared" si="54"/>
        <v>2</v>
      </c>
      <c r="AJ489" t="e">
        <f t="shared" si="51"/>
        <v>#N/A</v>
      </c>
      <c r="AK489">
        <f t="shared" si="55"/>
        <v>3</v>
      </c>
      <c r="AL489" t="e">
        <f t="shared" si="52"/>
        <v>#N/A</v>
      </c>
      <c r="AM489">
        <f t="shared" si="56"/>
        <v>4</v>
      </c>
      <c r="AN489" t="e">
        <f t="shared" si="53"/>
        <v>#N/A</v>
      </c>
    </row>
    <row r="490" spans="12:40" x14ac:dyDescent="0.25">
      <c r="L490">
        <v>487</v>
      </c>
      <c r="M490">
        <v>13.90375</v>
      </c>
      <c r="N490">
        <v>13.828749999999999</v>
      </c>
      <c r="O490">
        <v>13.661944444444444</v>
      </c>
      <c r="P490">
        <v>13.613645833333335</v>
      </c>
      <c r="AG490">
        <v>1</v>
      </c>
      <c r="AH490" t="e">
        <f t="shared" si="50"/>
        <v>#N/A</v>
      </c>
      <c r="AI490">
        <f t="shared" si="54"/>
        <v>2</v>
      </c>
      <c r="AJ490" t="e">
        <f t="shared" si="51"/>
        <v>#N/A</v>
      </c>
      <c r="AK490">
        <f t="shared" si="55"/>
        <v>3</v>
      </c>
      <c r="AL490" t="e">
        <f t="shared" si="52"/>
        <v>#N/A</v>
      </c>
      <c r="AM490">
        <f t="shared" si="56"/>
        <v>4</v>
      </c>
      <c r="AN490" t="e">
        <f t="shared" si="53"/>
        <v>#N/A</v>
      </c>
    </row>
    <row r="491" spans="12:40" x14ac:dyDescent="0.25">
      <c r="L491">
        <v>488</v>
      </c>
      <c r="M491">
        <v>13.8675</v>
      </c>
      <c r="N491">
        <v>13.89875</v>
      </c>
      <c r="O491">
        <v>13.894958333333332</v>
      </c>
      <c r="P491">
        <v>14.193277777777778</v>
      </c>
      <c r="AG491">
        <v>1</v>
      </c>
      <c r="AH491" t="e">
        <f t="shared" si="50"/>
        <v>#N/A</v>
      </c>
      <c r="AI491">
        <f t="shared" si="54"/>
        <v>2</v>
      </c>
      <c r="AJ491" t="e">
        <f t="shared" si="51"/>
        <v>#N/A</v>
      </c>
      <c r="AK491">
        <f t="shared" si="55"/>
        <v>3</v>
      </c>
      <c r="AL491" t="e">
        <f t="shared" si="52"/>
        <v>#N/A</v>
      </c>
      <c r="AM491">
        <f t="shared" si="56"/>
        <v>4</v>
      </c>
      <c r="AN491" t="e">
        <f t="shared" si="53"/>
        <v>#N/A</v>
      </c>
    </row>
    <row r="492" spans="12:40" x14ac:dyDescent="0.25">
      <c r="L492">
        <v>489</v>
      </c>
      <c r="M492">
        <v>12.206250000000001</v>
      </c>
      <c r="N492">
        <v>12.0525</v>
      </c>
      <c r="O492">
        <v>13.565138888888889</v>
      </c>
      <c r="P492">
        <v>13.701916666666669</v>
      </c>
      <c r="AG492">
        <v>1</v>
      </c>
      <c r="AH492" t="e">
        <f t="shared" si="50"/>
        <v>#N/A</v>
      </c>
      <c r="AI492">
        <f t="shared" si="54"/>
        <v>2</v>
      </c>
      <c r="AJ492">
        <f t="shared" si="51"/>
        <v>12.0525</v>
      </c>
      <c r="AK492">
        <f t="shared" si="55"/>
        <v>3</v>
      </c>
      <c r="AL492" t="e">
        <f t="shared" si="52"/>
        <v>#N/A</v>
      </c>
      <c r="AM492">
        <f t="shared" si="56"/>
        <v>4</v>
      </c>
      <c r="AN492" t="e">
        <f t="shared" si="53"/>
        <v>#N/A</v>
      </c>
    </row>
    <row r="493" spans="12:40" x14ac:dyDescent="0.25">
      <c r="L493">
        <v>490</v>
      </c>
      <c r="M493">
        <v>14.106249999999999</v>
      </c>
      <c r="N493">
        <v>14.430624999999999</v>
      </c>
      <c r="O493">
        <v>13.556347222222222</v>
      </c>
      <c r="P493">
        <v>13.141826388888889</v>
      </c>
      <c r="AG493">
        <v>1</v>
      </c>
      <c r="AH493" t="e">
        <f t="shared" si="50"/>
        <v>#N/A</v>
      </c>
      <c r="AI493">
        <f t="shared" si="54"/>
        <v>2</v>
      </c>
      <c r="AJ493" t="e">
        <f t="shared" si="51"/>
        <v>#N/A</v>
      </c>
      <c r="AK493">
        <f t="shared" si="55"/>
        <v>3</v>
      </c>
      <c r="AL493" t="e">
        <f t="shared" si="52"/>
        <v>#N/A</v>
      </c>
      <c r="AM493">
        <f t="shared" si="56"/>
        <v>4</v>
      </c>
      <c r="AN493" t="e">
        <f t="shared" si="53"/>
        <v>#N/A</v>
      </c>
    </row>
    <row r="494" spans="12:40" x14ac:dyDescent="0.25">
      <c r="L494">
        <v>491</v>
      </c>
      <c r="M494">
        <v>15.22</v>
      </c>
      <c r="N494">
        <v>14.557499999999999</v>
      </c>
      <c r="O494">
        <v>13.667736111111113</v>
      </c>
      <c r="P494">
        <v>14.211131944444444</v>
      </c>
      <c r="AG494">
        <v>1</v>
      </c>
      <c r="AH494" t="e">
        <f t="shared" si="50"/>
        <v>#N/A</v>
      </c>
      <c r="AI494">
        <f t="shared" si="54"/>
        <v>2</v>
      </c>
      <c r="AJ494" t="e">
        <f t="shared" si="51"/>
        <v>#N/A</v>
      </c>
      <c r="AK494">
        <f t="shared" si="55"/>
        <v>3</v>
      </c>
      <c r="AL494" t="e">
        <f t="shared" si="52"/>
        <v>#N/A</v>
      </c>
      <c r="AM494">
        <f t="shared" si="56"/>
        <v>4</v>
      </c>
      <c r="AN494" t="e">
        <f t="shared" si="53"/>
        <v>#N/A</v>
      </c>
    </row>
    <row r="495" spans="12:40" x14ac:dyDescent="0.25">
      <c r="L495">
        <v>492</v>
      </c>
      <c r="M495">
        <v>14.12125</v>
      </c>
      <c r="N495">
        <v>14.17625</v>
      </c>
      <c r="O495">
        <v>13.811736111111111</v>
      </c>
      <c r="P495">
        <v>13.986381944444442</v>
      </c>
      <c r="AG495">
        <v>1</v>
      </c>
      <c r="AH495" t="e">
        <f t="shared" si="50"/>
        <v>#N/A</v>
      </c>
      <c r="AI495">
        <f t="shared" si="54"/>
        <v>2</v>
      </c>
      <c r="AJ495" t="e">
        <f t="shared" si="51"/>
        <v>#N/A</v>
      </c>
      <c r="AK495">
        <f t="shared" si="55"/>
        <v>3</v>
      </c>
      <c r="AL495" t="e">
        <f t="shared" si="52"/>
        <v>#N/A</v>
      </c>
      <c r="AM495">
        <f t="shared" si="56"/>
        <v>4</v>
      </c>
      <c r="AN495" t="e">
        <f t="shared" si="53"/>
        <v>#N/A</v>
      </c>
    </row>
    <row r="496" spans="12:40" x14ac:dyDescent="0.25">
      <c r="L496">
        <v>493</v>
      </c>
      <c r="M496">
        <v>15.47875</v>
      </c>
      <c r="N496">
        <v>15.41375</v>
      </c>
      <c r="O496">
        <v>14.529041666666666</v>
      </c>
      <c r="P496">
        <v>13.739979166666666</v>
      </c>
      <c r="AG496">
        <v>1</v>
      </c>
      <c r="AH496" t="e">
        <f t="shared" si="50"/>
        <v>#N/A</v>
      </c>
      <c r="AI496">
        <f t="shared" si="54"/>
        <v>2</v>
      </c>
      <c r="AJ496" t="e">
        <f t="shared" si="51"/>
        <v>#N/A</v>
      </c>
      <c r="AK496">
        <f t="shared" si="55"/>
        <v>3</v>
      </c>
      <c r="AL496" t="e">
        <f t="shared" si="52"/>
        <v>#N/A</v>
      </c>
      <c r="AM496">
        <f t="shared" si="56"/>
        <v>4</v>
      </c>
      <c r="AN496" t="e">
        <f t="shared" si="53"/>
        <v>#N/A</v>
      </c>
    </row>
    <row r="497" spans="12:40" x14ac:dyDescent="0.25">
      <c r="L497">
        <v>494</v>
      </c>
      <c r="M497">
        <v>13.7225</v>
      </c>
      <c r="N497">
        <v>13.059374999999999</v>
      </c>
      <c r="O497">
        <v>13.741041666666668</v>
      </c>
      <c r="P497">
        <v>13.510118055555557</v>
      </c>
      <c r="AG497">
        <v>1</v>
      </c>
      <c r="AH497" t="e">
        <f t="shared" si="50"/>
        <v>#N/A</v>
      </c>
      <c r="AI497">
        <f t="shared" si="54"/>
        <v>2</v>
      </c>
      <c r="AJ497" t="e">
        <f t="shared" si="51"/>
        <v>#N/A</v>
      </c>
      <c r="AK497">
        <f t="shared" si="55"/>
        <v>3</v>
      </c>
      <c r="AL497" t="e">
        <f t="shared" si="52"/>
        <v>#N/A</v>
      </c>
      <c r="AM497">
        <f t="shared" si="56"/>
        <v>4</v>
      </c>
      <c r="AN497" t="e">
        <f t="shared" si="53"/>
        <v>#N/A</v>
      </c>
    </row>
    <row r="498" spans="12:40" x14ac:dyDescent="0.25">
      <c r="L498">
        <v>495</v>
      </c>
      <c r="M498">
        <v>14.27</v>
      </c>
      <c r="N498">
        <v>14.41375</v>
      </c>
      <c r="O498">
        <v>15.085527777777779</v>
      </c>
      <c r="P498">
        <v>14.305923611111114</v>
      </c>
      <c r="AG498">
        <v>1</v>
      </c>
      <c r="AH498" t="e">
        <f t="shared" si="50"/>
        <v>#N/A</v>
      </c>
      <c r="AI498">
        <f t="shared" si="54"/>
        <v>2</v>
      </c>
      <c r="AJ498" t="e">
        <f t="shared" si="51"/>
        <v>#N/A</v>
      </c>
      <c r="AK498">
        <f t="shared" si="55"/>
        <v>3</v>
      </c>
      <c r="AL498" t="e">
        <f t="shared" si="52"/>
        <v>#N/A</v>
      </c>
      <c r="AM498">
        <f t="shared" si="56"/>
        <v>4</v>
      </c>
      <c r="AN498" t="e">
        <f t="shared" si="53"/>
        <v>#N/A</v>
      </c>
    </row>
    <row r="499" spans="12:40" x14ac:dyDescent="0.25">
      <c r="L499">
        <v>496</v>
      </c>
      <c r="M499">
        <v>12.276249999999999</v>
      </c>
      <c r="N499">
        <v>13.219374999999999</v>
      </c>
      <c r="O499">
        <v>13.94375</v>
      </c>
      <c r="P499">
        <v>14.355229166666666</v>
      </c>
      <c r="AG499">
        <v>1</v>
      </c>
      <c r="AH499" t="e">
        <f t="shared" si="50"/>
        <v>#N/A</v>
      </c>
      <c r="AI499">
        <f t="shared" si="54"/>
        <v>2</v>
      </c>
      <c r="AJ499" t="e">
        <f t="shared" si="51"/>
        <v>#N/A</v>
      </c>
      <c r="AK499">
        <f t="shared" si="55"/>
        <v>3</v>
      </c>
      <c r="AL499" t="e">
        <f t="shared" si="52"/>
        <v>#N/A</v>
      </c>
      <c r="AM499">
        <f t="shared" si="56"/>
        <v>4</v>
      </c>
      <c r="AN499" t="e">
        <f t="shared" si="53"/>
        <v>#N/A</v>
      </c>
    </row>
    <row r="500" spans="12:40" x14ac:dyDescent="0.25">
      <c r="L500">
        <v>497</v>
      </c>
      <c r="M500">
        <v>14.515000000000001</v>
      </c>
      <c r="N500">
        <v>13.8725</v>
      </c>
      <c r="O500">
        <v>14.071055555555557</v>
      </c>
      <c r="P500">
        <v>13.679493055555554</v>
      </c>
      <c r="AG500">
        <v>1</v>
      </c>
      <c r="AH500" t="e">
        <f t="shared" si="50"/>
        <v>#N/A</v>
      </c>
      <c r="AI500">
        <f t="shared" si="54"/>
        <v>2</v>
      </c>
      <c r="AJ500" t="e">
        <f t="shared" si="51"/>
        <v>#N/A</v>
      </c>
      <c r="AK500">
        <f t="shared" si="55"/>
        <v>3</v>
      </c>
      <c r="AL500" t="e">
        <f t="shared" si="52"/>
        <v>#N/A</v>
      </c>
      <c r="AM500">
        <f t="shared" si="56"/>
        <v>4</v>
      </c>
      <c r="AN500" t="e">
        <f t="shared" si="53"/>
        <v>#N/A</v>
      </c>
    </row>
    <row r="501" spans="12:40" x14ac:dyDescent="0.25">
      <c r="L501">
        <v>498</v>
      </c>
      <c r="M501">
        <v>15.1</v>
      </c>
      <c r="N501">
        <v>15.95</v>
      </c>
      <c r="O501">
        <v>14.510958333333333</v>
      </c>
      <c r="P501">
        <v>14.573284722222223</v>
      </c>
      <c r="AG501">
        <v>1</v>
      </c>
      <c r="AH501" t="e">
        <f t="shared" si="50"/>
        <v>#N/A</v>
      </c>
      <c r="AI501">
        <f t="shared" si="54"/>
        <v>2</v>
      </c>
      <c r="AJ501">
        <f t="shared" si="51"/>
        <v>15.95</v>
      </c>
      <c r="AK501">
        <f t="shared" si="55"/>
        <v>3</v>
      </c>
      <c r="AL501" t="e">
        <f t="shared" si="52"/>
        <v>#N/A</v>
      </c>
      <c r="AM501">
        <f t="shared" si="56"/>
        <v>4</v>
      </c>
      <c r="AN501" t="e">
        <f t="shared" si="53"/>
        <v>#N/A</v>
      </c>
    </row>
    <row r="502" spans="12:40" x14ac:dyDescent="0.25">
      <c r="L502">
        <v>499</v>
      </c>
      <c r="M502">
        <v>15.565</v>
      </c>
      <c r="N502">
        <v>15.045624999999999</v>
      </c>
      <c r="O502">
        <v>13.382347222222222</v>
      </c>
      <c r="P502">
        <v>13.51432638888889</v>
      </c>
      <c r="AG502">
        <v>1</v>
      </c>
      <c r="AH502" t="e">
        <f t="shared" si="50"/>
        <v>#N/A</v>
      </c>
      <c r="AI502">
        <f t="shared" si="54"/>
        <v>2</v>
      </c>
      <c r="AJ502" t="e">
        <f t="shared" si="51"/>
        <v>#N/A</v>
      </c>
      <c r="AK502">
        <f t="shared" si="55"/>
        <v>3</v>
      </c>
      <c r="AL502" t="e">
        <f t="shared" si="52"/>
        <v>#N/A</v>
      </c>
      <c r="AM502">
        <f t="shared" si="56"/>
        <v>4</v>
      </c>
      <c r="AN502" t="e">
        <f t="shared" si="53"/>
        <v>#N/A</v>
      </c>
    </row>
    <row r="503" spans="12:40" x14ac:dyDescent="0.25">
      <c r="L503">
        <v>500</v>
      </c>
      <c r="M503">
        <v>14.786250000000001</v>
      </c>
      <c r="N503">
        <v>14.266875000000001</v>
      </c>
      <c r="O503">
        <v>14.087277777777778</v>
      </c>
      <c r="P503">
        <v>13.845930555555556</v>
      </c>
      <c r="AG503">
        <v>1</v>
      </c>
      <c r="AH503" t="e">
        <f t="shared" si="50"/>
        <v>#N/A</v>
      </c>
      <c r="AI503">
        <f t="shared" si="54"/>
        <v>2</v>
      </c>
      <c r="AJ503" t="e">
        <f t="shared" si="51"/>
        <v>#N/A</v>
      </c>
      <c r="AK503">
        <f t="shared" si="55"/>
        <v>3</v>
      </c>
      <c r="AL503" t="e">
        <f t="shared" si="52"/>
        <v>#N/A</v>
      </c>
      <c r="AM503">
        <f t="shared" si="56"/>
        <v>4</v>
      </c>
      <c r="AN503" t="e">
        <f t="shared" si="53"/>
        <v>#N/A</v>
      </c>
    </row>
    <row r="504" spans="12:40" x14ac:dyDescent="0.25">
      <c r="L504">
        <v>501</v>
      </c>
      <c r="M504">
        <v>15.11125</v>
      </c>
      <c r="N504">
        <v>15.473125</v>
      </c>
      <c r="O504">
        <v>13.982680555555557</v>
      </c>
      <c r="P504">
        <v>13.841138888888885</v>
      </c>
      <c r="AG504">
        <v>1</v>
      </c>
      <c r="AH504" t="e">
        <f t="shared" si="50"/>
        <v>#N/A</v>
      </c>
      <c r="AI504">
        <f t="shared" si="54"/>
        <v>2</v>
      </c>
      <c r="AJ504" t="e">
        <f t="shared" si="51"/>
        <v>#N/A</v>
      </c>
      <c r="AK504">
        <f t="shared" si="55"/>
        <v>3</v>
      </c>
      <c r="AL504" t="e">
        <f t="shared" si="52"/>
        <v>#N/A</v>
      </c>
      <c r="AM504">
        <f t="shared" si="56"/>
        <v>4</v>
      </c>
      <c r="AN504" t="e">
        <f t="shared" si="53"/>
        <v>#N/A</v>
      </c>
    </row>
    <row r="505" spans="12:40" x14ac:dyDescent="0.25">
      <c r="L505">
        <v>502</v>
      </c>
      <c r="M505">
        <v>14.563750000000001</v>
      </c>
      <c r="N505">
        <v>14.605</v>
      </c>
      <c r="O505">
        <v>14.312791666666667</v>
      </c>
      <c r="P505">
        <v>13.732368055555556</v>
      </c>
      <c r="AG505">
        <v>1</v>
      </c>
      <c r="AH505" t="e">
        <f t="shared" si="50"/>
        <v>#N/A</v>
      </c>
      <c r="AI505">
        <f t="shared" si="54"/>
        <v>2</v>
      </c>
      <c r="AJ505" t="e">
        <f t="shared" si="51"/>
        <v>#N/A</v>
      </c>
      <c r="AK505">
        <f t="shared" si="55"/>
        <v>3</v>
      </c>
      <c r="AL505" t="e">
        <f t="shared" si="52"/>
        <v>#N/A</v>
      </c>
      <c r="AM505">
        <f t="shared" si="56"/>
        <v>4</v>
      </c>
      <c r="AN505" t="e">
        <f t="shared" si="53"/>
        <v>#N/A</v>
      </c>
    </row>
    <row r="506" spans="12:40" x14ac:dyDescent="0.25">
      <c r="L506">
        <v>503</v>
      </c>
      <c r="M506">
        <v>14.69</v>
      </c>
      <c r="N506">
        <v>14.048125000000001</v>
      </c>
      <c r="O506">
        <v>13.823458333333335</v>
      </c>
      <c r="P506">
        <v>14.2593125</v>
      </c>
      <c r="AG506">
        <v>1</v>
      </c>
      <c r="AH506" t="e">
        <f t="shared" si="50"/>
        <v>#N/A</v>
      </c>
      <c r="AI506">
        <f t="shared" si="54"/>
        <v>2</v>
      </c>
      <c r="AJ506" t="e">
        <f t="shared" si="51"/>
        <v>#N/A</v>
      </c>
      <c r="AK506">
        <f t="shared" si="55"/>
        <v>3</v>
      </c>
      <c r="AL506" t="e">
        <f t="shared" si="52"/>
        <v>#N/A</v>
      </c>
      <c r="AM506">
        <f t="shared" si="56"/>
        <v>4</v>
      </c>
      <c r="AN506" t="e">
        <f t="shared" si="53"/>
        <v>#N/A</v>
      </c>
    </row>
    <row r="507" spans="12:40" x14ac:dyDescent="0.25">
      <c r="L507">
        <v>504</v>
      </c>
      <c r="M507">
        <v>12.85125</v>
      </c>
      <c r="N507">
        <v>14.026249999999999</v>
      </c>
      <c r="O507">
        <v>14.269</v>
      </c>
      <c r="P507">
        <v>14.182534722222222</v>
      </c>
      <c r="AG507">
        <v>1</v>
      </c>
      <c r="AH507" t="e">
        <f t="shared" si="50"/>
        <v>#N/A</v>
      </c>
      <c r="AI507">
        <f t="shared" si="54"/>
        <v>2</v>
      </c>
      <c r="AJ507" t="e">
        <f t="shared" si="51"/>
        <v>#N/A</v>
      </c>
      <c r="AK507">
        <f t="shared" si="55"/>
        <v>3</v>
      </c>
      <c r="AL507" t="e">
        <f t="shared" si="52"/>
        <v>#N/A</v>
      </c>
      <c r="AM507">
        <f t="shared" si="56"/>
        <v>4</v>
      </c>
      <c r="AN507" t="e">
        <f t="shared" si="53"/>
        <v>#N/A</v>
      </c>
    </row>
    <row r="508" spans="12:40" x14ac:dyDescent="0.25">
      <c r="L508">
        <v>505</v>
      </c>
      <c r="M508">
        <v>15.348750000000001</v>
      </c>
      <c r="N508">
        <v>14.44375</v>
      </c>
      <c r="O508">
        <v>14.536652777777778</v>
      </c>
      <c r="P508">
        <v>13.820493055555557</v>
      </c>
      <c r="AG508">
        <v>1</v>
      </c>
      <c r="AH508" t="e">
        <f t="shared" si="50"/>
        <v>#N/A</v>
      </c>
      <c r="AI508">
        <f t="shared" si="54"/>
        <v>2</v>
      </c>
      <c r="AJ508" t="e">
        <f t="shared" si="51"/>
        <v>#N/A</v>
      </c>
      <c r="AK508">
        <f t="shared" si="55"/>
        <v>3</v>
      </c>
      <c r="AL508" t="e">
        <f t="shared" si="52"/>
        <v>#N/A</v>
      </c>
      <c r="AM508">
        <f t="shared" si="56"/>
        <v>4</v>
      </c>
      <c r="AN508" t="e">
        <f t="shared" si="53"/>
        <v>#N/A</v>
      </c>
    </row>
    <row r="509" spans="12:40" x14ac:dyDescent="0.25">
      <c r="L509">
        <v>506</v>
      </c>
      <c r="M509">
        <v>12.91</v>
      </c>
      <c r="N509">
        <v>13.569375000000001</v>
      </c>
      <c r="O509">
        <v>13.641569444444444</v>
      </c>
      <c r="P509">
        <v>14.350951388888889</v>
      </c>
      <c r="AG509">
        <v>1</v>
      </c>
      <c r="AH509" t="e">
        <f t="shared" si="50"/>
        <v>#N/A</v>
      </c>
      <c r="AI509">
        <f t="shared" si="54"/>
        <v>2</v>
      </c>
      <c r="AJ509" t="e">
        <f t="shared" si="51"/>
        <v>#N/A</v>
      </c>
      <c r="AK509">
        <f t="shared" si="55"/>
        <v>3</v>
      </c>
      <c r="AL509" t="e">
        <f t="shared" si="52"/>
        <v>#N/A</v>
      </c>
      <c r="AM509">
        <f t="shared" si="56"/>
        <v>4</v>
      </c>
      <c r="AN509" t="e">
        <f t="shared" si="53"/>
        <v>#N/A</v>
      </c>
    </row>
    <row r="510" spans="12:40" x14ac:dyDescent="0.25">
      <c r="L510">
        <v>507</v>
      </c>
      <c r="M510">
        <v>16.24625</v>
      </c>
      <c r="N510">
        <v>15.819375000000001</v>
      </c>
      <c r="O510">
        <v>14.75176388888889</v>
      </c>
      <c r="P510">
        <v>14.5405625</v>
      </c>
      <c r="AG510">
        <v>1</v>
      </c>
      <c r="AH510" t="e">
        <f t="shared" si="50"/>
        <v>#N/A</v>
      </c>
      <c r="AI510">
        <f t="shared" si="54"/>
        <v>2</v>
      </c>
      <c r="AJ510" t="e">
        <f t="shared" si="51"/>
        <v>#N/A</v>
      </c>
      <c r="AK510">
        <f t="shared" si="55"/>
        <v>3</v>
      </c>
      <c r="AL510" t="e">
        <f t="shared" si="52"/>
        <v>#N/A</v>
      </c>
      <c r="AM510">
        <f t="shared" si="56"/>
        <v>4</v>
      </c>
      <c r="AN510" t="e">
        <f t="shared" si="53"/>
        <v>#N/A</v>
      </c>
    </row>
    <row r="511" spans="12:40" x14ac:dyDescent="0.25">
      <c r="L511">
        <v>508</v>
      </c>
      <c r="M511">
        <v>14.647500000000001</v>
      </c>
      <c r="N511">
        <v>14.589375</v>
      </c>
      <c r="O511">
        <v>14.158027777777779</v>
      </c>
      <c r="P511">
        <v>14.191444444444445</v>
      </c>
      <c r="AG511">
        <v>1</v>
      </c>
      <c r="AH511" t="e">
        <f t="shared" si="50"/>
        <v>#N/A</v>
      </c>
      <c r="AI511">
        <f t="shared" si="54"/>
        <v>2</v>
      </c>
      <c r="AJ511" t="e">
        <f t="shared" si="51"/>
        <v>#N/A</v>
      </c>
      <c r="AK511">
        <f t="shared" si="55"/>
        <v>3</v>
      </c>
      <c r="AL511" t="e">
        <f t="shared" si="52"/>
        <v>#N/A</v>
      </c>
      <c r="AM511">
        <f t="shared" si="56"/>
        <v>4</v>
      </c>
      <c r="AN511" t="e">
        <f t="shared" si="53"/>
        <v>#N/A</v>
      </c>
    </row>
    <row r="512" spans="12:40" x14ac:dyDescent="0.25">
      <c r="L512">
        <v>509</v>
      </c>
      <c r="M512">
        <v>15.19875</v>
      </c>
      <c r="N512">
        <v>14.231875</v>
      </c>
      <c r="O512">
        <v>13.542958333333337</v>
      </c>
      <c r="P512">
        <v>13.374527777777779</v>
      </c>
      <c r="AG512">
        <v>1</v>
      </c>
      <c r="AH512" t="e">
        <f t="shared" si="50"/>
        <v>#N/A</v>
      </c>
      <c r="AI512">
        <f t="shared" si="54"/>
        <v>2</v>
      </c>
      <c r="AJ512" t="e">
        <f t="shared" si="51"/>
        <v>#N/A</v>
      </c>
      <c r="AK512">
        <f t="shared" si="55"/>
        <v>3</v>
      </c>
      <c r="AL512" t="e">
        <f t="shared" si="52"/>
        <v>#N/A</v>
      </c>
      <c r="AM512">
        <f t="shared" si="56"/>
        <v>4</v>
      </c>
      <c r="AN512" t="e">
        <f t="shared" si="53"/>
        <v>#N/A</v>
      </c>
    </row>
    <row r="513" spans="12:40" x14ac:dyDescent="0.25">
      <c r="L513">
        <v>510</v>
      </c>
      <c r="M513">
        <v>15.96625</v>
      </c>
      <c r="N513">
        <v>14.473750000000001</v>
      </c>
      <c r="O513">
        <v>14.105777777777778</v>
      </c>
      <c r="P513">
        <v>13.991187500000001</v>
      </c>
      <c r="AG513">
        <v>1</v>
      </c>
      <c r="AH513" t="e">
        <f t="shared" si="50"/>
        <v>#N/A</v>
      </c>
      <c r="AI513">
        <f t="shared" si="54"/>
        <v>2</v>
      </c>
      <c r="AJ513" t="e">
        <f t="shared" si="51"/>
        <v>#N/A</v>
      </c>
      <c r="AK513">
        <f t="shared" si="55"/>
        <v>3</v>
      </c>
      <c r="AL513" t="e">
        <f t="shared" si="52"/>
        <v>#N/A</v>
      </c>
      <c r="AM513">
        <f t="shared" si="56"/>
        <v>4</v>
      </c>
      <c r="AN513" t="e">
        <f t="shared" si="53"/>
        <v>#N/A</v>
      </c>
    </row>
    <row r="514" spans="12:40" x14ac:dyDescent="0.25">
      <c r="L514">
        <v>511</v>
      </c>
      <c r="M514">
        <v>13.97625</v>
      </c>
      <c r="N514">
        <v>13.86375</v>
      </c>
      <c r="O514">
        <v>14.122388888888889</v>
      </c>
      <c r="P514">
        <v>14.351430555555558</v>
      </c>
      <c r="AG514">
        <v>1</v>
      </c>
      <c r="AH514" t="e">
        <f t="shared" si="50"/>
        <v>#N/A</v>
      </c>
      <c r="AI514">
        <f t="shared" si="54"/>
        <v>2</v>
      </c>
      <c r="AJ514" t="e">
        <f t="shared" si="51"/>
        <v>#N/A</v>
      </c>
      <c r="AK514">
        <f t="shared" si="55"/>
        <v>3</v>
      </c>
      <c r="AL514" t="e">
        <f t="shared" si="52"/>
        <v>#N/A</v>
      </c>
      <c r="AM514">
        <f t="shared" si="56"/>
        <v>4</v>
      </c>
      <c r="AN514" t="e">
        <f t="shared" si="53"/>
        <v>#N/A</v>
      </c>
    </row>
    <row r="515" spans="12:40" x14ac:dyDescent="0.25">
      <c r="L515">
        <v>512</v>
      </c>
      <c r="M515">
        <v>14.15375</v>
      </c>
      <c r="N515">
        <v>14.505000000000001</v>
      </c>
      <c r="O515">
        <v>13.338888888888889</v>
      </c>
      <c r="P515">
        <v>13.517833333333336</v>
      </c>
      <c r="AG515">
        <v>1</v>
      </c>
      <c r="AH515" t="e">
        <f t="shared" si="50"/>
        <v>#N/A</v>
      </c>
      <c r="AI515">
        <f t="shared" si="54"/>
        <v>2</v>
      </c>
      <c r="AJ515" t="e">
        <f t="shared" si="51"/>
        <v>#N/A</v>
      </c>
      <c r="AK515">
        <f t="shared" si="55"/>
        <v>3</v>
      </c>
      <c r="AL515" t="e">
        <f t="shared" si="52"/>
        <v>#N/A</v>
      </c>
      <c r="AM515">
        <f t="shared" si="56"/>
        <v>4</v>
      </c>
      <c r="AN515" t="e">
        <f t="shared" si="53"/>
        <v>#N/A</v>
      </c>
    </row>
    <row r="516" spans="12:40" x14ac:dyDescent="0.25">
      <c r="L516">
        <v>513</v>
      </c>
      <c r="M516">
        <v>16.045000000000002</v>
      </c>
      <c r="N516">
        <v>15.69</v>
      </c>
      <c r="O516">
        <v>14.845083333333335</v>
      </c>
      <c r="P516">
        <v>14.410611111111111</v>
      </c>
      <c r="AG516">
        <v>1</v>
      </c>
      <c r="AH516" t="e">
        <f t="shared" ref="AH516:AH579" si="57">IF(OR(M516&lt;S$3,M516&gt;S$7),M516,#N/A)</f>
        <v>#N/A</v>
      </c>
      <c r="AI516">
        <f t="shared" si="54"/>
        <v>2</v>
      </c>
      <c r="AJ516" t="e">
        <f t="shared" ref="AJ516:AJ579" si="58">IF(OR(N516&lt;T$3,N516&gt;T$7),N516,#N/A)</f>
        <v>#N/A</v>
      </c>
      <c r="AK516">
        <f t="shared" si="55"/>
        <v>3</v>
      </c>
      <c r="AL516" t="e">
        <f t="shared" ref="AL516:AL579" si="59">IF(OR(O516&lt;U$3,O516&gt;U$7),O516,#N/A)</f>
        <v>#N/A</v>
      </c>
      <c r="AM516">
        <f t="shared" si="56"/>
        <v>4</v>
      </c>
      <c r="AN516" t="e">
        <f t="shared" ref="AN516:AN579" si="60">IF(OR(P516&lt;V$3,P516&gt;V$7),P516,#N/A)</f>
        <v>#N/A</v>
      </c>
    </row>
    <row r="517" spans="12:40" x14ac:dyDescent="0.25">
      <c r="L517">
        <v>514</v>
      </c>
      <c r="M517">
        <v>13.35</v>
      </c>
      <c r="N517">
        <v>14.401249999999999</v>
      </c>
      <c r="O517">
        <v>14.670319444444445</v>
      </c>
      <c r="P517">
        <v>14.168256944444442</v>
      </c>
      <c r="AG517">
        <v>1</v>
      </c>
      <c r="AH517" t="e">
        <f t="shared" si="57"/>
        <v>#N/A</v>
      </c>
      <c r="AI517">
        <f t="shared" ref="AI517:AI580" si="61">AG517+1</f>
        <v>2</v>
      </c>
      <c r="AJ517" t="e">
        <f t="shared" si="58"/>
        <v>#N/A</v>
      </c>
      <c r="AK517">
        <f t="shared" ref="AK517:AK580" si="62">AI517+1</f>
        <v>3</v>
      </c>
      <c r="AL517" t="e">
        <f t="shared" si="59"/>
        <v>#N/A</v>
      </c>
      <c r="AM517">
        <f t="shared" ref="AM517:AM580" si="63">AK517+1</f>
        <v>4</v>
      </c>
      <c r="AN517" t="e">
        <f t="shared" si="60"/>
        <v>#N/A</v>
      </c>
    </row>
    <row r="518" spans="12:40" x14ac:dyDescent="0.25">
      <c r="L518">
        <v>515</v>
      </c>
      <c r="M518">
        <v>14.141249999999999</v>
      </c>
      <c r="N518">
        <v>14.22</v>
      </c>
      <c r="O518">
        <v>14.164777777777779</v>
      </c>
      <c r="P518">
        <v>13.826895833333335</v>
      </c>
      <c r="AG518">
        <v>1</v>
      </c>
      <c r="AH518" t="e">
        <f t="shared" si="57"/>
        <v>#N/A</v>
      </c>
      <c r="AI518">
        <f t="shared" si="61"/>
        <v>2</v>
      </c>
      <c r="AJ518" t="e">
        <f t="shared" si="58"/>
        <v>#N/A</v>
      </c>
      <c r="AK518">
        <f t="shared" si="62"/>
        <v>3</v>
      </c>
      <c r="AL518" t="e">
        <f t="shared" si="59"/>
        <v>#N/A</v>
      </c>
      <c r="AM518">
        <f t="shared" si="63"/>
        <v>4</v>
      </c>
      <c r="AN518" t="e">
        <f t="shared" si="60"/>
        <v>#N/A</v>
      </c>
    </row>
    <row r="519" spans="12:40" x14ac:dyDescent="0.25">
      <c r="L519">
        <v>516</v>
      </c>
      <c r="M519">
        <v>12.74</v>
      </c>
      <c r="N519">
        <v>13.358124999999999</v>
      </c>
      <c r="O519">
        <v>13.481430555555557</v>
      </c>
      <c r="P519">
        <v>13.984000000000002</v>
      </c>
      <c r="AG519">
        <v>1</v>
      </c>
      <c r="AH519" t="e">
        <f t="shared" si="57"/>
        <v>#N/A</v>
      </c>
      <c r="AI519">
        <f t="shared" si="61"/>
        <v>2</v>
      </c>
      <c r="AJ519" t="e">
        <f t="shared" si="58"/>
        <v>#N/A</v>
      </c>
      <c r="AK519">
        <f t="shared" si="62"/>
        <v>3</v>
      </c>
      <c r="AL519" t="e">
        <f t="shared" si="59"/>
        <v>#N/A</v>
      </c>
      <c r="AM519">
        <f t="shared" si="63"/>
        <v>4</v>
      </c>
      <c r="AN519" t="e">
        <f t="shared" si="60"/>
        <v>#N/A</v>
      </c>
    </row>
    <row r="520" spans="12:40" x14ac:dyDescent="0.25">
      <c r="L520">
        <v>517</v>
      </c>
      <c r="M520">
        <v>13.01375</v>
      </c>
      <c r="N520">
        <v>12.873749999999999</v>
      </c>
      <c r="O520">
        <v>13.509805555555555</v>
      </c>
      <c r="P520">
        <v>14.299701388888886</v>
      </c>
      <c r="AG520">
        <v>1</v>
      </c>
      <c r="AH520" t="e">
        <f t="shared" si="57"/>
        <v>#N/A</v>
      </c>
      <c r="AI520">
        <f t="shared" si="61"/>
        <v>2</v>
      </c>
      <c r="AJ520" t="e">
        <f t="shared" si="58"/>
        <v>#N/A</v>
      </c>
      <c r="AK520">
        <f t="shared" si="62"/>
        <v>3</v>
      </c>
      <c r="AL520" t="e">
        <f t="shared" si="59"/>
        <v>#N/A</v>
      </c>
      <c r="AM520">
        <f t="shared" si="63"/>
        <v>4</v>
      </c>
      <c r="AN520" t="e">
        <f t="shared" si="60"/>
        <v>#N/A</v>
      </c>
    </row>
    <row r="521" spans="12:40" x14ac:dyDescent="0.25">
      <c r="L521">
        <v>518</v>
      </c>
      <c r="M521">
        <v>14.34</v>
      </c>
      <c r="N521">
        <v>14.561875000000001</v>
      </c>
      <c r="O521">
        <v>13.299958333333334</v>
      </c>
      <c r="P521">
        <v>13.397708333333332</v>
      </c>
      <c r="AG521">
        <v>1</v>
      </c>
      <c r="AH521" t="e">
        <f t="shared" si="57"/>
        <v>#N/A</v>
      </c>
      <c r="AI521">
        <f t="shared" si="61"/>
        <v>2</v>
      </c>
      <c r="AJ521" t="e">
        <f t="shared" si="58"/>
        <v>#N/A</v>
      </c>
      <c r="AK521">
        <f t="shared" si="62"/>
        <v>3</v>
      </c>
      <c r="AL521" t="e">
        <f t="shared" si="59"/>
        <v>#N/A</v>
      </c>
      <c r="AM521">
        <f t="shared" si="63"/>
        <v>4</v>
      </c>
      <c r="AN521" t="e">
        <f t="shared" si="60"/>
        <v>#N/A</v>
      </c>
    </row>
    <row r="522" spans="12:40" x14ac:dyDescent="0.25">
      <c r="L522">
        <v>519</v>
      </c>
      <c r="M522">
        <v>13.512499999999999</v>
      </c>
      <c r="N522">
        <v>14.192500000000001</v>
      </c>
      <c r="O522">
        <v>13.680180555555555</v>
      </c>
      <c r="P522">
        <v>13.296479166666666</v>
      </c>
      <c r="AG522">
        <v>1</v>
      </c>
      <c r="AH522" t="e">
        <f t="shared" si="57"/>
        <v>#N/A</v>
      </c>
      <c r="AI522">
        <f t="shared" si="61"/>
        <v>2</v>
      </c>
      <c r="AJ522" t="e">
        <f t="shared" si="58"/>
        <v>#N/A</v>
      </c>
      <c r="AK522">
        <f t="shared" si="62"/>
        <v>3</v>
      </c>
      <c r="AL522" t="e">
        <f t="shared" si="59"/>
        <v>#N/A</v>
      </c>
      <c r="AM522">
        <f t="shared" si="63"/>
        <v>4</v>
      </c>
      <c r="AN522" t="e">
        <f t="shared" si="60"/>
        <v>#N/A</v>
      </c>
    </row>
    <row r="523" spans="12:40" x14ac:dyDescent="0.25">
      <c r="L523">
        <v>520</v>
      </c>
      <c r="M523">
        <v>13.865</v>
      </c>
      <c r="N523">
        <v>14.015625</v>
      </c>
      <c r="O523">
        <v>14.132222222222222</v>
      </c>
      <c r="P523">
        <v>14.445</v>
      </c>
      <c r="AG523">
        <v>1</v>
      </c>
      <c r="AH523" t="e">
        <f t="shared" si="57"/>
        <v>#N/A</v>
      </c>
      <c r="AI523">
        <f t="shared" si="61"/>
        <v>2</v>
      </c>
      <c r="AJ523" t="e">
        <f t="shared" si="58"/>
        <v>#N/A</v>
      </c>
      <c r="AK523">
        <f t="shared" si="62"/>
        <v>3</v>
      </c>
      <c r="AL523" t="e">
        <f t="shared" si="59"/>
        <v>#N/A</v>
      </c>
      <c r="AM523">
        <f t="shared" si="63"/>
        <v>4</v>
      </c>
      <c r="AN523" t="e">
        <f t="shared" si="60"/>
        <v>#N/A</v>
      </c>
    </row>
    <row r="524" spans="12:40" x14ac:dyDescent="0.25">
      <c r="L524">
        <v>521</v>
      </c>
      <c r="M524">
        <v>14.057499999999999</v>
      </c>
      <c r="N524">
        <v>13.94125</v>
      </c>
      <c r="O524">
        <v>13.933152777777778</v>
      </c>
      <c r="P524">
        <v>13.853576388888888</v>
      </c>
      <c r="AG524">
        <v>1</v>
      </c>
      <c r="AH524" t="e">
        <f t="shared" si="57"/>
        <v>#N/A</v>
      </c>
      <c r="AI524">
        <f t="shared" si="61"/>
        <v>2</v>
      </c>
      <c r="AJ524" t="e">
        <f t="shared" si="58"/>
        <v>#N/A</v>
      </c>
      <c r="AK524">
        <f t="shared" si="62"/>
        <v>3</v>
      </c>
      <c r="AL524" t="e">
        <f t="shared" si="59"/>
        <v>#N/A</v>
      </c>
      <c r="AM524">
        <f t="shared" si="63"/>
        <v>4</v>
      </c>
      <c r="AN524" t="e">
        <f t="shared" si="60"/>
        <v>#N/A</v>
      </c>
    </row>
    <row r="525" spans="12:40" x14ac:dyDescent="0.25">
      <c r="L525">
        <v>522</v>
      </c>
      <c r="M525">
        <v>15.095000000000001</v>
      </c>
      <c r="N525">
        <v>15.32375</v>
      </c>
      <c r="O525">
        <v>14.101027777777778</v>
      </c>
      <c r="P525">
        <v>13.904784722222221</v>
      </c>
      <c r="AG525">
        <v>1</v>
      </c>
      <c r="AH525" t="e">
        <f t="shared" si="57"/>
        <v>#N/A</v>
      </c>
      <c r="AI525">
        <f t="shared" si="61"/>
        <v>2</v>
      </c>
      <c r="AJ525" t="e">
        <f t="shared" si="58"/>
        <v>#N/A</v>
      </c>
      <c r="AK525">
        <f t="shared" si="62"/>
        <v>3</v>
      </c>
      <c r="AL525" t="e">
        <f t="shared" si="59"/>
        <v>#N/A</v>
      </c>
      <c r="AM525">
        <f t="shared" si="63"/>
        <v>4</v>
      </c>
      <c r="AN525" t="e">
        <f t="shared" si="60"/>
        <v>#N/A</v>
      </c>
    </row>
    <row r="526" spans="12:40" x14ac:dyDescent="0.25">
      <c r="L526">
        <v>523</v>
      </c>
      <c r="M526">
        <v>13.133749999999999</v>
      </c>
      <c r="N526">
        <v>13.748749999999999</v>
      </c>
      <c r="O526">
        <v>13.842527777777777</v>
      </c>
      <c r="P526">
        <v>13.591215277777778</v>
      </c>
      <c r="AG526">
        <v>1</v>
      </c>
      <c r="AH526" t="e">
        <f t="shared" si="57"/>
        <v>#N/A</v>
      </c>
      <c r="AI526">
        <f t="shared" si="61"/>
        <v>2</v>
      </c>
      <c r="AJ526" t="e">
        <f t="shared" si="58"/>
        <v>#N/A</v>
      </c>
      <c r="AK526">
        <f t="shared" si="62"/>
        <v>3</v>
      </c>
      <c r="AL526" t="e">
        <f t="shared" si="59"/>
        <v>#N/A</v>
      </c>
      <c r="AM526">
        <f t="shared" si="63"/>
        <v>4</v>
      </c>
      <c r="AN526" t="e">
        <f t="shared" si="60"/>
        <v>#N/A</v>
      </c>
    </row>
    <row r="527" spans="12:40" x14ac:dyDescent="0.25">
      <c r="L527">
        <v>524</v>
      </c>
      <c r="M527">
        <v>12.225</v>
      </c>
      <c r="N527">
        <v>12.843125000000001</v>
      </c>
      <c r="O527">
        <v>13.572625</v>
      </c>
      <c r="P527">
        <v>13.708083333333335</v>
      </c>
      <c r="AG527">
        <v>1</v>
      </c>
      <c r="AH527" t="e">
        <f t="shared" si="57"/>
        <v>#N/A</v>
      </c>
      <c r="AI527">
        <f t="shared" si="61"/>
        <v>2</v>
      </c>
      <c r="AJ527" t="e">
        <f t="shared" si="58"/>
        <v>#N/A</v>
      </c>
      <c r="AK527">
        <f t="shared" si="62"/>
        <v>3</v>
      </c>
      <c r="AL527" t="e">
        <f t="shared" si="59"/>
        <v>#N/A</v>
      </c>
      <c r="AM527">
        <f t="shared" si="63"/>
        <v>4</v>
      </c>
      <c r="AN527" t="e">
        <f t="shared" si="60"/>
        <v>#N/A</v>
      </c>
    </row>
    <row r="528" spans="12:40" x14ac:dyDescent="0.25">
      <c r="L528">
        <v>525</v>
      </c>
      <c r="M528">
        <v>14.036250000000001</v>
      </c>
      <c r="N528">
        <v>14.323124999999999</v>
      </c>
      <c r="O528">
        <v>13.798152777777778</v>
      </c>
      <c r="P528">
        <v>13.816881944444445</v>
      </c>
      <c r="AG528">
        <v>1</v>
      </c>
      <c r="AH528" t="e">
        <f t="shared" si="57"/>
        <v>#N/A</v>
      </c>
      <c r="AI528">
        <f t="shared" si="61"/>
        <v>2</v>
      </c>
      <c r="AJ528" t="e">
        <f t="shared" si="58"/>
        <v>#N/A</v>
      </c>
      <c r="AK528">
        <f t="shared" si="62"/>
        <v>3</v>
      </c>
      <c r="AL528" t="e">
        <f t="shared" si="59"/>
        <v>#N/A</v>
      </c>
      <c r="AM528">
        <f t="shared" si="63"/>
        <v>4</v>
      </c>
      <c r="AN528" t="e">
        <f t="shared" si="60"/>
        <v>#N/A</v>
      </c>
    </row>
    <row r="529" spans="12:40" x14ac:dyDescent="0.25">
      <c r="L529">
        <v>526</v>
      </c>
      <c r="M529">
        <v>13.005000000000001</v>
      </c>
      <c r="N529">
        <v>13.22</v>
      </c>
      <c r="O529">
        <v>13.306902777777777</v>
      </c>
      <c r="P529">
        <v>13.538076388888891</v>
      </c>
      <c r="AG529">
        <v>1</v>
      </c>
      <c r="AH529" t="e">
        <f t="shared" si="57"/>
        <v>#N/A</v>
      </c>
      <c r="AI529">
        <f t="shared" si="61"/>
        <v>2</v>
      </c>
      <c r="AJ529" t="e">
        <f t="shared" si="58"/>
        <v>#N/A</v>
      </c>
      <c r="AK529">
        <f t="shared" si="62"/>
        <v>3</v>
      </c>
      <c r="AL529" t="e">
        <f t="shared" si="59"/>
        <v>#N/A</v>
      </c>
      <c r="AM529">
        <f t="shared" si="63"/>
        <v>4</v>
      </c>
      <c r="AN529" t="e">
        <f t="shared" si="60"/>
        <v>#N/A</v>
      </c>
    </row>
    <row r="530" spans="12:40" x14ac:dyDescent="0.25">
      <c r="L530">
        <v>527</v>
      </c>
      <c r="M530">
        <v>15.33</v>
      </c>
      <c r="N530">
        <v>14.65375</v>
      </c>
      <c r="O530">
        <v>13.985944444444444</v>
      </c>
      <c r="P530">
        <v>14.123791666666669</v>
      </c>
      <c r="AG530">
        <v>1</v>
      </c>
      <c r="AH530" t="e">
        <f t="shared" si="57"/>
        <v>#N/A</v>
      </c>
      <c r="AI530">
        <f t="shared" si="61"/>
        <v>2</v>
      </c>
      <c r="AJ530" t="e">
        <f t="shared" si="58"/>
        <v>#N/A</v>
      </c>
      <c r="AK530">
        <f t="shared" si="62"/>
        <v>3</v>
      </c>
      <c r="AL530" t="e">
        <f t="shared" si="59"/>
        <v>#N/A</v>
      </c>
      <c r="AM530">
        <f t="shared" si="63"/>
        <v>4</v>
      </c>
      <c r="AN530" t="e">
        <f t="shared" si="60"/>
        <v>#N/A</v>
      </c>
    </row>
    <row r="531" spans="12:40" x14ac:dyDescent="0.25">
      <c r="L531">
        <v>528</v>
      </c>
      <c r="M531">
        <v>13.88625</v>
      </c>
      <c r="N531">
        <v>13.835000000000001</v>
      </c>
      <c r="O531">
        <v>13.830347222222223</v>
      </c>
      <c r="P531">
        <v>13.875354166666666</v>
      </c>
      <c r="AG531">
        <v>1</v>
      </c>
      <c r="AH531" t="e">
        <f t="shared" si="57"/>
        <v>#N/A</v>
      </c>
      <c r="AI531">
        <f t="shared" si="61"/>
        <v>2</v>
      </c>
      <c r="AJ531" t="e">
        <f t="shared" si="58"/>
        <v>#N/A</v>
      </c>
      <c r="AK531">
        <f t="shared" si="62"/>
        <v>3</v>
      </c>
      <c r="AL531" t="e">
        <f t="shared" si="59"/>
        <v>#N/A</v>
      </c>
      <c r="AM531">
        <f t="shared" si="63"/>
        <v>4</v>
      </c>
      <c r="AN531" t="e">
        <f t="shared" si="60"/>
        <v>#N/A</v>
      </c>
    </row>
    <row r="532" spans="12:40" x14ac:dyDescent="0.25">
      <c r="L532">
        <v>529</v>
      </c>
      <c r="M532">
        <v>12.811249999999999</v>
      </c>
      <c r="N532">
        <v>13.00625</v>
      </c>
      <c r="O532">
        <v>13.05552777777778</v>
      </c>
      <c r="P532">
        <v>13.607388888888886</v>
      </c>
      <c r="AG532">
        <v>1</v>
      </c>
      <c r="AH532" t="e">
        <f t="shared" si="57"/>
        <v>#N/A</v>
      </c>
      <c r="AI532">
        <f t="shared" si="61"/>
        <v>2</v>
      </c>
      <c r="AJ532" t="e">
        <f t="shared" si="58"/>
        <v>#N/A</v>
      </c>
      <c r="AK532">
        <f t="shared" si="62"/>
        <v>3</v>
      </c>
      <c r="AL532" t="e">
        <f t="shared" si="59"/>
        <v>#N/A</v>
      </c>
      <c r="AM532">
        <f t="shared" si="63"/>
        <v>4</v>
      </c>
      <c r="AN532" t="e">
        <f t="shared" si="60"/>
        <v>#N/A</v>
      </c>
    </row>
    <row r="533" spans="12:40" x14ac:dyDescent="0.25">
      <c r="L533">
        <v>530</v>
      </c>
      <c r="M533">
        <v>13.543749999999999</v>
      </c>
      <c r="N533">
        <v>13.629375</v>
      </c>
      <c r="O533">
        <v>13.729749999999999</v>
      </c>
      <c r="P533">
        <v>14.020645833333335</v>
      </c>
      <c r="AG533">
        <v>1</v>
      </c>
      <c r="AH533" t="e">
        <f t="shared" si="57"/>
        <v>#N/A</v>
      </c>
      <c r="AI533">
        <f t="shared" si="61"/>
        <v>2</v>
      </c>
      <c r="AJ533" t="e">
        <f t="shared" si="58"/>
        <v>#N/A</v>
      </c>
      <c r="AK533">
        <f t="shared" si="62"/>
        <v>3</v>
      </c>
      <c r="AL533" t="e">
        <f t="shared" si="59"/>
        <v>#N/A</v>
      </c>
      <c r="AM533">
        <f t="shared" si="63"/>
        <v>4</v>
      </c>
      <c r="AN533" t="e">
        <f t="shared" si="60"/>
        <v>#N/A</v>
      </c>
    </row>
    <row r="534" spans="12:40" x14ac:dyDescent="0.25">
      <c r="L534">
        <v>531</v>
      </c>
      <c r="M534">
        <v>14.606249999999999</v>
      </c>
      <c r="N534">
        <v>14.3325</v>
      </c>
      <c r="O534">
        <v>14.033972222222221</v>
      </c>
      <c r="P534">
        <v>14.29967361111111</v>
      </c>
      <c r="AG534">
        <v>1</v>
      </c>
      <c r="AH534" t="e">
        <f t="shared" si="57"/>
        <v>#N/A</v>
      </c>
      <c r="AI534">
        <f t="shared" si="61"/>
        <v>2</v>
      </c>
      <c r="AJ534" t="e">
        <f t="shared" si="58"/>
        <v>#N/A</v>
      </c>
      <c r="AK534">
        <f t="shared" si="62"/>
        <v>3</v>
      </c>
      <c r="AL534" t="e">
        <f t="shared" si="59"/>
        <v>#N/A</v>
      </c>
      <c r="AM534">
        <f t="shared" si="63"/>
        <v>4</v>
      </c>
      <c r="AN534" t="e">
        <f t="shared" si="60"/>
        <v>#N/A</v>
      </c>
    </row>
    <row r="535" spans="12:40" x14ac:dyDescent="0.25">
      <c r="L535">
        <v>532</v>
      </c>
      <c r="M535">
        <v>13.821249999999999</v>
      </c>
      <c r="N535">
        <v>12.88875</v>
      </c>
      <c r="O535">
        <v>13.656444444444444</v>
      </c>
      <c r="P535">
        <v>13.597916666666668</v>
      </c>
      <c r="AG535">
        <v>1</v>
      </c>
      <c r="AH535" t="e">
        <f t="shared" si="57"/>
        <v>#N/A</v>
      </c>
      <c r="AI535">
        <f t="shared" si="61"/>
        <v>2</v>
      </c>
      <c r="AJ535" t="e">
        <f t="shared" si="58"/>
        <v>#N/A</v>
      </c>
      <c r="AK535">
        <f t="shared" si="62"/>
        <v>3</v>
      </c>
      <c r="AL535" t="e">
        <f t="shared" si="59"/>
        <v>#N/A</v>
      </c>
      <c r="AM535">
        <f t="shared" si="63"/>
        <v>4</v>
      </c>
      <c r="AN535" t="e">
        <f t="shared" si="60"/>
        <v>#N/A</v>
      </c>
    </row>
    <row r="536" spans="12:40" x14ac:dyDescent="0.25">
      <c r="L536">
        <v>533</v>
      </c>
      <c r="M536">
        <v>14.016249999999999</v>
      </c>
      <c r="N536">
        <v>14.39625</v>
      </c>
      <c r="O536">
        <v>14.235888888888889</v>
      </c>
      <c r="P536">
        <v>14.222923611111113</v>
      </c>
      <c r="AG536">
        <v>1</v>
      </c>
      <c r="AH536" t="e">
        <f t="shared" si="57"/>
        <v>#N/A</v>
      </c>
      <c r="AI536">
        <f t="shared" si="61"/>
        <v>2</v>
      </c>
      <c r="AJ536" t="e">
        <f t="shared" si="58"/>
        <v>#N/A</v>
      </c>
      <c r="AK536">
        <f t="shared" si="62"/>
        <v>3</v>
      </c>
      <c r="AL536" t="e">
        <f t="shared" si="59"/>
        <v>#N/A</v>
      </c>
      <c r="AM536">
        <f t="shared" si="63"/>
        <v>4</v>
      </c>
      <c r="AN536" t="e">
        <f t="shared" si="60"/>
        <v>#N/A</v>
      </c>
    </row>
    <row r="537" spans="12:40" x14ac:dyDescent="0.25">
      <c r="L537">
        <v>534</v>
      </c>
      <c r="M537">
        <v>13.922499999999999</v>
      </c>
      <c r="N537">
        <v>14.305</v>
      </c>
      <c r="O537">
        <v>13.998375000000001</v>
      </c>
      <c r="P537">
        <v>14.410027777777778</v>
      </c>
      <c r="AG537">
        <v>1</v>
      </c>
      <c r="AH537" t="e">
        <f t="shared" si="57"/>
        <v>#N/A</v>
      </c>
      <c r="AI537">
        <f t="shared" si="61"/>
        <v>2</v>
      </c>
      <c r="AJ537" t="e">
        <f t="shared" si="58"/>
        <v>#N/A</v>
      </c>
      <c r="AK537">
        <f t="shared" si="62"/>
        <v>3</v>
      </c>
      <c r="AL537" t="e">
        <f t="shared" si="59"/>
        <v>#N/A</v>
      </c>
      <c r="AM537">
        <f t="shared" si="63"/>
        <v>4</v>
      </c>
      <c r="AN537" t="e">
        <f t="shared" si="60"/>
        <v>#N/A</v>
      </c>
    </row>
    <row r="538" spans="12:40" x14ac:dyDescent="0.25">
      <c r="L538">
        <v>535</v>
      </c>
      <c r="M538">
        <v>13.8675</v>
      </c>
      <c r="N538">
        <v>14.253125000000001</v>
      </c>
      <c r="O538">
        <v>14.281527777777779</v>
      </c>
      <c r="P538">
        <v>14.634090277777778</v>
      </c>
      <c r="AG538">
        <v>1</v>
      </c>
      <c r="AH538" t="e">
        <f t="shared" si="57"/>
        <v>#N/A</v>
      </c>
      <c r="AI538">
        <f t="shared" si="61"/>
        <v>2</v>
      </c>
      <c r="AJ538" t="e">
        <f t="shared" si="58"/>
        <v>#N/A</v>
      </c>
      <c r="AK538">
        <f t="shared" si="62"/>
        <v>3</v>
      </c>
      <c r="AL538" t="e">
        <f t="shared" si="59"/>
        <v>#N/A</v>
      </c>
      <c r="AM538">
        <f t="shared" si="63"/>
        <v>4</v>
      </c>
      <c r="AN538" t="e">
        <f t="shared" si="60"/>
        <v>#N/A</v>
      </c>
    </row>
    <row r="539" spans="12:40" x14ac:dyDescent="0.25">
      <c r="L539">
        <v>536</v>
      </c>
      <c r="M539">
        <v>14.928750000000001</v>
      </c>
      <c r="N539">
        <v>14.324375</v>
      </c>
      <c r="O539">
        <v>13.957361111111114</v>
      </c>
      <c r="P539">
        <v>14.354000000000001</v>
      </c>
      <c r="AG539">
        <v>1</v>
      </c>
      <c r="AH539" t="e">
        <f t="shared" si="57"/>
        <v>#N/A</v>
      </c>
      <c r="AI539">
        <f t="shared" si="61"/>
        <v>2</v>
      </c>
      <c r="AJ539" t="e">
        <f t="shared" si="58"/>
        <v>#N/A</v>
      </c>
      <c r="AK539">
        <f t="shared" si="62"/>
        <v>3</v>
      </c>
      <c r="AL539" t="e">
        <f t="shared" si="59"/>
        <v>#N/A</v>
      </c>
      <c r="AM539">
        <f t="shared" si="63"/>
        <v>4</v>
      </c>
      <c r="AN539" t="e">
        <f t="shared" si="60"/>
        <v>#N/A</v>
      </c>
    </row>
    <row r="540" spans="12:40" x14ac:dyDescent="0.25">
      <c r="L540">
        <v>537</v>
      </c>
      <c r="M540">
        <v>13.092499999999999</v>
      </c>
      <c r="N540">
        <v>13.249375000000001</v>
      </c>
      <c r="O540">
        <v>13.733277777777777</v>
      </c>
      <c r="P540">
        <v>13.610131944444442</v>
      </c>
      <c r="AG540">
        <v>1</v>
      </c>
      <c r="AH540" t="e">
        <f t="shared" si="57"/>
        <v>#N/A</v>
      </c>
      <c r="AI540">
        <f t="shared" si="61"/>
        <v>2</v>
      </c>
      <c r="AJ540" t="e">
        <f t="shared" si="58"/>
        <v>#N/A</v>
      </c>
      <c r="AK540">
        <f t="shared" si="62"/>
        <v>3</v>
      </c>
      <c r="AL540" t="e">
        <f t="shared" si="59"/>
        <v>#N/A</v>
      </c>
      <c r="AM540">
        <f t="shared" si="63"/>
        <v>4</v>
      </c>
      <c r="AN540" t="e">
        <f t="shared" si="60"/>
        <v>#N/A</v>
      </c>
    </row>
    <row r="541" spans="12:40" x14ac:dyDescent="0.25">
      <c r="L541">
        <v>538</v>
      </c>
      <c r="M541">
        <v>14.9825</v>
      </c>
      <c r="N541">
        <v>14.831875</v>
      </c>
      <c r="O541">
        <v>14.513152777777778</v>
      </c>
      <c r="P541">
        <v>14.548590277777778</v>
      </c>
      <c r="AG541">
        <v>1</v>
      </c>
      <c r="AH541" t="e">
        <f t="shared" si="57"/>
        <v>#N/A</v>
      </c>
      <c r="AI541">
        <f t="shared" si="61"/>
        <v>2</v>
      </c>
      <c r="AJ541" t="e">
        <f t="shared" si="58"/>
        <v>#N/A</v>
      </c>
      <c r="AK541">
        <f t="shared" si="62"/>
        <v>3</v>
      </c>
      <c r="AL541" t="e">
        <f t="shared" si="59"/>
        <v>#N/A</v>
      </c>
      <c r="AM541">
        <f t="shared" si="63"/>
        <v>4</v>
      </c>
      <c r="AN541" t="e">
        <f t="shared" si="60"/>
        <v>#N/A</v>
      </c>
    </row>
    <row r="542" spans="12:40" x14ac:dyDescent="0.25">
      <c r="L542">
        <v>539</v>
      </c>
      <c r="M542">
        <v>13.145</v>
      </c>
      <c r="N542">
        <v>12.974375</v>
      </c>
      <c r="O542">
        <v>13.586944444444443</v>
      </c>
      <c r="P542">
        <v>13.911</v>
      </c>
      <c r="AG542">
        <v>1</v>
      </c>
      <c r="AH542" t="e">
        <f t="shared" si="57"/>
        <v>#N/A</v>
      </c>
      <c r="AI542">
        <f t="shared" si="61"/>
        <v>2</v>
      </c>
      <c r="AJ542" t="e">
        <f t="shared" si="58"/>
        <v>#N/A</v>
      </c>
      <c r="AK542">
        <f t="shared" si="62"/>
        <v>3</v>
      </c>
      <c r="AL542" t="e">
        <f t="shared" si="59"/>
        <v>#N/A</v>
      </c>
      <c r="AM542">
        <f t="shared" si="63"/>
        <v>4</v>
      </c>
      <c r="AN542" t="e">
        <f t="shared" si="60"/>
        <v>#N/A</v>
      </c>
    </row>
    <row r="543" spans="12:40" x14ac:dyDescent="0.25">
      <c r="L543">
        <v>540</v>
      </c>
      <c r="M543">
        <v>14.203749999999999</v>
      </c>
      <c r="N543">
        <v>13.803750000000001</v>
      </c>
      <c r="O543">
        <v>14.279375</v>
      </c>
      <c r="P543">
        <v>14.229236111111112</v>
      </c>
      <c r="AG543">
        <v>1</v>
      </c>
      <c r="AH543" t="e">
        <f t="shared" si="57"/>
        <v>#N/A</v>
      </c>
      <c r="AI543">
        <f t="shared" si="61"/>
        <v>2</v>
      </c>
      <c r="AJ543" t="e">
        <f t="shared" si="58"/>
        <v>#N/A</v>
      </c>
      <c r="AK543">
        <f t="shared" si="62"/>
        <v>3</v>
      </c>
      <c r="AL543" t="e">
        <f t="shared" si="59"/>
        <v>#N/A</v>
      </c>
      <c r="AM543">
        <f t="shared" si="63"/>
        <v>4</v>
      </c>
      <c r="AN543" t="e">
        <f t="shared" si="60"/>
        <v>#N/A</v>
      </c>
    </row>
    <row r="544" spans="12:40" x14ac:dyDescent="0.25">
      <c r="L544">
        <v>541</v>
      </c>
      <c r="M544">
        <v>13.942500000000001</v>
      </c>
      <c r="N544">
        <v>13.60125</v>
      </c>
      <c r="O544">
        <v>14.390999999999998</v>
      </c>
      <c r="P544">
        <v>14.034666666666665</v>
      </c>
      <c r="AG544">
        <v>1</v>
      </c>
      <c r="AH544" t="e">
        <f t="shared" si="57"/>
        <v>#N/A</v>
      </c>
      <c r="AI544">
        <f t="shared" si="61"/>
        <v>2</v>
      </c>
      <c r="AJ544" t="e">
        <f t="shared" si="58"/>
        <v>#N/A</v>
      </c>
      <c r="AK544">
        <f t="shared" si="62"/>
        <v>3</v>
      </c>
      <c r="AL544" t="e">
        <f t="shared" si="59"/>
        <v>#N/A</v>
      </c>
      <c r="AM544">
        <f t="shared" si="63"/>
        <v>4</v>
      </c>
      <c r="AN544" t="e">
        <f t="shared" si="60"/>
        <v>#N/A</v>
      </c>
    </row>
    <row r="545" spans="12:40" x14ac:dyDescent="0.25">
      <c r="L545">
        <v>542</v>
      </c>
      <c r="M545">
        <v>12.76</v>
      </c>
      <c r="N545">
        <v>13.829375000000001</v>
      </c>
      <c r="O545">
        <v>14.276208333333331</v>
      </c>
      <c r="P545">
        <v>14.135930555555554</v>
      </c>
      <c r="AG545">
        <v>1</v>
      </c>
      <c r="AH545" t="e">
        <f t="shared" si="57"/>
        <v>#N/A</v>
      </c>
      <c r="AI545">
        <f t="shared" si="61"/>
        <v>2</v>
      </c>
      <c r="AJ545" t="e">
        <f t="shared" si="58"/>
        <v>#N/A</v>
      </c>
      <c r="AK545">
        <f t="shared" si="62"/>
        <v>3</v>
      </c>
      <c r="AL545" t="e">
        <f t="shared" si="59"/>
        <v>#N/A</v>
      </c>
      <c r="AM545">
        <f t="shared" si="63"/>
        <v>4</v>
      </c>
      <c r="AN545" t="e">
        <f t="shared" si="60"/>
        <v>#N/A</v>
      </c>
    </row>
    <row r="546" spans="12:40" x14ac:dyDescent="0.25">
      <c r="L546">
        <v>543</v>
      </c>
      <c r="M546">
        <v>12.94375</v>
      </c>
      <c r="N546">
        <v>13.154999999999999</v>
      </c>
      <c r="O546">
        <v>14.155625000000001</v>
      </c>
      <c r="P546">
        <v>13.994729166666666</v>
      </c>
      <c r="AG546">
        <v>1</v>
      </c>
      <c r="AH546" t="e">
        <f t="shared" si="57"/>
        <v>#N/A</v>
      </c>
      <c r="AI546">
        <f t="shared" si="61"/>
        <v>2</v>
      </c>
      <c r="AJ546" t="e">
        <f t="shared" si="58"/>
        <v>#N/A</v>
      </c>
      <c r="AK546">
        <f t="shared" si="62"/>
        <v>3</v>
      </c>
      <c r="AL546" t="e">
        <f t="shared" si="59"/>
        <v>#N/A</v>
      </c>
      <c r="AM546">
        <f t="shared" si="63"/>
        <v>4</v>
      </c>
      <c r="AN546" t="e">
        <f t="shared" si="60"/>
        <v>#N/A</v>
      </c>
    </row>
    <row r="547" spans="12:40" x14ac:dyDescent="0.25">
      <c r="L547">
        <v>544</v>
      </c>
      <c r="M547">
        <v>15.60125</v>
      </c>
      <c r="N547">
        <v>14.218125000000001</v>
      </c>
      <c r="O547">
        <v>14.567958333333335</v>
      </c>
      <c r="P547">
        <v>14.436423611111111</v>
      </c>
      <c r="AG547">
        <v>1</v>
      </c>
      <c r="AH547" t="e">
        <f t="shared" si="57"/>
        <v>#N/A</v>
      </c>
      <c r="AI547">
        <f t="shared" si="61"/>
        <v>2</v>
      </c>
      <c r="AJ547" t="e">
        <f t="shared" si="58"/>
        <v>#N/A</v>
      </c>
      <c r="AK547">
        <f t="shared" si="62"/>
        <v>3</v>
      </c>
      <c r="AL547" t="e">
        <f t="shared" si="59"/>
        <v>#N/A</v>
      </c>
      <c r="AM547">
        <f t="shared" si="63"/>
        <v>4</v>
      </c>
      <c r="AN547" t="e">
        <f t="shared" si="60"/>
        <v>#N/A</v>
      </c>
    </row>
    <row r="548" spans="12:40" x14ac:dyDescent="0.25">
      <c r="L548">
        <v>545</v>
      </c>
      <c r="M548">
        <v>15.375</v>
      </c>
      <c r="N548">
        <v>14.295624999999999</v>
      </c>
      <c r="O548">
        <v>13.845111111111112</v>
      </c>
      <c r="P548">
        <v>14.014416666666669</v>
      </c>
      <c r="AG548">
        <v>1</v>
      </c>
      <c r="AH548" t="e">
        <f t="shared" si="57"/>
        <v>#N/A</v>
      </c>
      <c r="AI548">
        <f t="shared" si="61"/>
        <v>2</v>
      </c>
      <c r="AJ548" t="e">
        <f t="shared" si="58"/>
        <v>#N/A</v>
      </c>
      <c r="AK548">
        <f t="shared" si="62"/>
        <v>3</v>
      </c>
      <c r="AL548" t="e">
        <f t="shared" si="59"/>
        <v>#N/A</v>
      </c>
      <c r="AM548">
        <f t="shared" si="63"/>
        <v>4</v>
      </c>
      <c r="AN548" t="e">
        <f t="shared" si="60"/>
        <v>#N/A</v>
      </c>
    </row>
    <row r="549" spans="12:40" x14ac:dyDescent="0.25">
      <c r="L549">
        <v>546</v>
      </c>
      <c r="M549">
        <v>14.154999999999999</v>
      </c>
      <c r="N549">
        <v>14.06625</v>
      </c>
      <c r="O549">
        <v>13.885458333333336</v>
      </c>
      <c r="P549">
        <v>14.240250000000001</v>
      </c>
      <c r="AG549">
        <v>1</v>
      </c>
      <c r="AH549" t="e">
        <f t="shared" si="57"/>
        <v>#N/A</v>
      </c>
      <c r="AI549">
        <f t="shared" si="61"/>
        <v>2</v>
      </c>
      <c r="AJ549" t="e">
        <f t="shared" si="58"/>
        <v>#N/A</v>
      </c>
      <c r="AK549">
        <f t="shared" si="62"/>
        <v>3</v>
      </c>
      <c r="AL549" t="e">
        <f t="shared" si="59"/>
        <v>#N/A</v>
      </c>
      <c r="AM549">
        <f t="shared" si="63"/>
        <v>4</v>
      </c>
      <c r="AN549" t="e">
        <f t="shared" si="60"/>
        <v>#N/A</v>
      </c>
    </row>
    <row r="550" spans="12:40" x14ac:dyDescent="0.25">
      <c r="L550">
        <v>547</v>
      </c>
      <c r="M550">
        <v>15.813750000000001</v>
      </c>
      <c r="N550">
        <v>14.77875</v>
      </c>
      <c r="O550">
        <v>14.606847222222223</v>
      </c>
      <c r="P550">
        <v>14.570263888888887</v>
      </c>
      <c r="AG550">
        <v>1</v>
      </c>
      <c r="AH550" t="e">
        <f t="shared" si="57"/>
        <v>#N/A</v>
      </c>
      <c r="AI550">
        <f t="shared" si="61"/>
        <v>2</v>
      </c>
      <c r="AJ550" t="e">
        <f t="shared" si="58"/>
        <v>#N/A</v>
      </c>
      <c r="AK550">
        <f t="shared" si="62"/>
        <v>3</v>
      </c>
      <c r="AL550" t="e">
        <f t="shared" si="59"/>
        <v>#N/A</v>
      </c>
      <c r="AM550">
        <f t="shared" si="63"/>
        <v>4</v>
      </c>
      <c r="AN550" t="e">
        <f t="shared" si="60"/>
        <v>#N/A</v>
      </c>
    </row>
    <row r="551" spans="12:40" x14ac:dyDescent="0.25">
      <c r="L551">
        <v>548</v>
      </c>
      <c r="M551">
        <v>14.555</v>
      </c>
      <c r="N551">
        <v>14.373749999999999</v>
      </c>
      <c r="O551">
        <v>13.680152777777778</v>
      </c>
      <c r="P551">
        <v>13.801340277777779</v>
      </c>
      <c r="AG551">
        <v>1</v>
      </c>
      <c r="AH551" t="e">
        <f t="shared" si="57"/>
        <v>#N/A</v>
      </c>
      <c r="AI551">
        <f t="shared" si="61"/>
        <v>2</v>
      </c>
      <c r="AJ551" t="e">
        <f t="shared" si="58"/>
        <v>#N/A</v>
      </c>
      <c r="AK551">
        <f t="shared" si="62"/>
        <v>3</v>
      </c>
      <c r="AL551" t="e">
        <f t="shared" si="59"/>
        <v>#N/A</v>
      </c>
      <c r="AM551">
        <f t="shared" si="63"/>
        <v>4</v>
      </c>
      <c r="AN551" t="e">
        <f t="shared" si="60"/>
        <v>#N/A</v>
      </c>
    </row>
    <row r="552" spans="12:40" x14ac:dyDescent="0.25">
      <c r="L552">
        <v>549</v>
      </c>
      <c r="M552">
        <v>12.8225</v>
      </c>
      <c r="N552">
        <v>12.894375</v>
      </c>
      <c r="O552">
        <v>13.44736111111111</v>
      </c>
      <c r="P552">
        <v>13.713736111111114</v>
      </c>
      <c r="AG552">
        <v>1</v>
      </c>
      <c r="AH552" t="e">
        <f t="shared" si="57"/>
        <v>#N/A</v>
      </c>
      <c r="AI552">
        <f t="shared" si="61"/>
        <v>2</v>
      </c>
      <c r="AJ552" t="e">
        <f t="shared" si="58"/>
        <v>#N/A</v>
      </c>
      <c r="AK552">
        <f t="shared" si="62"/>
        <v>3</v>
      </c>
      <c r="AL552" t="e">
        <f t="shared" si="59"/>
        <v>#N/A</v>
      </c>
      <c r="AM552">
        <f t="shared" si="63"/>
        <v>4</v>
      </c>
      <c r="AN552" t="e">
        <f t="shared" si="60"/>
        <v>#N/A</v>
      </c>
    </row>
    <row r="553" spans="12:40" x14ac:dyDescent="0.25">
      <c r="L553">
        <v>550</v>
      </c>
      <c r="M553">
        <v>13.12875</v>
      </c>
      <c r="N553">
        <v>13.504375</v>
      </c>
      <c r="O553">
        <v>14.206513888888889</v>
      </c>
      <c r="P553">
        <v>14.019118055555555</v>
      </c>
      <c r="AG553">
        <v>1</v>
      </c>
      <c r="AH553" t="e">
        <f t="shared" si="57"/>
        <v>#N/A</v>
      </c>
      <c r="AI553">
        <f t="shared" si="61"/>
        <v>2</v>
      </c>
      <c r="AJ553" t="e">
        <f t="shared" si="58"/>
        <v>#N/A</v>
      </c>
      <c r="AK553">
        <f t="shared" si="62"/>
        <v>3</v>
      </c>
      <c r="AL553" t="e">
        <f t="shared" si="59"/>
        <v>#N/A</v>
      </c>
      <c r="AM553">
        <f t="shared" si="63"/>
        <v>4</v>
      </c>
      <c r="AN553" t="e">
        <f t="shared" si="60"/>
        <v>#N/A</v>
      </c>
    </row>
    <row r="554" spans="12:40" x14ac:dyDescent="0.25">
      <c r="L554">
        <v>551</v>
      </c>
      <c r="M554">
        <v>14.786250000000001</v>
      </c>
      <c r="N554">
        <v>14.513125</v>
      </c>
      <c r="O554">
        <v>14.098833333333332</v>
      </c>
      <c r="P554">
        <v>14.453645833333333</v>
      </c>
      <c r="AG554">
        <v>1</v>
      </c>
      <c r="AH554" t="e">
        <f t="shared" si="57"/>
        <v>#N/A</v>
      </c>
      <c r="AI554">
        <f t="shared" si="61"/>
        <v>2</v>
      </c>
      <c r="AJ554" t="e">
        <f t="shared" si="58"/>
        <v>#N/A</v>
      </c>
      <c r="AK554">
        <f t="shared" si="62"/>
        <v>3</v>
      </c>
      <c r="AL554" t="e">
        <f t="shared" si="59"/>
        <v>#N/A</v>
      </c>
      <c r="AM554">
        <f t="shared" si="63"/>
        <v>4</v>
      </c>
      <c r="AN554" t="e">
        <f t="shared" si="60"/>
        <v>#N/A</v>
      </c>
    </row>
    <row r="555" spans="12:40" x14ac:dyDescent="0.25">
      <c r="L555">
        <v>552</v>
      </c>
      <c r="M555">
        <v>13.96125</v>
      </c>
      <c r="N555">
        <v>14.009375</v>
      </c>
      <c r="O555">
        <v>13.379069444444445</v>
      </c>
      <c r="P555">
        <v>14.022006944444442</v>
      </c>
      <c r="AG555">
        <v>1</v>
      </c>
      <c r="AH555" t="e">
        <f t="shared" si="57"/>
        <v>#N/A</v>
      </c>
      <c r="AI555">
        <f t="shared" si="61"/>
        <v>2</v>
      </c>
      <c r="AJ555" t="e">
        <f t="shared" si="58"/>
        <v>#N/A</v>
      </c>
      <c r="AK555">
        <f t="shared" si="62"/>
        <v>3</v>
      </c>
      <c r="AL555" t="e">
        <f t="shared" si="59"/>
        <v>#N/A</v>
      </c>
      <c r="AM555">
        <f t="shared" si="63"/>
        <v>4</v>
      </c>
      <c r="AN555" t="e">
        <f t="shared" si="60"/>
        <v>#N/A</v>
      </c>
    </row>
    <row r="556" spans="12:40" x14ac:dyDescent="0.25">
      <c r="L556">
        <v>553</v>
      </c>
      <c r="M556">
        <v>15.2</v>
      </c>
      <c r="N556">
        <v>15.206875</v>
      </c>
      <c r="O556">
        <v>14.704652777777778</v>
      </c>
      <c r="P556">
        <v>14.291826388888889</v>
      </c>
      <c r="AG556">
        <v>1</v>
      </c>
      <c r="AH556" t="e">
        <f t="shared" si="57"/>
        <v>#N/A</v>
      </c>
      <c r="AI556">
        <f t="shared" si="61"/>
        <v>2</v>
      </c>
      <c r="AJ556" t="e">
        <f t="shared" si="58"/>
        <v>#N/A</v>
      </c>
      <c r="AK556">
        <f t="shared" si="62"/>
        <v>3</v>
      </c>
      <c r="AL556" t="e">
        <f t="shared" si="59"/>
        <v>#N/A</v>
      </c>
      <c r="AM556">
        <f t="shared" si="63"/>
        <v>4</v>
      </c>
      <c r="AN556" t="e">
        <f t="shared" si="60"/>
        <v>#N/A</v>
      </c>
    </row>
    <row r="557" spans="12:40" x14ac:dyDescent="0.25">
      <c r="L557">
        <v>554</v>
      </c>
      <c r="M557">
        <v>14.28</v>
      </c>
      <c r="N557">
        <v>14.737500000000001</v>
      </c>
      <c r="O557">
        <v>14.122569444444444</v>
      </c>
      <c r="P557">
        <v>14.413819444444446</v>
      </c>
      <c r="AG557">
        <v>1</v>
      </c>
      <c r="AH557" t="e">
        <f t="shared" si="57"/>
        <v>#N/A</v>
      </c>
      <c r="AI557">
        <f t="shared" si="61"/>
        <v>2</v>
      </c>
      <c r="AJ557" t="e">
        <f t="shared" si="58"/>
        <v>#N/A</v>
      </c>
      <c r="AK557">
        <f t="shared" si="62"/>
        <v>3</v>
      </c>
      <c r="AL557" t="e">
        <f t="shared" si="59"/>
        <v>#N/A</v>
      </c>
      <c r="AM557">
        <f t="shared" si="63"/>
        <v>4</v>
      </c>
      <c r="AN557" t="e">
        <f t="shared" si="60"/>
        <v>#N/A</v>
      </c>
    </row>
    <row r="558" spans="12:40" x14ac:dyDescent="0.25">
      <c r="L558">
        <v>555</v>
      </c>
      <c r="M558">
        <v>15.317500000000001</v>
      </c>
      <c r="N558">
        <v>14.791874999999999</v>
      </c>
      <c r="O558">
        <v>14.29365277777778</v>
      </c>
      <c r="P558">
        <v>14.249319444444444</v>
      </c>
      <c r="AG558">
        <v>1</v>
      </c>
      <c r="AH558" t="e">
        <f t="shared" si="57"/>
        <v>#N/A</v>
      </c>
      <c r="AI558">
        <f t="shared" si="61"/>
        <v>2</v>
      </c>
      <c r="AJ558" t="e">
        <f t="shared" si="58"/>
        <v>#N/A</v>
      </c>
      <c r="AK558">
        <f t="shared" si="62"/>
        <v>3</v>
      </c>
      <c r="AL558" t="e">
        <f t="shared" si="59"/>
        <v>#N/A</v>
      </c>
      <c r="AM558">
        <f t="shared" si="63"/>
        <v>4</v>
      </c>
      <c r="AN558" t="e">
        <f t="shared" si="60"/>
        <v>#N/A</v>
      </c>
    </row>
    <row r="559" spans="12:40" x14ac:dyDescent="0.25">
      <c r="L559">
        <v>556</v>
      </c>
      <c r="M559">
        <v>13.39</v>
      </c>
      <c r="N559">
        <v>13.724375</v>
      </c>
      <c r="O559">
        <v>13.816361111111112</v>
      </c>
      <c r="P559">
        <v>13.917277777777779</v>
      </c>
      <c r="AG559">
        <v>1</v>
      </c>
      <c r="AH559" t="e">
        <f t="shared" si="57"/>
        <v>#N/A</v>
      </c>
      <c r="AI559">
        <f t="shared" si="61"/>
        <v>2</v>
      </c>
      <c r="AJ559" t="e">
        <f t="shared" si="58"/>
        <v>#N/A</v>
      </c>
      <c r="AK559">
        <f t="shared" si="62"/>
        <v>3</v>
      </c>
      <c r="AL559" t="e">
        <f t="shared" si="59"/>
        <v>#N/A</v>
      </c>
      <c r="AM559">
        <f t="shared" si="63"/>
        <v>4</v>
      </c>
      <c r="AN559" t="e">
        <f t="shared" si="60"/>
        <v>#N/A</v>
      </c>
    </row>
    <row r="560" spans="12:40" x14ac:dyDescent="0.25">
      <c r="L560">
        <v>557</v>
      </c>
      <c r="M560">
        <v>15.585000000000001</v>
      </c>
      <c r="N560">
        <v>14.598125</v>
      </c>
      <c r="O560">
        <v>14.195277777777779</v>
      </c>
      <c r="P560">
        <v>13.862500000000001</v>
      </c>
      <c r="AG560">
        <v>1</v>
      </c>
      <c r="AH560" t="e">
        <f t="shared" si="57"/>
        <v>#N/A</v>
      </c>
      <c r="AI560">
        <f t="shared" si="61"/>
        <v>2</v>
      </c>
      <c r="AJ560" t="e">
        <f t="shared" si="58"/>
        <v>#N/A</v>
      </c>
      <c r="AK560">
        <f t="shared" si="62"/>
        <v>3</v>
      </c>
      <c r="AL560" t="e">
        <f t="shared" si="59"/>
        <v>#N/A</v>
      </c>
      <c r="AM560">
        <f t="shared" si="63"/>
        <v>4</v>
      </c>
      <c r="AN560" t="e">
        <f t="shared" si="60"/>
        <v>#N/A</v>
      </c>
    </row>
    <row r="561" spans="12:40" x14ac:dyDescent="0.25">
      <c r="L561">
        <v>558</v>
      </c>
      <c r="M561">
        <v>14.936249999999999</v>
      </c>
      <c r="N561">
        <v>14.765625</v>
      </c>
      <c r="O561">
        <v>14.448680555555557</v>
      </c>
      <c r="P561">
        <v>13.934854166666666</v>
      </c>
      <c r="AG561">
        <v>1</v>
      </c>
      <c r="AH561" t="e">
        <f t="shared" si="57"/>
        <v>#N/A</v>
      </c>
      <c r="AI561">
        <f t="shared" si="61"/>
        <v>2</v>
      </c>
      <c r="AJ561" t="e">
        <f t="shared" si="58"/>
        <v>#N/A</v>
      </c>
      <c r="AK561">
        <f t="shared" si="62"/>
        <v>3</v>
      </c>
      <c r="AL561" t="e">
        <f t="shared" si="59"/>
        <v>#N/A</v>
      </c>
      <c r="AM561">
        <f t="shared" si="63"/>
        <v>4</v>
      </c>
      <c r="AN561" t="e">
        <f t="shared" si="60"/>
        <v>#N/A</v>
      </c>
    </row>
    <row r="562" spans="12:40" x14ac:dyDescent="0.25">
      <c r="L562">
        <v>559</v>
      </c>
      <c r="M562">
        <v>14.8925</v>
      </c>
      <c r="N562">
        <v>14.46625</v>
      </c>
      <c r="O562">
        <v>14.061166666666669</v>
      </c>
      <c r="P562">
        <v>13.981743055555558</v>
      </c>
      <c r="AG562">
        <v>1</v>
      </c>
      <c r="AH562" t="e">
        <f t="shared" si="57"/>
        <v>#N/A</v>
      </c>
      <c r="AI562">
        <f t="shared" si="61"/>
        <v>2</v>
      </c>
      <c r="AJ562" t="e">
        <f t="shared" si="58"/>
        <v>#N/A</v>
      </c>
      <c r="AK562">
        <f t="shared" si="62"/>
        <v>3</v>
      </c>
      <c r="AL562" t="e">
        <f t="shared" si="59"/>
        <v>#N/A</v>
      </c>
      <c r="AM562">
        <f t="shared" si="63"/>
        <v>4</v>
      </c>
      <c r="AN562" t="e">
        <f t="shared" si="60"/>
        <v>#N/A</v>
      </c>
    </row>
    <row r="563" spans="12:40" x14ac:dyDescent="0.25">
      <c r="L563">
        <v>560</v>
      </c>
      <c r="M563">
        <v>13.9725</v>
      </c>
      <c r="N563">
        <v>14.19125</v>
      </c>
      <c r="O563">
        <v>14.520375</v>
      </c>
      <c r="P563">
        <v>14.319270833333334</v>
      </c>
      <c r="AG563">
        <v>1</v>
      </c>
      <c r="AH563" t="e">
        <f t="shared" si="57"/>
        <v>#N/A</v>
      </c>
      <c r="AI563">
        <f t="shared" si="61"/>
        <v>2</v>
      </c>
      <c r="AJ563" t="e">
        <f t="shared" si="58"/>
        <v>#N/A</v>
      </c>
      <c r="AK563">
        <f t="shared" si="62"/>
        <v>3</v>
      </c>
      <c r="AL563" t="e">
        <f t="shared" si="59"/>
        <v>#N/A</v>
      </c>
      <c r="AM563">
        <f t="shared" si="63"/>
        <v>4</v>
      </c>
      <c r="AN563" t="e">
        <f t="shared" si="60"/>
        <v>#N/A</v>
      </c>
    </row>
    <row r="564" spans="12:40" x14ac:dyDescent="0.25">
      <c r="L564">
        <v>561</v>
      </c>
      <c r="M564">
        <v>15.633749999999999</v>
      </c>
      <c r="N564">
        <v>14.366250000000001</v>
      </c>
      <c r="O564">
        <v>14.229347222222223</v>
      </c>
      <c r="P564">
        <v>14.061187500000001</v>
      </c>
      <c r="AG564">
        <v>1</v>
      </c>
      <c r="AH564" t="e">
        <f t="shared" si="57"/>
        <v>#N/A</v>
      </c>
      <c r="AI564">
        <f t="shared" si="61"/>
        <v>2</v>
      </c>
      <c r="AJ564" t="e">
        <f t="shared" si="58"/>
        <v>#N/A</v>
      </c>
      <c r="AK564">
        <f t="shared" si="62"/>
        <v>3</v>
      </c>
      <c r="AL564" t="e">
        <f t="shared" si="59"/>
        <v>#N/A</v>
      </c>
      <c r="AM564">
        <f t="shared" si="63"/>
        <v>4</v>
      </c>
      <c r="AN564" t="e">
        <f t="shared" si="60"/>
        <v>#N/A</v>
      </c>
    </row>
    <row r="565" spans="12:40" x14ac:dyDescent="0.25">
      <c r="L565">
        <v>562</v>
      </c>
      <c r="M565">
        <v>13.48875</v>
      </c>
      <c r="N565">
        <v>13.953125</v>
      </c>
      <c r="O565">
        <v>14.31976388888889</v>
      </c>
      <c r="P565">
        <v>13.954569444444447</v>
      </c>
      <c r="AG565">
        <v>1</v>
      </c>
      <c r="AH565" t="e">
        <f t="shared" si="57"/>
        <v>#N/A</v>
      </c>
      <c r="AI565">
        <f t="shared" si="61"/>
        <v>2</v>
      </c>
      <c r="AJ565" t="e">
        <f t="shared" si="58"/>
        <v>#N/A</v>
      </c>
      <c r="AK565">
        <f t="shared" si="62"/>
        <v>3</v>
      </c>
      <c r="AL565" t="e">
        <f t="shared" si="59"/>
        <v>#N/A</v>
      </c>
      <c r="AM565">
        <f t="shared" si="63"/>
        <v>4</v>
      </c>
      <c r="AN565" t="e">
        <f t="shared" si="60"/>
        <v>#N/A</v>
      </c>
    </row>
    <row r="566" spans="12:40" x14ac:dyDescent="0.25">
      <c r="L566">
        <v>563</v>
      </c>
      <c r="M566">
        <v>14.82</v>
      </c>
      <c r="N566">
        <v>14.335000000000001</v>
      </c>
      <c r="O566">
        <v>14.309875</v>
      </c>
      <c r="P566">
        <v>14.545972222222222</v>
      </c>
      <c r="AG566">
        <v>1</v>
      </c>
      <c r="AH566" t="e">
        <f t="shared" si="57"/>
        <v>#N/A</v>
      </c>
      <c r="AI566">
        <f t="shared" si="61"/>
        <v>2</v>
      </c>
      <c r="AJ566" t="e">
        <f t="shared" si="58"/>
        <v>#N/A</v>
      </c>
      <c r="AK566">
        <f t="shared" si="62"/>
        <v>3</v>
      </c>
      <c r="AL566" t="e">
        <f t="shared" si="59"/>
        <v>#N/A</v>
      </c>
      <c r="AM566">
        <f t="shared" si="63"/>
        <v>4</v>
      </c>
      <c r="AN566" t="e">
        <f t="shared" si="60"/>
        <v>#N/A</v>
      </c>
    </row>
    <row r="567" spans="12:40" x14ac:dyDescent="0.25">
      <c r="L567">
        <v>564</v>
      </c>
      <c r="M567">
        <v>14.188750000000001</v>
      </c>
      <c r="N567">
        <v>13.888125</v>
      </c>
      <c r="O567">
        <v>14.208375</v>
      </c>
      <c r="P567">
        <v>13.760784722222223</v>
      </c>
      <c r="AG567">
        <v>1</v>
      </c>
      <c r="AH567" t="e">
        <f t="shared" si="57"/>
        <v>#N/A</v>
      </c>
      <c r="AI567">
        <f t="shared" si="61"/>
        <v>2</v>
      </c>
      <c r="AJ567" t="e">
        <f t="shared" si="58"/>
        <v>#N/A</v>
      </c>
      <c r="AK567">
        <f t="shared" si="62"/>
        <v>3</v>
      </c>
      <c r="AL567" t="e">
        <f t="shared" si="59"/>
        <v>#N/A</v>
      </c>
      <c r="AM567">
        <f t="shared" si="63"/>
        <v>4</v>
      </c>
      <c r="AN567" t="e">
        <f t="shared" si="60"/>
        <v>#N/A</v>
      </c>
    </row>
    <row r="568" spans="12:40" x14ac:dyDescent="0.25">
      <c r="L568">
        <v>565</v>
      </c>
      <c r="M568">
        <v>13.577500000000001</v>
      </c>
      <c r="N568">
        <v>14.29875</v>
      </c>
      <c r="O568">
        <v>14.829430555555557</v>
      </c>
      <c r="P568">
        <v>14.144458333333333</v>
      </c>
      <c r="AG568">
        <v>1</v>
      </c>
      <c r="AH568" t="e">
        <f t="shared" si="57"/>
        <v>#N/A</v>
      </c>
      <c r="AI568">
        <f t="shared" si="61"/>
        <v>2</v>
      </c>
      <c r="AJ568" t="e">
        <f t="shared" si="58"/>
        <v>#N/A</v>
      </c>
      <c r="AK568">
        <f t="shared" si="62"/>
        <v>3</v>
      </c>
      <c r="AL568" t="e">
        <f t="shared" si="59"/>
        <v>#N/A</v>
      </c>
      <c r="AM568">
        <f t="shared" si="63"/>
        <v>4</v>
      </c>
      <c r="AN568" t="e">
        <f t="shared" si="60"/>
        <v>#N/A</v>
      </c>
    </row>
    <row r="569" spans="12:40" x14ac:dyDescent="0.25">
      <c r="L569">
        <v>566</v>
      </c>
      <c r="M569">
        <v>14.15375</v>
      </c>
      <c r="N569">
        <v>13.733750000000001</v>
      </c>
      <c r="O569">
        <v>14.096166666666669</v>
      </c>
      <c r="P569">
        <v>14.207388888888891</v>
      </c>
      <c r="AG569">
        <v>1</v>
      </c>
      <c r="AH569" t="e">
        <f t="shared" si="57"/>
        <v>#N/A</v>
      </c>
      <c r="AI569">
        <f t="shared" si="61"/>
        <v>2</v>
      </c>
      <c r="AJ569" t="e">
        <f t="shared" si="58"/>
        <v>#N/A</v>
      </c>
      <c r="AK569">
        <f t="shared" si="62"/>
        <v>3</v>
      </c>
      <c r="AL569" t="e">
        <f t="shared" si="59"/>
        <v>#N/A</v>
      </c>
      <c r="AM569">
        <f t="shared" si="63"/>
        <v>4</v>
      </c>
      <c r="AN569" t="e">
        <f t="shared" si="60"/>
        <v>#N/A</v>
      </c>
    </row>
    <row r="570" spans="12:40" x14ac:dyDescent="0.25">
      <c r="L570">
        <v>567</v>
      </c>
      <c r="M570">
        <v>11.936249999999999</v>
      </c>
      <c r="N570">
        <v>13.026249999999999</v>
      </c>
      <c r="O570">
        <v>13.760611111111114</v>
      </c>
      <c r="P570">
        <v>14.286034722222221</v>
      </c>
      <c r="AG570">
        <v>1</v>
      </c>
      <c r="AH570" t="e">
        <f t="shared" si="57"/>
        <v>#N/A</v>
      </c>
      <c r="AI570">
        <f t="shared" si="61"/>
        <v>2</v>
      </c>
      <c r="AJ570" t="e">
        <f t="shared" si="58"/>
        <v>#N/A</v>
      </c>
      <c r="AK570">
        <f t="shared" si="62"/>
        <v>3</v>
      </c>
      <c r="AL570" t="e">
        <f t="shared" si="59"/>
        <v>#N/A</v>
      </c>
      <c r="AM570">
        <f t="shared" si="63"/>
        <v>4</v>
      </c>
      <c r="AN570" t="e">
        <f t="shared" si="60"/>
        <v>#N/A</v>
      </c>
    </row>
    <row r="571" spans="12:40" x14ac:dyDescent="0.25">
      <c r="L571">
        <v>568</v>
      </c>
      <c r="M571">
        <v>13.29875</v>
      </c>
      <c r="N571">
        <v>13.985625000000001</v>
      </c>
      <c r="O571">
        <v>14.233986111111109</v>
      </c>
      <c r="P571">
        <v>14.213298611111114</v>
      </c>
      <c r="AG571">
        <v>1</v>
      </c>
      <c r="AH571" t="e">
        <f t="shared" si="57"/>
        <v>#N/A</v>
      </c>
      <c r="AI571">
        <f t="shared" si="61"/>
        <v>2</v>
      </c>
      <c r="AJ571" t="e">
        <f t="shared" si="58"/>
        <v>#N/A</v>
      </c>
      <c r="AK571">
        <f t="shared" si="62"/>
        <v>3</v>
      </c>
      <c r="AL571" t="e">
        <f t="shared" si="59"/>
        <v>#N/A</v>
      </c>
      <c r="AM571">
        <f t="shared" si="63"/>
        <v>4</v>
      </c>
      <c r="AN571" t="e">
        <f t="shared" si="60"/>
        <v>#N/A</v>
      </c>
    </row>
    <row r="572" spans="12:40" x14ac:dyDescent="0.25">
      <c r="L572">
        <v>569</v>
      </c>
      <c r="M572">
        <v>14.672499999999999</v>
      </c>
      <c r="N572">
        <v>14.87</v>
      </c>
      <c r="O572">
        <v>14.776111111111112</v>
      </c>
      <c r="P572">
        <v>14.463715277777778</v>
      </c>
      <c r="AG572">
        <v>1</v>
      </c>
      <c r="AH572" t="e">
        <f t="shared" si="57"/>
        <v>#N/A</v>
      </c>
      <c r="AI572">
        <f t="shared" si="61"/>
        <v>2</v>
      </c>
      <c r="AJ572" t="e">
        <f t="shared" si="58"/>
        <v>#N/A</v>
      </c>
      <c r="AK572">
        <f t="shared" si="62"/>
        <v>3</v>
      </c>
      <c r="AL572" t="e">
        <f t="shared" si="59"/>
        <v>#N/A</v>
      </c>
      <c r="AM572">
        <f t="shared" si="63"/>
        <v>4</v>
      </c>
      <c r="AN572" t="e">
        <f t="shared" si="60"/>
        <v>#N/A</v>
      </c>
    </row>
    <row r="573" spans="12:40" x14ac:dyDescent="0.25">
      <c r="L573">
        <v>570</v>
      </c>
      <c r="M573">
        <v>14.01125</v>
      </c>
      <c r="N573">
        <v>14.219374999999999</v>
      </c>
      <c r="O573">
        <v>14.639930555555557</v>
      </c>
      <c r="P573">
        <v>13.953868055555557</v>
      </c>
      <c r="AG573">
        <v>1</v>
      </c>
      <c r="AH573" t="e">
        <f t="shared" si="57"/>
        <v>#N/A</v>
      </c>
      <c r="AI573">
        <f t="shared" si="61"/>
        <v>2</v>
      </c>
      <c r="AJ573" t="e">
        <f t="shared" si="58"/>
        <v>#N/A</v>
      </c>
      <c r="AK573">
        <f t="shared" si="62"/>
        <v>3</v>
      </c>
      <c r="AL573" t="e">
        <f t="shared" si="59"/>
        <v>#N/A</v>
      </c>
      <c r="AM573">
        <f t="shared" si="63"/>
        <v>4</v>
      </c>
      <c r="AN573" t="e">
        <f t="shared" si="60"/>
        <v>#N/A</v>
      </c>
    </row>
    <row r="574" spans="12:40" x14ac:dyDescent="0.25">
      <c r="L574">
        <v>571</v>
      </c>
      <c r="M574">
        <v>13.06625</v>
      </c>
      <c r="N574">
        <v>14.196875</v>
      </c>
      <c r="O574">
        <v>14.315999999999999</v>
      </c>
      <c r="P574">
        <v>13.734138888888888</v>
      </c>
      <c r="AG574">
        <v>1</v>
      </c>
      <c r="AH574" t="e">
        <f t="shared" si="57"/>
        <v>#N/A</v>
      </c>
      <c r="AI574">
        <f t="shared" si="61"/>
        <v>2</v>
      </c>
      <c r="AJ574" t="e">
        <f t="shared" si="58"/>
        <v>#N/A</v>
      </c>
      <c r="AK574">
        <f t="shared" si="62"/>
        <v>3</v>
      </c>
      <c r="AL574" t="e">
        <f t="shared" si="59"/>
        <v>#N/A</v>
      </c>
      <c r="AM574">
        <f t="shared" si="63"/>
        <v>4</v>
      </c>
      <c r="AN574" t="e">
        <f t="shared" si="60"/>
        <v>#N/A</v>
      </c>
    </row>
    <row r="575" spans="12:40" x14ac:dyDescent="0.25">
      <c r="L575">
        <v>572</v>
      </c>
      <c r="M575">
        <v>15.487500000000001</v>
      </c>
      <c r="N575">
        <v>15.17375</v>
      </c>
      <c r="O575">
        <v>14.641680555555556</v>
      </c>
      <c r="P575">
        <v>14.331291666666669</v>
      </c>
      <c r="AG575">
        <v>1</v>
      </c>
      <c r="AH575" t="e">
        <f t="shared" si="57"/>
        <v>#N/A</v>
      </c>
      <c r="AI575">
        <f t="shared" si="61"/>
        <v>2</v>
      </c>
      <c r="AJ575" t="e">
        <f t="shared" si="58"/>
        <v>#N/A</v>
      </c>
      <c r="AK575">
        <f t="shared" si="62"/>
        <v>3</v>
      </c>
      <c r="AL575" t="e">
        <f t="shared" si="59"/>
        <v>#N/A</v>
      </c>
      <c r="AM575">
        <f t="shared" si="63"/>
        <v>4</v>
      </c>
      <c r="AN575" t="e">
        <f t="shared" si="60"/>
        <v>#N/A</v>
      </c>
    </row>
    <row r="576" spans="12:40" x14ac:dyDescent="0.25">
      <c r="L576">
        <v>573</v>
      </c>
      <c r="M576">
        <v>13.80875</v>
      </c>
      <c r="N576">
        <v>14.42</v>
      </c>
      <c r="O576">
        <v>14.293736111111111</v>
      </c>
      <c r="P576">
        <v>14.253819444444446</v>
      </c>
      <c r="AG576">
        <v>1</v>
      </c>
      <c r="AH576" t="e">
        <f t="shared" si="57"/>
        <v>#N/A</v>
      </c>
      <c r="AI576">
        <f t="shared" si="61"/>
        <v>2</v>
      </c>
      <c r="AJ576" t="e">
        <f t="shared" si="58"/>
        <v>#N/A</v>
      </c>
      <c r="AK576">
        <f t="shared" si="62"/>
        <v>3</v>
      </c>
      <c r="AL576" t="e">
        <f t="shared" si="59"/>
        <v>#N/A</v>
      </c>
      <c r="AM576">
        <f t="shared" si="63"/>
        <v>4</v>
      </c>
      <c r="AN576" t="e">
        <f t="shared" si="60"/>
        <v>#N/A</v>
      </c>
    </row>
    <row r="577" spans="12:40" x14ac:dyDescent="0.25">
      <c r="L577">
        <v>574</v>
      </c>
      <c r="M577">
        <v>13.151249999999999</v>
      </c>
      <c r="N577">
        <v>14.425000000000001</v>
      </c>
      <c r="O577">
        <v>13.678305555555555</v>
      </c>
      <c r="P577">
        <v>13.719354166666665</v>
      </c>
      <c r="AG577">
        <v>1</v>
      </c>
      <c r="AH577" t="e">
        <f t="shared" si="57"/>
        <v>#N/A</v>
      </c>
      <c r="AI577">
        <f t="shared" si="61"/>
        <v>2</v>
      </c>
      <c r="AJ577" t="e">
        <f t="shared" si="58"/>
        <v>#N/A</v>
      </c>
      <c r="AK577">
        <f t="shared" si="62"/>
        <v>3</v>
      </c>
      <c r="AL577" t="e">
        <f t="shared" si="59"/>
        <v>#N/A</v>
      </c>
      <c r="AM577">
        <f t="shared" si="63"/>
        <v>4</v>
      </c>
      <c r="AN577" t="e">
        <f t="shared" si="60"/>
        <v>#N/A</v>
      </c>
    </row>
    <row r="578" spans="12:40" x14ac:dyDescent="0.25">
      <c r="L578">
        <v>575</v>
      </c>
      <c r="M578">
        <v>13.546250000000001</v>
      </c>
      <c r="N578">
        <v>14.342499999999999</v>
      </c>
      <c r="O578">
        <v>14.132666666666664</v>
      </c>
      <c r="P578">
        <v>14.544090277777777</v>
      </c>
      <c r="AG578">
        <v>1</v>
      </c>
      <c r="AH578" t="e">
        <f t="shared" si="57"/>
        <v>#N/A</v>
      </c>
      <c r="AI578">
        <f t="shared" si="61"/>
        <v>2</v>
      </c>
      <c r="AJ578" t="e">
        <f t="shared" si="58"/>
        <v>#N/A</v>
      </c>
      <c r="AK578">
        <f t="shared" si="62"/>
        <v>3</v>
      </c>
      <c r="AL578" t="e">
        <f t="shared" si="59"/>
        <v>#N/A</v>
      </c>
      <c r="AM578">
        <f t="shared" si="63"/>
        <v>4</v>
      </c>
      <c r="AN578" t="e">
        <f t="shared" si="60"/>
        <v>#N/A</v>
      </c>
    </row>
    <row r="579" spans="12:40" x14ac:dyDescent="0.25">
      <c r="L579">
        <v>576</v>
      </c>
      <c r="M579">
        <v>12.015000000000001</v>
      </c>
      <c r="N579">
        <v>12.678125</v>
      </c>
      <c r="O579">
        <v>14.224861111111114</v>
      </c>
      <c r="P579">
        <v>14.308208333333333</v>
      </c>
      <c r="AG579">
        <v>1</v>
      </c>
      <c r="AH579" t="e">
        <f t="shared" si="57"/>
        <v>#N/A</v>
      </c>
      <c r="AI579">
        <f t="shared" si="61"/>
        <v>2</v>
      </c>
      <c r="AJ579" t="e">
        <f t="shared" si="58"/>
        <v>#N/A</v>
      </c>
      <c r="AK579">
        <f t="shared" si="62"/>
        <v>3</v>
      </c>
      <c r="AL579" t="e">
        <f t="shared" si="59"/>
        <v>#N/A</v>
      </c>
      <c r="AM579">
        <f t="shared" si="63"/>
        <v>4</v>
      </c>
      <c r="AN579" t="e">
        <f t="shared" si="60"/>
        <v>#N/A</v>
      </c>
    </row>
    <row r="580" spans="12:40" x14ac:dyDescent="0.25">
      <c r="L580">
        <v>577</v>
      </c>
      <c r="M580">
        <v>12.626250000000001</v>
      </c>
      <c r="N580">
        <v>14.423125000000001</v>
      </c>
      <c r="O580">
        <v>14.306041666666665</v>
      </c>
      <c r="P580">
        <v>14.335819444444445</v>
      </c>
      <c r="AG580">
        <v>1</v>
      </c>
      <c r="AH580" t="e">
        <f t="shared" ref="AH580:AH643" si="64">IF(OR(M580&lt;S$3,M580&gt;S$7),M580,#N/A)</f>
        <v>#N/A</v>
      </c>
      <c r="AI580">
        <f t="shared" si="61"/>
        <v>2</v>
      </c>
      <c r="AJ580" t="e">
        <f t="shared" ref="AJ580:AJ643" si="65">IF(OR(N580&lt;T$3,N580&gt;T$7),N580,#N/A)</f>
        <v>#N/A</v>
      </c>
      <c r="AK580">
        <f t="shared" si="62"/>
        <v>3</v>
      </c>
      <c r="AL580" t="e">
        <f t="shared" ref="AL580:AL643" si="66">IF(OR(O580&lt;U$3,O580&gt;U$7),O580,#N/A)</f>
        <v>#N/A</v>
      </c>
      <c r="AM580">
        <f t="shared" si="63"/>
        <v>4</v>
      </c>
      <c r="AN580" t="e">
        <f t="shared" ref="AN580:AN643" si="67">IF(OR(P580&lt;V$3,P580&gt;V$7),P580,#N/A)</f>
        <v>#N/A</v>
      </c>
    </row>
    <row r="581" spans="12:40" x14ac:dyDescent="0.25">
      <c r="L581">
        <v>578</v>
      </c>
      <c r="M581">
        <v>13.67</v>
      </c>
      <c r="N581">
        <v>14.366875</v>
      </c>
      <c r="O581">
        <v>14.318833333333334</v>
      </c>
      <c r="P581">
        <v>14.713256944444442</v>
      </c>
      <c r="AG581">
        <v>1</v>
      </c>
      <c r="AH581" t="e">
        <f t="shared" si="64"/>
        <v>#N/A</v>
      </c>
      <c r="AI581">
        <f t="shared" ref="AI581:AI644" si="68">AG581+1</f>
        <v>2</v>
      </c>
      <c r="AJ581" t="e">
        <f t="shared" si="65"/>
        <v>#N/A</v>
      </c>
      <c r="AK581">
        <f t="shared" ref="AK581:AK644" si="69">AI581+1</f>
        <v>3</v>
      </c>
      <c r="AL581" t="e">
        <f t="shared" si="66"/>
        <v>#N/A</v>
      </c>
      <c r="AM581">
        <f t="shared" ref="AM581:AM644" si="70">AK581+1</f>
        <v>4</v>
      </c>
      <c r="AN581" t="e">
        <f t="shared" si="67"/>
        <v>#N/A</v>
      </c>
    </row>
    <row r="582" spans="12:40" x14ac:dyDescent="0.25">
      <c r="L582">
        <v>579</v>
      </c>
      <c r="M582">
        <v>15.275</v>
      </c>
      <c r="N582">
        <v>14.035</v>
      </c>
      <c r="O582">
        <v>13.358625</v>
      </c>
      <c r="P582">
        <v>13.710909722222222</v>
      </c>
      <c r="AG582">
        <v>1</v>
      </c>
      <c r="AH582" t="e">
        <f t="shared" si="64"/>
        <v>#N/A</v>
      </c>
      <c r="AI582">
        <f t="shared" si="68"/>
        <v>2</v>
      </c>
      <c r="AJ582" t="e">
        <f t="shared" si="65"/>
        <v>#N/A</v>
      </c>
      <c r="AK582">
        <f t="shared" si="69"/>
        <v>3</v>
      </c>
      <c r="AL582" t="e">
        <f t="shared" si="66"/>
        <v>#N/A</v>
      </c>
      <c r="AM582">
        <f t="shared" si="70"/>
        <v>4</v>
      </c>
      <c r="AN582" t="e">
        <f t="shared" si="67"/>
        <v>#N/A</v>
      </c>
    </row>
    <row r="583" spans="12:40" x14ac:dyDescent="0.25">
      <c r="L583">
        <v>580</v>
      </c>
      <c r="M583">
        <v>14.05875</v>
      </c>
      <c r="N583">
        <v>12.941875</v>
      </c>
      <c r="O583">
        <v>13.554152777777778</v>
      </c>
      <c r="P583">
        <v>14.357645833333333</v>
      </c>
      <c r="AG583">
        <v>1</v>
      </c>
      <c r="AH583" t="e">
        <f t="shared" si="64"/>
        <v>#N/A</v>
      </c>
      <c r="AI583">
        <f t="shared" si="68"/>
        <v>2</v>
      </c>
      <c r="AJ583" t="e">
        <f t="shared" si="65"/>
        <v>#N/A</v>
      </c>
      <c r="AK583">
        <f t="shared" si="69"/>
        <v>3</v>
      </c>
      <c r="AL583" t="e">
        <f t="shared" si="66"/>
        <v>#N/A</v>
      </c>
      <c r="AM583">
        <f t="shared" si="70"/>
        <v>4</v>
      </c>
      <c r="AN583" t="e">
        <f t="shared" si="67"/>
        <v>#N/A</v>
      </c>
    </row>
    <row r="584" spans="12:40" x14ac:dyDescent="0.25">
      <c r="L584">
        <v>581</v>
      </c>
      <c r="M584">
        <v>12.86</v>
      </c>
      <c r="N584">
        <v>13.4475</v>
      </c>
      <c r="O584">
        <v>14.295902777777778</v>
      </c>
      <c r="P584">
        <v>14.274402777777777</v>
      </c>
      <c r="AG584">
        <v>1</v>
      </c>
      <c r="AH584" t="e">
        <f t="shared" si="64"/>
        <v>#N/A</v>
      </c>
      <c r="AI584">
        <f t="shared" si="68"/>
        <v>2</v>
      </c>
      <c r="AJ584" t="e">
        <f t="shared" si="65"/>
        <v>#N/A</v>
      </c>
      <c r="AK584">
        <f t="shared" si="69"/>
        <v>3</v>
      </c>
      <c r="AL584" t="e">
        <f t="shared" si="66"/>
        <v>#N/A</v>
      </c>
      <c r="AM584">
        <f t="shared" si="70"/>
        <v>4</v>
      </c>
      <c r="AN584" t="e">
        <f t="shared" si="67"/>
        <v>#N/A</v>
      </c>
    </row>
    <row r="585" spans="12:40" x14ac:dyDescent="0.25">
      <c r="L585">
        <v>582</v>
      </c>
      <c r="M585">
        <v>14.9</v>
      </c>
      <c r="N585">
        <v>14.643750000000001</v>
      </c>
      <c r="O585">
        <v>13.981902777777778</v>
      </c>
      <c r="P585">
        <v>14.103152777777778</v>
      </c>
      <c r="AG585">
        <v>1</v>
      </c>
      <c r="AH585" t="e">
        <f t="shared" si="64"/>
        <v>#N/A</v>
      </c>
      <c r="AI585">
        <f t="shared" si="68"/>
        <v>2</v>
      </c>
      <c r="AJ585" t="e">
        <f t="shared" si="65"/>
        <v>#N/A</v>
      </c>
      <c r="AK585">
        <f t="shared" si="69"/>
        <v>3</v>
      </c>
      <c r="AL585" t="e">
        <f t="shared" si="66"/>
        <v>#N/A</v>
      </c>
      <c r="AM585">
        <f t="shared" si="70"/>
        <v>4</v>
      </c>
      <c r="AN585" t="e">
        <f t="shared" si="67"/>
        <v>#N/A</v>
      </c>
    </row>
    <row r="586" spans="12:40" x14ac:dyDescent="0.25">
      <c r="L586">
        <v>583</v>
      </c>
      <c r="M586">
        <v>13.96125</v>
      </c>
      <c r="N586">
        <v>14.019375</v>
      </c>
      <c r="O586">
        <v>13.813097222222222</v>
      </c>
      <c r="P586">
        <v>13.770069444444445</v>
      </c>
      <c r="AG586">
        <v>1</v>
      </c>
      <c r="AH586" t="e">
        <f t="shared" si="64"/>
        <v>#N/A</v>
      </c>
      <c r="AI586">
        <f t="shared" si="68"/>
        <v>2</v>
      </c>
      <c r="AJ586" t="e">
        <f t="shared" si="65"/>
        <v>#N/A</v>
      </c>
      <c r="AK586">
        <f t="shared" si="69"/>
        <v>3</v>
      </c>
      <c r="AL586" t="e">
        <f t="shared" si="66"/>
        <v>#N/A</v>
      </c>
      <c r="AM586">
        <f t="shared" si="70"/>
        <v>4</v>
      </c>
      <c r="AN586" t="e">
        <f t="shared" si="67"/>
        <v>#N/A</v>
      </c>
    </row>
    <row r="587" spans="12:40" x14ac:dyDescent="0.25">
      <c r="L587">
        <v>584</v>
      </c>
      <c r="M587">
        <v>14.293749999999999</v>
      </c>
      <c r="N587">
        <v>14.286875</v>
      </c>
      <c r="O587">
        <v>15.015611111111111</v>
      </c>
      <c r="P587">
        <v>14.39834722222222</v>
      </c>
      <c r="AG587">
        <v>1</v>
      </c>
      <c r="AH587" t="e">
        <f t="shared" si="64"/>
        <v>#N/A</v>
      </c>
      <c r="AI587">
        <f t="shared" si="68"/>
        <v>2</v>
      </c>
      <c r="AJ587" t="e">
        <f t="shared" si="65"/>
        <v>#N/A</v>
      </c>
      <c r="AK587">
        <f t="shared" si="69"/>
        <v>3</v>
      </c>
      <c r="AL587" t="e">
        <f t="shared" si="66"/>
        <v>#N/A</v>
      </c>
      <c r="AM587">
        <f t="shared" si="70"/>
        <v>4</v>
      </c>
      <c r="AN587" t="e">
        <f t="shared" si="67"/>
        <v>#N/A</v>
      </c>
    </row>
    <row r="588" spans="12:40" x14ac:dyDescent="0.25">
      <c r="L588">
        <v>585</v>
      </c>
      <c r="M588">
        <v>14.012499999999999</v>
      </c>
      <c r="N588">
        <v>14.115</v>
      </c>
      <c r="O588">
        <v>14.655847222222221</v>
      </c>
      <c r="P588">
        <v>14.411708333333333</v>
      </c>
      <c r="AG588">
        <v>1</v>
      </c>
      <c r="AH588" t="e">
        <f t="shared" si="64"/>
        <v>#N/A</v>
      </c>
      <c r="AI588">
        <f t="shared" si="68"/>
        <v>2</v>
      </c>
      <c r="AJ588" t="e">
        <f t="shared" si="65"/>
        <v>#N/A</v>
      </c>
      <c r="AK588">
        <f t="shared" si="69"/>
        <v>3</v>
      </c>
      <c r="AL588" t="e">
        <f t="shared" si="66"/>
        <v>#N/A</v>
      </c>
      <c r="AM588">
        <f t="shared" si="70"/>
        <v>4</v>
      </c>
      <c r="AN588" t="e">
        <f t="shared" si="67"/>
        <v>#N/A</v>
      </c>
    </row>
    <row r="589" spans="12:40" x14ac:dyDescent="0.25">
      <c r="L589">
        <v>586</v>
      </c>
      <c r="M589">
        <v>14.33</v>
      </c>
      <c r="N589">
        <v>14.299375</v>
      </c>
      <c r="O589">
        <v>14.09851388888889</v>
      </c>
      <c r="P589">
        <v>13.966805555555556</v>
      </c>
      <c r="AG589">
        <v>1</v>
      </c>
      <c r="AH589" t="e">
        <f t="shared" si="64"/>
        <v>#N/A</v>
      </c>
      <c r="AI589">
        <f t="shared" si="68"/>
        <v>2</v>
      </c>
      <c r="AJ589" t="e">
        <f t="shared" si="65"/>
        <v>#N/A</v>
      </c>
      <c r="AK589">
        <f t="shared" si="69"/>
        <v>3</v>
      </c>
      <c r="AL589" t="e">
        <f t="shared" si="66"/>
        <v>#N/A</v>
      </c>
      <c r="AM589">
        <f t="shared" si="70"/>
        <v>4</v>
      </c>
      <c r="AN589" t="e">
        <f t="shared" si="67"/>
        <v>#N/A</v>
      </c>
    </row>
    <row r="590" spans="12:40" x14ac:dyDescent="0.25">
      <c r="L590">
        <v>587</v>
      </c>
      <c r="M590">
        <v>12.9025</v>
      </c>
      <c r="N590">
        <v>13.991875</v>
      </c>
      <c r="O590">
        <v>14.089625000000002</v>
      </c>
      <c r="P590">
        <v>14.421388888888886</v>
      </c>
      <c r="AG590">
        <v>1</v>
      </c>
      <c r="AH590" t="e">
        <f t="shared" si="64"/>
        <v>#N/A</v>
      </c>
      <c r="AI590">
        <f t="shared" si="68"/>
        <v>2</v>
      </c>
      <c r="AJ590" t="e">
        <f t="shared" si="65"/>
        <v>#N/A</v>
      </c>
      <c r="AK590">
        <f t="shared" si="69"/>
        <v>3</v>
      </c>
      <c r="AL590" t="e">
        <f t="shared" si="66"/>
        <v>#N/A</v>
      </c>
      <c r="AM590">
        <f t="shared" si="70"/>
        <v>4</v>
      </c>
      <c r="AN590" t="e">
        <f t="shared" si="67"/>
        <v>#N/A</v>
      </c>
    </row>
    <row r="591" spans="12:40" x14ac:dyDescent="0.25">
      <c r="L591">
        <v>588</v>
      </c>
      <c r="M591">
        <v>13.487500000000001</v>
      </c>
      <c r="N591">
        <v>13.84625</v>
      </c>
      <c r="O591">
        <v>13.054013888888887</v>
      </c>
      <c r="P591">
        <v>13.291729166666666</v>
      </c>
      <c r="AG591">
        <v>1</v>
      </c>
      <c r="AH591" t="e">
        <f t="shared" si="64"/>
        <v>#N/A</v>
      </c>
      <c r="AI591">
        <f t="shared" si="68"/>
        <v>2</v>
      </c>
      <c r="AJ591" t="e">
        <f t="shared" si="65"/>
        <v>#N/A</v>
      </c>
      <c r="AK591">
        <f t="shared" si="69"/>
        <v>3</v>
      </c>
      <c r="AL591" t="e">
        <f t="shared" si="66"/>
        <v>#N/A</v>
      </c>
      <c r="AM591">
        <f t="shared" si="70"/>
        <v>4</v>
      </c>
      <c r="AN591" t="e">
        <f t="shared" si="67"/>
        <v>#N/A</v>
      </c>
    </row>
    <row r="592" spans="12:40" x14ac:dyDescent="0.25">
      <c r="L592">
        <v>589</v>
      </c>
      <c r="M592">
        <v>13.2225</v>
      </c>
      <c r="N592">
        <v>14.47625</v>
      </c>
      <c r="O592">
        <v>14.068541666666665</v>
      </c>
      <c r="P592">
        <v>14.029034722222223</v>
      </c>
      <c r="AG592">
        <v>1</v>
      </c>
      <c r="AH592" t="e">
        <f t="shared" si="64"/>
        <v>#N/A</v>
      </c>
      <c r="AI592">
        <f t="shared" si="68"/>
        <v>2</v>
      </c>
      <c r="AJ592" t="e">
        <f t="shared" si="65"/>
        <v>#N/A</v>
      </c>
      <c r="AK592">
        <f t="shared" si="69"/>
        <v>3</v>
      </c>
      <c r="AL592" t="e">
        <f t="shared" si="66"/>
        <v>#N/A</v>
      </c>
      <c r="AM592">
        <f t="shared" si="70"/>
        <v>4</v>
      </c>
      <c r="AN592" t="e">
        <f t="shared" si="67"/>
        <v>#N/A</v>
      </c>
    </row>
    <row r="593" spans="12:40" x14ac:dyDescent="0.25">
      <c r="L593">
        <v>590</v>
      </c>
      <c r="M593">
        <v>13.758749999999999</v>
      </c>
      <c r="N593">
        <v>13.571249999999999</v>
      </c>
      <c r="O593">
        <v>13.917708333333335</v>
      </c>
      <c r="P593">
        <v>13.771423611111112</v>
      </c>
      <c r="AG593">
        <v>1</v>
      </c>
      <c r="AH593" t="e">
        <f t="shared" si="64"/>
        <v>#N/A</v>
      </c>
      <c r="AI593">
        <f t="shared" si="68"/>
        <v>2</v>
      </c>
      <c r="AJ593" t="e">
        <f t="shared" si="65"/>
        <v>#N/A</v>
      </c>
      <c r="AK593">
        <f t="shared" si="69"/>
        <v>3</v>
      </c>
      <c r="AL593" t="e">
        <f t="shared" si="66"/>
        <v>#N/A</v>
      </c>
      <c r="AM593">
        <f t="shared" si="70"/>
        <v>4</v>
      </c>
      <c r="AN593" t="e">
        <f t="shared" si="67"/>
        <v>#N/A</v>
      </c>
    </row>
    <row r="594" spans="12:40" x14ac:dyDescent="0.25">
      <c r="L594">
        <v>591</v>
      </c>
      <c r="M594">
        <v>16.745000000000001</v>
      </c>
      <c r="N594">
        <v>16.00375</v>
      </c>
      <c r="O594">
        <v>14.661847222222223</v>
      </c>
      <c r="P594">
        <v>13.894270833333335</v>
      </c>
      <c r="AG594">
        <v>1</v>
      </c>
      <c r="AH594" t="e">
        <f t="shared" si="64"/>
        <v>#N/A</v>
      </c>
      <c r="AI594">
        <f t="shared" si="68"/>
        <v>2</v>
      </c>
      <c r="AJ594">
        <f t="shared" si="65"/>
        <v>16.00375</v>
      </c>
      <c r="AK594">
        <f t="shared" si="69"/>
        <v>3</v>
      </c>
      <c r="AL594" t="e">
        <f t="shared" si="66"/>
        <v>#N/A</v>
      </c>
      <c r="AM594">
        <f t="shared" si="70"/>
        <v>4</v>
      </c>
      <c r="AN594" t="e">
        <f t="shared" si="67"/>
        <v>#N/A</v>
      </c>
    </row>
    <row r="595" spans="12:40" x14ac:dyDescent="0.25">
      <c r="L595">
        <v>592</v>
      </c>
      <c r="M595">
        <v>13.6525</v>
      </c>
      <c r="N595">
        <v>15.275</v>
      </c>
      <c r="O595">
        <v>14.888611111111112</v>
      </c>
      <c r="P595">
        <v>14.122243055555554</v>
      </c>
      <c r="AG595">
        <v>1</v>
      </c>
      <c r="AH595" t="e">
        <f t="shared" si="64"/>
        <v>#N/A</v>
      </c>
      <c r="AI595">
        <f t="shared" si="68"/>
        <v>2</v>
      </c>
      <c r="AJ595" t="e">
        <f t="shared" si="65"/>
        <v>#N/A</v>
      </c>
      <c r="AK595">
        <f t="shared" si="69"/>
        <v>3</v>
      </c>
      <c r="AL595" t="e">
        <f t="shared" si="66"/>
        <v>#N/A</v>
      </c>
      <c r="AM595">
        <f t="shared" si="70"/>
        <v>4</v>
      </c>
      <c r="AN595" t="e">
        <f t="shared" si="67"/>
        <v>#N/A</v>
      </c>
    </row>
    <row r="596" spans="12:40" x14ac:dyDescent="0.25">
      <c r="L596">
        <v>593</v>
      </c>
      <c r="M596">
        <v>13.74</v>
      </c>
      <c r="N596">
        <v>13.688750000000001</v>
      </c>
      <c r="O596">
        <v>14.079236111111113</v>
      </c>
      <c r="P596">
        <v>14.559256944444444</v>
      </c>
      <c r="AG596">
        <v>1</v>
      </c>
      <c r="AH596" t="e">
        <f t="shared" si="64"/>
        <v>#N/A</v>
      </c>
      <c r="AI596">
        <f t="shared" si="68"/>
        <v>2</v>
      </c>
      <c r="AJ596" t="e">
        <f t="shared" si="65"/>
        <v>#N/A</v>
      </c>
      <c r="AK596">
        <f t="shared" si="69"/>
        <v>3</v>
      </c>
      <c r="AL596" t="e">
        <f t="shared" si="66"/>
        <v>#N/A</v>
      </c>
      <c r="AM596">
        <f t="shared" si="70"/>
        <v>4</v>
      </c>
      <c r="AN596" t="e">
        <f t="shared" si="67"/>
        <v>#N/A</v>
      </c>
    </row>
    <row r="597" spans="12:40" x14ac:dyDescent="0.25">
      <c r="L597">
        <v>594</v>
      </c>
      <c r="M597">
        <v>13.845000000000001</v>
      </c>
      <c r="N597">
        <v>14.651249999999999</v>
      </c>
      <c r="O597">
        <v>13.955638888888886</v>
      </c>
      <c r="P597">
        <v>14.215076388888891</v>
      </c>
      <c r="AG597">
        <v>1</v>
      </c>
      <c r="AH597" t="e">
        <f t="shared" si="64"/>
        <v>#N/A</v>
      </c>
      <c r="AI597">
        <f t="shared" si="68"/>
        <v>2</v>
      </c>
      <c r="AJ597" t="e">
        <f t="shared" si="65"/>
        <v>#N/A</v>
      </c>
      <c r="AK597">
        <f t="shared" si="69"/>
        <v>3</v>
      </c>
      <c r="AL597" t="e">
        <f t="shared" si="66"/>
        <v>#N/A</v>
      </c>
      <c r="AM597">
        <f t="shared" si="70"/>
        <v>4</v>
      </c>
      <c r="AN597" t="e">
        <f t="shared" si="67"/>
        <v>#N/A</v>
      </c>
    </row>
    <row r="598" spans="12:40" x14ac:dyDescent="0.25">
      <c r="L598">
        <v>595</v>
      </c>
      <c r="M598">
        <v>14.425000000000001</v>
      </c>
      <c r="N598">
        <v>12.990625</v>
      </c>
      <c r="O598">
        <v>14.083597222222222</v>
      </c>
      <c r="P598">
        <v>14.059701388888886</v>
      </c>
      <c r="AG598">
        <v>1</v>
      </c>
      <c r="AH598" t="e">
        <f t="shared" si="64"/>
        <v>#N/A</v>
      </c>
      <c r="AI598">
        <f t="shared" si="68"/>
        <v>2</v>
      </c>
      <c r="AJ598" t="e">
        <f t="shared" si="65"/>
        <v>#N/A</v>
      </c>
      <c r="AK598">
        <f t="shared" si="69"/>
        <v>3</v>
      </c>
      <c r="AL598" t="e">
        <f t="shared" si="66"/>
        <v>#N/A</v>
      </c>
      <c r="AM598">
        <f t="shared" si="70"/>
        <v>4</v>
      </c>
      <c r="AN598" t="e">
        <f t="shared" si="67"/>
        <v>#N/A</v>
      </c>
    </row>
    <row r="599" spans="12:40" x14ac:dyDescent="0.25">
      <c r="L599">
        <v>596</v>
      </c>
      <c r="M599">
        <v>14.84125</v>
      </c>
      <c r="N599">
        <v>14.71875</v>
      </c>
      <c r="O599">
        <v>14.583486111111112</v>
      </c>
      <c r="P599">
        <v>14.233062500000001</v>
      </c>
      <c r="AG599">
        <v>1</v>
      </c>
      <c r="AH599" t="e">
        <f t="shared" si="64"/>
        <v>#N/A</v>
      </c>
      <c r="AI599">
        <f t="shared" si="68"/>
        <v>2</v>
      </c>
      <c r="AJ599" t="e">
        <f t="shared" si="65"/>
        <v>#N/A</v>
      </c>
      <c r="AK599">
        <f t="shared" si="69"/>
        <v>3</v>
      </c>
      <c r="AL599" t="e">
        <f t="shared" si="66"/>
        <v>#N/A</v>
      </c>
      <c r="AM599">
        <f t="shared" si="70"/>
        <v>4</v>
      </c>
      <c r="AN599" t="e">
        <f t="shared" si="67"/>
        <v>#N/A</v>
      </c>
    </row>
    <row r="600" spans="12:40" x14ac:dyDescent="0.25">
      <c r="L600">
        <v>597</v>
      </c>
      <c r="M600">
        <v>13.615</v>
      </c>
      <c r="N600">
        <v>14.06625</v>
      </c>
      <c r="O600">
        <v>13.737500000000001</v>
      </c>
      <c r="P600">
        <v>13.835027777777777</v>
      </c>
      <c r="AG600">
        <v>1</v>
      </c>
      <c r="AH600" t="e">
        <f t="shared" si="64"/>
        <v>#N/A</v>
      </c>
      <c r="AI600">
        <f t="shared" si="68"/>
        <v>2</v>
      </c>
      <c r="AJ600" t="e">
        <f t="shared" si="65"/>
        <v>#N/A</v>
      </c>
      <c r="AK600">
        <f t="shared" si="69"/>
        <v>3</v>
      </c>
      <c r="AL600" t="e">
        <f t="shared" si="66"/>
        <v>#N/A</v>
      </c>
      <c r="AM600">
        <f t="shared" si="70"/>
        <v>4</v>
      </c>
      <c r="AN600" t="e">
        <f t="shared" si="67"/>
        <v>#N/A</v>
      </c>
    </row>
    <row r="601" spans="12:40" x14ac:dyDescent="0.25">
      <c r="L601">
        <v>598</v>
      </c>
      <c r="M601">
        <v>13.88</v>
      </c>
      <c r="N601">
        <v>14.675625</v>
      </c>
      <c r="O601">
        <v>14.118111111111112</v>
      </c>
      <c r="P601">
        <v>13.867645833333336</v>
      </c>
      <c r="AG601">
        <v>1</v>
      </c>
      <c r="AH601" t="e">
        <f t="shared" si="64"/>
        <v>#N/A</v>
      </c>
      <c r="AI601">
        <f t="shared" si="68"/>
        <v>2</v>
      </c>
      <c r="AJ601" t="e">
        <f t="shared" si="65"/>
        <v>#N/A</v>
      </c>
      <c r="AK601">
        <f t="shared" si="69"/>
        <v>3</v>
      </c>
      <c r="AL601" t="e">
        <f t="shared" si="66"/>
        <v>#N/A</v>
      </c>
      <c r="AM601">
        <f t="shared" si="70"/>
        <v>4</v>
      </c>
      <c r="AN601" t="e">
        <f t="shared" si="67"/>
        <v>#N/A</v>
      </c>
    </row>
    <row r="602" spans="12:40" x14ac:dyDescent="0.25">
      <c r="L602">
        <v>599</v>
      </c>
      <c r="M602">
        <v>12.126250000000001</v>
      </c>
      <c r="N602">
        <v>13.489375000000001</v>
      </c>
      <c r="O602">
        <v>13.921749999999999</v>
      </c>
      <c r="P602">
        <v>13.797798611111112</v>
      </c>
      <c r="AG602">
        <v>1</v>
      </c>
      <c r="AH602" t="e">
        <f t="shared" si="64"/>
        <v>#N/A</v>
      </c>
      <c r="AI602">
        <f t="shared" si="68"/>
        <v>2</v>
      </c>
      <c r="AJ602" t="e">
        <f t="shared" si="65"/>
        <v>#N/A</v>
      </c>
      <c r="AK602">
        <f t="shared" si="69"/>
        <v>3</v>
      </c>
      <c r="AL602" t="e">
        <f t="shared" si="66"/>
        <v>#N/A</v>
      </c>
      <c r="AM602">
        <f t="shared" si="70"/>
        <v>4</v>
      </c>
      <c r="AN602" t="e">
        <f t="shared" si="67"/>
        <v>#N/A</v>
      </c>
    </row>
    <row r="603" spans="12:40" x14ac:dyDescent="0.25">
      <c r="L603">
        <v>600</v>
      </c>
      <c r="M603">
        <v>14.7125</v>
      </c>
      <c r="N603">
        <v>13.975</v>
      </c>
      <c r="O603">
        <v>14.570125000000001</v>
      </c>
      <c r="P603">
        <v>14.446118055555557</v>
      </c>
      <c r="AG603">
        <v>1</v>
      </c>
      <c r="AH603" t="e">
        <f t="shared" si="64"/>
        <v>#N/A</v>
      </c>
      <c r="AI603">
        <f t="shared" si="68"/>
        <v>2</v>
      </c>
      <c r="AJ603" t="e">
        <f t="shared" si="65"/>
        <v>#N/A</v>
      </c>
      <c r="AK603">
        <f t="shared" si="69"/>
        <v>3</v>
      </c>
      <c r="AL603" t="e">
        <f t="shared" si="66"/>
        <v>#N/A</v>
      </c>
      <c r="AM603">
        <f t="shared" si="70"/>
        <v>4</v>
      </c>
      <c r="AN603" t="e">
        <f t="shared" si="67"/>
        <v>#N/A</v>
      </c>
    </row>
    <row r="604" spans="12:40" x14ac:dyDescent="0.25">
      <c r="L604">
        <v>601</v>
      </c>
      <c r="M604">
        <v>15.5175</v>
      </c>
      <c r="N604">
        <v>16.433125</v>
      </c>
      <c r="O604">
        <v>15.572680555555557</v>
      </c>
      <c r="P604">
        <v>14.361638888888892</v>
      </c>
      <c r="AG604">
        <v>1</v>
      </c>
      <c r="AH604" t="e">
        <f t="shared" si="64"/>
        <v>#N/A</v>
      </c>
      <c r="AI604">
        <f t="shared" si="68"/>
        <v>2</v>
      </c>
      <c r="AJ604">
        <f t="shared" si="65"/>
        <v>16.433125</v>
      </c>
      <c r="AK604">
        <f t="shared" si="69"/>
        <v>3</v>
      </c>
      <c r="AL604">
        <f t="shared" si="66"/>
        <v>15.572680555555557</v>
      </c>
      <c r="AM604">
        <f t="shared" si="70"/>
        <v>4</v>
      </c>
      <c r="AN604" t="e">
        <f t="shared" si="67"/>
        <v>#N/A</v>
      </c>
    </row>
    <row r="605" spans="12:40" x14ac:dyDescent="0.25">
      <c r="L605">
        <v>602</v>
      </c>
      <c r="M605">
        <v>14.154999999999999</v>
      </c>
      <c r="N605">
        <v>13.605</v>
      </c>
      <c r="O605">
        <v>13.989972222222223</v>
      </c>
      <c r="P605">
        <v>13.661701388888886</v>
      </c>
      <c r="AG605">
        <v>1</v>
      </c>
      <c r="AH605" t="e">
        <f t="shared" si="64"/>
        <v>#N/A</v>
      </c>
      <c r="AI605">
        <f t="shared" si="68"/>
        <v>2</v>
      </c>
      <c r="AJ605" t="e">
        <f t="shared" si="65"/>
        <v>#N/A</v>
      </c>
      <c r="AK605">
        <f t="shared" si="69"/>
        <v>3</v>
      </c>
      <c r="AL605" t="e">
        <f t="shared" si="66"/>
        <v>#N/A</v>
      </c>
      <c r="AM605">
        <f t="shared" si="70"/>
        <v>4</v>
      </c>
      <c r="AN605" t="e">
        <f t="shared" si="67"/>
        <v>#N/A</v>
      </c>
    </row>
    <row r="606" spans="12:40" x14ac:dyDescent="0.25">
      <c r="L606">
        <v>603</v>
      </c>
      <c r="M606">
        <v>13.70125</v>
      </c>
      <c r="N606">
        <v>14.203125</v>
      </c>
      <c r="O606">
        <v>13.512805555555554</v>
      </c>
      <c r="P606">
        <v>13.683104166666665</v>
      </c>
      <c r="AG606">
        <v>1</v>
      </c>
      <c r="AH606" t="e">
        <f t="shared" si="64"/>
        <v>#N/A</v>
      </c>
      <c r="AI606">
        <f t="shared" si="68"/>
        <v>2</v>
      </c>
      <c r="AJ606" t="e">
        <f t="shared" si="65"/>
        <v>#N/A</v>
      </c>
      <c r="AK606">
        <f t="shared" si="69"/>
        <v>3</v>
      </c>
      <c r="AL606" t="e">
        <f t="shared" si="66"/>
        <v>#N/A</v>
      </c>
      <c r="AM606">
        <f t="shared" si="70"/>
        <v>4</v>
      </c>
      <c r="AN606" t="e">
        <f t="shared" si="67"/>
        <v>#N/A</v>
      </c>
    </row>
    <row r="607" spans="12:40" x14ac:dyDescent="0.25">
      <c r="L607">
        <v>604</v>
      </c>
      <c r="M607">
        <v>13.0725</v>
      </c>
      <c r="N607">
        <v>14.240625</v>
      </c>
      <c r="O607">
        <v>13.874763888888888</v>
      </c>
      <c r="P607">
        <v>13.580909722222223</v>
      </c>
      <c r="AG607">
        <v>1</v>
      </c>
      <c r="AH607" t="e">
        <f t="shared" si="64"/>
        <v>#N/A</v>
      </c>
      <c r="AI607">
        <f t="shared" si="68"/>
        <v>2</v>
      </c>
      <c r="AJ607" t="e">
        <f t="shared" si="65"/>
        <v>#N/A</v>
      </c>
      <c r="AK607">
        <f t="shared" si="69"/>
        <v>3</v>
      </c>
      <c r="AL607" t="e">
        <f t="shared" si="66"/>
        <v>#N/A</v>
      </c>
      <c r="AM607">
        <f t="shared" si="70"/>
        <v>4</v>
      </c>
      <c r="AN607" t="e">
        <f t="shared" si="67"/>
        <v>#N/A</v>
      </c>
    </row>
    <row r="608" spans="12:40" x14ac:dyDescent="0.25">
      <c r="L608">
        <v>605</v>
      </c>
      <c r="M608">
        <v>12.578749999999999</v>
      </c>
      <c r="N608">
        <v>13.446249999999999</v>
      </c>
      <c r="O608">
        <v>14.716958333333334</v>
      </c>
      <c r="P608">
        <v>14.296319444444443</v>
      </c>
      <c r="AG608">
        <v>1</v>
      </c>
      <c r="AH608" t="e">
        <f t="shared" si="64"/>
        <v>#N/A</v>
      </c>
      <c r="AI608">
        <f t="shared" si="68"/>
        <v>2</v>
      </c>
      <c r="AJ608" t="e">
        <f t="shared" si="65"/>
        <v>#N/A</v>
      </c>
      <c r="AK608">
        <f t="shared" si="69"/>
        <v>3</v>
      </c>
      <c r="AL608" t="e">
        <f t="shared" si="66"/>
        <v>#N/A</v>
      </c>
      <c r="AM608">
        <f t="shared" si="70"/>
        <v>4</v>
      </c>
      <c r="AN608" t="e">
        <f t="shared" si="67"/>
        <v>#N/A</v>
      </c>
    </row>
    <row r="609" spans="12:40" x14ac:dyDescent="0.25">
      <c r="L609">
        <v>606</v>
      </c>
      <c r="M609">
        <v>14.661250000000001</v>
      </c>
      <c r="N609">
        <v>14.473750000000001</v>
      </c>
      <c r="O609">
        <v>14.327694444444443</v>
      </c>
      <c r="P609">
        <v>14.449909722222221</v>
      </c>
      <c r="AG609">
        <v>1</v>
      </c>
      <c r="AH609" t="e">
        <f t="shared" si="64"/>
        <v>#N/A</v>
      </c>
      <c r="AI609">
        <f t="shared" si="68"/>
        <v>2</v>
      </c>
      <c r="AJ609" t="e">
        <f t="shared" si="65"/>
        <v>#N/A</v>
      </c>
      <c r="AK609">
        <f t="shared" si="69"/>
        <v>3</v>
      </c>
      <c r="AL609" t="e">
        <f t="shared" si="66"/>
        <v>#N/A</v>
      </c>
      <c r="AM609">
        <f t="shared" si="70"/>
        <v>4</v>
      </c>
      <c r="AN609" t="e">
        <f t="shared" si="67"/>
        <v>#N/A</v>
      </c>
    </row>
    <row r="610" spans="12:40" x14ac:dyDescent="0.25">
      <c r="L610">
        <v>607</v>
      </c>
      <c r="M610">
        <v>13.192500000000001</v>
      </c>
      <c r="N610">
        <v>13.753125000000001</v>
      </c>
      <c r="O610">
        <v>14.259874999999999</v>
      </c>
      <c r="P610">
        <v>14.179576388888888</v>
      </c>
      <c r="AG610">
        <v>1</v>
      </c>
      <c r="AH610" t="e">
        <f t="shared" si="64"/>
        <v>#N/A</v>
      </c>
      <c r="AI610">
        <f t="shared" si="68"/>
        <v>2</v>
      </c>
      <c r="AJ610" t="e">
        <f t="shared" si="65"/>
        <v>#N/A</v>
      </c>
      <c r="AK610">
        <f t="shared" si="69"/>
        <v>3</v>
      </c>
      <c r="AL610" t="e">
        <f t="shared" si="66"/>
        <v>#N/A</v>
      </c>
      <c r="AM610">
        <f t="shared" si="70"/>
        <v>4</v>
      </c>
      <c r="AN610" t="e">
        <f t="shared" si="67"/>
        <v>#N/A</v>
      </c>
    </row>
    <row r="611" spans="12:40" x14ac:dyDescent="0.25">
      <c r="L611">
        <v>608</v>
      </c>
      <c r="M611">
        <v>11.59125</v>
      </c>
      <c r="N611">
        <v>12.547499999999999</v>
      </c>
      <c r="O611">
        <v>13.101152777777779</v>
      </c>
      <c r="P611">
        <v>13.744083333333332</v>
      </c>
      <c r="AG611">
        <v>1</v>
      </c>
      <c r="AH611" t="e">
        <f t="shared" si="64"/>
        <v>#N/A</v>
      </c>
      <c r="AI611">
        <f t="shared" si="68"/>
        <v>2</v>
      </c>
      <c r="AJ611" t="e">
        <f t="shared" si="65"/>
        <v>#N/A</v>
      </c>
      <c r="AK611">
        <f t="shared" si="69"/>
        <v>3</v>
      </c>
      <c r="AL611" t="e">
        <f t="shared" si="66"/>
        <v>#N/A</v>
      </c>
      <c r="AM611">
        <f t="shared" si="70"/>
        <v>4</v>
      </c>
      <c r="AN611" t="e">
        <f t="shared" si="67"/>
        <v>#N/A</v>
      </c>
    </row>
    <row r="612" spans="12:40" x14ac:dyDescent="0.25">
      <c r="L612">
        <v>609</v>
      </c>
      <c r="M612">
        <v>16.088750000000001</v>
      </c>
      <c r="N612">
        <v>15.088125</v>
      </c>
      <c r="O612">
        <v>14.104055555555554</v>
      </c>
      <c r="P612">
        <v>14.382222222222222</v>
      </c>
      <c r="AG612">
        <v>1</v>
      </c>
      <c r="AH612" t="e">
        <f t="shared" si="64"/>
        <v>#N/A</v>
      </c>
      <c r="AI612">
        <f t="shared" si="68"/>
        <v>2</v>
      </c>
      <c r="AJ612" t="e">
        <f t="shared" si="65"/>
        <v>#N/A</v>
      </c>
      <c r="AK612">
        <f t="shared" si="69"/>
        <v>3</v>
      </c>
      <c r="AL612" t="e">
        <f t="shared" si="66"/>
        <v>#N/A</v>
      </c>
      <c r="AM612">
        <f t="shared" si="70"/>
        <v>4</v>
      </c>
      <c r="AN612" t="e">
        <f t="shared" si="67"/>
        <v>#N/A</v>
      </c>
    </row>
    <row r="613" spans="12:40" x14ac:dyDescent="0.25">
      <c r="L613">
        <v>610</v>
      </c>
      <c r="M613">
        <v>13.29875</v>
      </c>
      <c r="N613">
        <v>14.230625</v>
      </c>
      <c r="O613">
        <v>14.589902777777779</v>
      </c>
      <c r="P613">
        <v>14.097000000000001</v>
      </c>
      <c r="AG613">
        <v>1</v>
      </c>
      <c r="AH613" t="e">
        <f t="shared" si="64"/>
        <v>#N/A</v>
      </c>
      <c r="AI613">
        <f t="shared" si="68"/>
        <v>2</v>
      </c>
      <c r="AJ613" t="e">
        <f t="shared" si="65"/>
        <v>#N/A</v>
      </c>
      <c r="AK613">
        <f t="shared" si="69"/>
        <v>3</v>
      </c>
      <c r="AL613" t="e">
        <f t="shared" si="66"/>
        <v>#N/A</v>
      </c>
      <c r="AM613">
        <f t="shared" si="70"/>
        <v>4</v>
      </c>
      <c r="AN613" t="e">
        <f t="shared" si="67"/>
        <v>#N/A</v>
      </c>
    </row>
    <row r="614" spans="12:40" x14ac:dyDescent="0.25">
      <c r="L614">
        <v>611</v>
      </c>
      <c r="M614">
        <v>13.7325</v>
      </c>
      <c r="N614">
        <v>13.063124999999999</v>
      </c>
      <c r="O614">
        <v>14.586083333333333</v>
      </c>
      <c r="P614">
        <v>14.344402777777777</v>
      </c>
      <c r="AG614">
        <v>1</v>
      </c>
      <c r="AH614" t="e">
        <f t="shared" si="64"/>
        <v>#N/A</v>
      </c>
      <c r="AI614">
        <f t="shared" si="68"/>
        <v>2</v>
      </c>
      <c r="AJ614" t="e">
        <f t="shared" si="65"/>
        <v>#N/A</v>
      </c>
      <c r="AK614">
        <f t="shared" si="69"/>
        <v>3</v>
      </c>
      <c r="AL614" t="e">
        <f t="shared" si="66"/>
        <v>#N/A</v>
      </c>
      <c r="AM614">
        <f t="shared" si="70"/>
        <v>4</v>
      </c>
      <c r="AN614" t="e">
        <f t="shared" si="67"/>
        <v>#N/A</v>
      </c>
    </row>
    <row r="615" spans="12:40" x14ac:dyDescent="0.25">
      <c r="L615">
        <v>612</v>
      </c>
      <c r="M615">
        <v>13.391249999999999</v>
      </c>
      <c r="N615">
        <v>14.176875000000001</v>
      </c>
      <c r="O615">
        <v>14.339222222222222</v>
      </c>
      <c r="P615">
        <v>14.372979166666664</v>
      </c>
      <c r="AG615">
        <v>1</v>
      </c>
      <c r="AH615" t="e">
        <f t="shared" si="64"/>
        <v>#N/A</v>
      </c>
      <c r="AI615">
        <f t="shared" si="68"/>
        <v>2</v>
      </c>
      <c r="AJ615" t="e">
        <f t="shared" si="65"/>
        <v>#N/A</v>
      </c>
      <c r="AK615">
        <f t="shared" si="69"/>
        <v>3</v>
      </c>
      <c r="AL615" t="e">
        <f t="shared" si="66"/>
        <v>#N/A</v>
      </c>
      <c r="AM615">
        <f t="shared" si="70"/>
        <v>4</v>
      </c>
      <c r="AN615" t="e">
        <f t="shared" si="67"/>
        <v>#N/A</v>
      </c>
    </row>
    <row r="616" spans="12:40" x14ac:dyDescent="0.25">
      <c r="L616">
        <v>613</v>
      </c>
      <c r="M616">
        <v>13.182499999999999</v>
      </c>
      <c r="N616">
        <v>14.234375</v>
      </c>
      <c r="O616">
        <v>14.793930555555557</v>
      </c>
      <c r="P616">
        <v>14.150645833333334</v>
      </c>
      <c r="AG616">
        <v>1</v>
      </c>
      <c r="AH616" t="e">
        <f t="shared" si="64"/>
        <v>#N/A</v>
      </c>
      <c r="AI616">
        <f t="shared" si="68"/>
        <v>2</v>
      </c>
      <c r="AJ616" t="e">
        <f t="shared" si="65"/>
        <v>#N/A</v>
      </c>
      <c r="AK616">
        <f t="shared" si="69"/>
        <v>3</v>
      </c>
      <c r="AL616" t="e">
        <f t="shared" si="66"/>
        <v>#N/A</v>
      </c>
      <c r="AM616">
        <f t="shared" si="70"/>
        <v>4</v>
      </c>
      <c r="AN616" t="e">
        <f t="shared" si="67"/>
        <v>#N/A</v>
      </c>
    </row>
    <row r="617" spans="12:40" x14ac:dyDescent="0.25">
      <c r="L617">
        <v>614</v>
      </c>
      <c r="M617">
        <v>12.793749999999999</v>
      </c>
      <c r="N617">
        <v>13.445625</v>
      </c>
      <c r="O617">
        <v>13.592916666666666</v>
      </c>
      <c r="P617">
        <v>13.803194444444443</v>
      </c>
      <c r="AG617">
        <v>1</v>
      </c>
      <c r="AH617" t="e">
        <f t="shared" si="64"/>
        <v>#N/A</v>
      </c>
      <c r="AI617">
        <f t="shared" si="68"/>
        <v>2</v>
      </c>
      <c r="AJ617" t="e">
        <f t="shared" si="65"/>
        <v>#N/A</v>
      </c>
      <c r="AK617">
        <f t="shared" si="69"/>
        <v>3</v>
      </c>
      <c r="AL617" t="e">
        <f t="shared" si="66"/>
        <v>#N/A</v>
      </c>
      <c r="AM617">
        <f t="shared" si="70"/>
        <v>4</v>
      </c>
      <c r="AN617" t="e">
        <f t="shared" si="67"/>
        <v>#N/A</v>
      </c>
    </row>
    <row r="618" spans="12:40" x14ac:dyDescent="0.25">
      <c r="L618">
        <v>615</v>
      </c>
      <c r="M618">
        <v>12.62875</v>
      </c>
      <c r="N618">
        <v>12.365625</v>
      </c>
      <c r="O618">
        <v>12.933666666666667</v>
      </c>
      <c r="P618">
        <v>13.410791666666666</v>
      </c>
      <c r="AG618">
        <v>1</v>
      </c>
      <c r="AH618" t="e">
        <f t="shared" si="64"/>
        <v>#N/A</v>
      </c>
      <c r="AI618">
        <f t="shared" si="68"/>
        <v>2</v>
      </c>
      <c r="AJ618" t="e">
        <f t="shared" si="65"/>
        <v>#N/A</v>
      </c>
      <c r="AK618">
        <f t="shared" si="69"/>
        <v>3</v>
      </c>
      <c r="AL618" t="e">
        <f t="shared" si="66"/>
        <v>#N/A</v>
      </c>
      <c r="AM618">
        <f t="shared" si="70"/>
        <v>4</v>
      </c>
      <c r="AN618" t="e">
        <f t="shared" si="67"/>
        <v>#N/A</v>
      </c>
    </row>
    <row r="619" spans="12:40" x14ac:dyDescent="0.25">
      <c r="L619">
        <v>616</v>
      </c>
      <c r="M619">
        <v>13.324999999999999</v>
      </c>
      <c r="N619">
        <v>14.9475</v>
      </c>
      <c r="O619">
        <v>14.215597222222222</v>
      </c>
      <c r="P619">
        <v>14.027743055555554</v>
      </c>
      <c r="AG619">
        <v>1</v>
      </c>
      <c r="AH619" t="e">
        <f t="shared" si="64"/>
        <v>#N/A</v>
      </c>
      <c r="AI619">
        <f t="shared" si="68"/>
        <v>2</v>
      </c>
      <c r="AJ619" t="e">
        <f t="shared" si="65"/>
        <v>#N/A</v>
      </c>
      <c r="AK619">
        <f t="shared" si="69"/>
        <v>3</v>
      </c>
      <c r="AL619" t="e">
        <f t="shared" si="66"/>
        <v>#N/A</v>
      </c>
      <c r="AM619">
        <f t="shared" si="70"/>
        <v>4</v>
      </c>
      <c r="AN619" t="e">
        <f t="shared" si="67"/>
        <v>#N/A</v>
      </c>
    </row>
    <row r="620" spans="12:40" x14ac:dyDescent="0.25">
      <c r="L620">
        <v>617</v>
      </c>
      <c r="M620">
        <v>14.455</v>
      </c>
      <c r="N620">
        <v>13.8675</v>
      </c>
      <c r="O620">
        <v>13.506055555555555</v>
      </c>
      <c r="P620">
        <v>13.822930555555553</v>
      </c>
      <c r="AG620">
        <v>1</v>
      </c>
      <c r="AH620" t="e">
        <f t="shared" si="64"/>
        <v>#N/A</v>
      </c>
      <c r="AI620">
        <f t="shared" si="68"/>
        <v>2</v>
      </c>
      <c r="AJ620" t="e">
        <f t="shared" si="65"/>
        <v>#N/A</v>
      </c>
      <c r="AK620">
        <f t="shared" si="69"/>
        <v>3</v>
      </c>
      <c r="AL620" t="e">
        <f t="shared" si="66"/>
        <v>#N/A</v>
      </c>
      <c r="AM620">
        <f t="shared" si="70"/>
        <v>4</v>
      </c>
      <c r="AN620" t="e">
        <f t="shared" si="67"/>
        <v>#N/A</v>
      </c>
    </row>
    <row r="621" spans="12:40" x14ac:dyDescent="0.25">
      <c r="L621">
        <v>618</v>
      </c>
      <c r="M621">
        <v>14.205</v>
      </c>
      <c r="N621">
        <v>14.245625</v>
      </c>
      <c r="O621">
        <v>13.75538888888889</v>
      </c>
      <c r="P621">
        <v>13.866520833333334</v>
      </c>
      <c r="AG621">
        <v>1</v>
      </c>
      <c r="AH621" t="e">
        <f t="shared" si="64"/>
        <v>#N/A</v>
      </c>
      <c r="AI621">
        <f t="shared" si="68"/>
        <v>2</v>
      </c>
      <c r="AJ621" t="e">
        <f t="shared" si="65"/>
        <v>#N/A</v>
      </c>
      <c r="AK621">
        <f t="shared" si="69"/>
        <v>3</v>
      </c>
      <c r="AL621" t="e">
        <f t="shared" si="66"/>
        <v>#N/A</v>
      </c>
      <c r="AM621">
        <f t="shared" si="70"/>
        <v>4</v>
      </c>
      <c r="AN621" t="e">
        <f t="shared" si="67"/>
        <v>#N/A</v>
      </c>
    </row>
    <row r="622" spans="12:40" x14ac:dyDescent="0.25">
      <c r="L622">
        <v>619</v>
      </c>
      <c r="M622">
        <v>12.225</v>
      </c>
      <c r="N622">
        <v>13.181875</v>
      </c>
      <c r="O622">
        <v>13.391347222222221</v>
      </c>
      <c r="P622">
        <v>14.50332638888889</v>
      </c>
      <c r="AG622">
        <v>1</v>
      </c>
      <c r="AH622" t="e">
        <f t="shared" si="64"/>
        <v>#N/A</v>
      </c>
      <c r="AI622">
        <f t="shared" si="68"/>
        <v>2</v>
      </c>
      <c r="AJ622" t="e">
        <f t="shared" si="65"/>
        <v>#N/A</v>
      </c>
      <c r="AK622">
        <f t="shared" si="69"/>
        <v>3</v>
      </c>
      <c r="AL622" t="e">
        <f t="shared" si="66"/>
        <v>#N/A</v>
      </c>
      <c r="AM622">
        <f t="shared" si="70"/>
        <v>4</v>
      </c>
      <c r="AN622" t="e">
        <f t="shared" si="67"/>
        <v>#N/A</v>
      </c>
    </row>
    <row r="623" spans="12:40" x14ac:dyDescent="0.25">
      <c r="L623">
        <v>620</v>
      </c>
      <c r="M623">
        <v>14.56</v>
      </c>
      <c r="N623">
        <v>13.928750000000001</v>
      </c>
      <c r="O623">
        <v>13.610430555555556</v>
      </c>
      <c r="P623">
        <v>13.943326388888888</v>
      </c>
      <c r="AG623">
        <v>1</v>
      </c>
      <c r="AH623" t="e">
        <f t="shared" si="64"/>
        <v>#N/A</v>
      </c>
      <c r="AI623">
        <f t="shared" si="68"/>
        <v>2</v>
      </c>
      <c r="AJ623" t="e">
        <f t="shared" si="65"/>
        <v>#N/A</v>
      </c>
      <c r="AK623">
        <f t="shared" si="69"/>
        <v>3</v>
      </c>
      <c r="AL623" t="e">
        <f t="shared" si="66"/>
        <v>#N/A</v>
      </c>
      <c r="AM623">
        <f t="shared" si="70"/>
        <v>4</v>
      </c>
      <c r="AN623" t="e">
        <f t="shared" si="67"/>
        <v>#N/A</v>
      </c>
    </row>
    <row r="624" spans="12:40" x14ac:dyDescent="0.25">
      <c r="L624">
        <v>621</v>
      </c>
      <c r="M624">
        <v>13.518750000000001</v>
      </c>
      <c r="N624">
        <v>13.29</v>
      </c>
      <c r="O624">
        <v>13.123513888888887</v>
      </c>
      <c r="P624">
        <v>13.785305555555553</v>
      </c>
      <c r="AG624">
        <v>1</v>
      </c>
      <c r="AH624" t="e">
        <f t="shared" si="64"/>
        <v>#N/A</v>
      </c>
      <c r="AI624">
        <f t="shared" si="68"/>
        <v>2</v>
      </c>
      <c r="AJ624" t="e">
        <f t="shared" si="65"/>
        <v>#N/A</v>
      </c>
      <c r="AK624">
        <f t="shared" si="69"/>
        <v>3</v>
      </c>
      <c r="AL624" t="e">
        <f t="shared" si="66"/>
        <v>#N/A</v>
      </c>
      <c r="AM624">
        <f t="shared" si="70"/>
        <v>4</v>
      </c>
      <c r="AN624" t="e">
        <f t="shared" si="67"/>
        <v>#N/A</v>
      </c>
    </row>
    <row r="625" spans="12:40" x14ac:dyDescent="0.25">
      <c r="L625">
        <v>622</v>
      </c>
      <c r="M625">
        <v>14.803750000000001</v>
      </c>
      <c r="N625">
        <v>13.761875</v>
      </c>
      <c r="O625">
        <v>13.754680555555556</v>
      </c>
      <c r="P625">
        <v>13.926076388888887</v>
      </c>
      <c r="AG625">
        <v>1</v>
      </c>
      <c r="AH625" t="e">
        <f t="shared" si="64"/>
        <v>#N/A</v>
      </c>
      <c r="AI625">
        <f t="shared" si="68"/>
        <v>2</v>
      </c>
      <c r="AJ625" t="e">
        <f t="shared" si="65"/>
        <v>#N/A</v>
      </c>
      <c r="AK625">
        <f t="shared" si="69"/>
        <v>3</v>
      </c>
      <c r="AL625" t="e">
        <f t="shared" si="66"/>
        <v>#N/A</v>
      </c>
      <c r="AM625">
        <f t="shared" si="70"/>
        <v>4</v>
      </c>
      <c r="AN625" t="e">
        <f t="shared" si="67"/>
        <v>#N/A</v>
      </c>
    </row>
    <row r="626" spans="12:40" x14ac:dyDescent="0.25">
      <c r="L626">
        <v>623</v>
      </c>
      <c r="M626">
        <v>13.071249999999999</v>
      </c>
      <c r="N626">
        <v>13.511875</v>
      </c>
      <c r="O626">
        <v>14.071569444444446</v>
      </c>
      <c r="P626">
        <v>14.165222222222221</v>
      </c>
      <c r="AG626">
        <v>1</v>
      </c>
      <c r="AH626" t="e">
        <f t="shared" si="64"/>
        <v>#N/A</v>
      </c>
      <c r="AI626">
        <f t="shared" si="68"/>
        <v>2</v>
      </c>
      <c r="AJ626" t="e">
        <f t="shared" si="65"/>
        <v>#N/A</v>
      </c>
      <c r="AK626">
        <f t="shared" si="69"/>
        <v>3</v>
      </c>
      <c r="AL626" t="e">
        <f t="shared" si="66"/>
        <v>#N/A</v>
      </c>
      <c r="AM626">
        <f t="shared" si="70"/>
        <v>4</v>
      </c>
      <c r="AN626" t="e">
        <f t="shared" si="67"/>
        <v>#N/A</v>
      </c>
    </row>
    <row r="627" spans="12:40" x14ac:dyDescent="0.25">
      <c r="L627">
        <v>624</v>
      </c>
      <c r="M627">
        <v>15.036250000000001</v>
      </c>
      <c r="N627">
        <v>14.137499999999999</v>
      </c>
      <c r="O627">
        <v>13.794972222222222</v>
      </c>
      <c r="P627">
        <v>14.006430555555557</v>
      </c>
      <c r="AG627">
        <v>1</v>
      </c>
      <c r="AH627" t="e">
        <f t="shared" si="64"/>
        <v>#N/A</v>
      </c>
      <c r="AI627">
        <f t="shared" si="68"/>
        <v>2</v>
      </c>
      <c r="AJ627" t="e">
        <f t="shared" si="65"/>
        <v>#N/A</v>
      </c>
      <c r="AK627">
        <f t="shared" si="69"/>
        <v>3</v>
      </c>
      <c r="AL627" t="e">
        <f t="shared" si="66"/>
        <v>#N/A</v>
      </c>
      <c r="AM627">
        <f t="shared" si="70"/>
        <v>4</v>
      </c>
      <c r="AN627" t="e">
        <f t="shared" si="67"/>
        <v>#N/A</v>
      </c>
    </row>
    <row r="628" spans="12:40" x14ac:dyDescent="0.25">
      <c r="L628">
        <v>625</v>
      </c>
      <c r="M628">
        <v>15.817500000000001</v>
      </c>
      <c r="N628">
        <v>14.324999999999999</v>
      </c>
      <c r="O628">
        <v>13.900777777777778</v>
      </c>
      <c r="P628">
        <v>13.877090277777778</v>
      </c>
      <c r="AG628">
        <v>1</v>
      </c>
      <c r="AH628" t="e">
        <f t="shared" si="64"/>
        <v>#N/A</v>
      </c>
      <c r="AI628">
        <f t="shared" si="68"/>
        <v>2</v>
      </c>
      <c r="AJ628" t="e">
        <f t="shared" si="65"/>
        <v>#N/A</v>
      </c>
      <c r="AK628">
        <f t="shared" si="69"/>
        <v>3</v>
      </c>
      <c r="AL628" t="e">
        <f t="shared" si="66"/>
        <v>#N/A</v>
      </c>
      <c r="AM628">
        <f t="shared" si="70"/>
        <v>4</v>
      </c>
      <c r="AN628" t="e">
        <f t="shared" si="67"/>
        <v>#N/A</v>
      </c>
    </row>
    <row r="629" spans="12:40" x14ac:dyDescent="0.25">
      <c r="L629">
        <v>626</v>
      </c>
      <c r="M629">
        <v>14.647500000000001</v>
      </c>
      <c r="N629">
        <v>13.493124999999999</v>
      </c>
      <c r="O629">
        <v>13.645402777777779</v>
      </c>
      <c r="P629">
        <v>13.494236111111114</v>
      </c>
      <c r="AG629">
        <v>1</v>
      </c>
      <c r="AH629" t="e">
        <f t="shared" si="64"/>
        <v>#N/A</v>
      </c>
      <c r="AI629">
        <f t="shared" si="68"/>
        <v>2</v>
      </c>
      <c r="AJ629" t="e">
        <f t="shared" si="65"/>
        <v>#N/A</v>
      </c>
      <c r="AK629">
        <f t="shared" si="69"/>
        <v>3</v>
      </c>
      <c r="AL629" t="e">
        <f t="shared" si="66"/>
        <v>#N/A</v>
      </c>
      <c r="AM629">
        <f t="shared" si="70"/>
        <v>4</v>
      </c>
      <c r="AN629" t="e">
        <f t="shared" si="67"/>
        <v>#N/A</v>
      </c>
    </row>
    <row r="630" spans="12:40" x14ac:dyDescent="0.25">
      <c r="L630">
        <v>627</v>
      </c>
      <c r="M630">
        <v>11.827500000000001</v>
      </c>
      <c r="N630">
        <v>12.841875</v>
      </c>
      <c r="O630">
        <v>13.672874999999999</v>
      </c>
      <c r="P630">
        <v>13.769409722222221</v>
      </c>
      <c r="AG630">
        <v>1</v>
      </c>
      <c r="AH630" t="e">
        <f t="shared" si="64"/>
        <v>#N/A</v>
      </c>
      <c r="AI630">
        <f t="shared" si="68"/>
        <v>2</v>
      </c>
      <c r="AJ630" t="e">
        <f t="shared" si="65"/>
        <v>#N/A</v>
      </c>
      <c r="AK630">
        <f t="shared" si="69"/>
        <v>3</v>
      </c>
      <c r="AL630" t="e">
        <f t="shared" si="66"/>
        <v>#N/A</v>
      </c>
      <c r="AM630">
        <f t="shared" si="70"/>
        <v>4</v>
      </c>
      <c r="AN630" t="e">
        <f t="shared" si="67"/>
        <v>#N/A</v>
      </c>
    </row>
    <row r="631" spans="12:40" x14ac:dyDescent="0.25">
      <c r="L631">
        <v>628</v>
      </c>
      <c r="M631">
        <v>13.40875</v>
      </c>
      <c r="N631">
        <v>14.511875</v>
      </c>
      <c r="O631">
        <v>14.415138888888887</v>
      </c>
      <c r="P631">
        <v>14.299979166666665</v>
      </c>
      <c r="AG631">
        <v>1</v>
      </c>
      <c r="AH631" t="e">
        <f t="shared" si="64"/>
        <v>#N/A</v>
      </c>
      <c r="AI631">
        <f t="shared" si="68"/>
        <v>2</v>
      </c>
      <c r="AJ631" t="e">
        <f t="shared" si="65"/>
        <v>#N/A</v>
      </c>
      <c r="AK631">
        <f t="shared" si="69"/>
        <v>3</v>
      </c>
      <c r="AL631" t="e">
        <f t="shared" si="66"/>
        <v>#N/A</v>
      </c>
      <c r="AM631">
        <f t="shared" si="70"/>
        <v>4</v>
      </c>
      <c r="AN631" t="e">
        <f t="shared" si="67"/>
        <v>#N/A</v>
      </c>
    </row>
    <row r="632" spans="12:40" x14ac:dyDescent="0.25">
      <c r="L632">
        <v>629</v>
      </c>
      <c r="M632">
        <v>15.025</v>
      </c>
      <c r="N632">
        <v>14.574375</v>
      </c>
      <c r="O632">
        <v>14.365027777777778</v>
      </c>
      <c r="P632">
        <v>14.127423611111112</v>
      </c>
      <c r="AG632">
        <v>1</v>
      </c>
      <c r="AH632" t="e">
        <f t="shared" si="64"/>
        <v>#N/A</v>
      </c>
      <c r="AI632">
        <f t="shared" si="68"/>
        <v>2</v>
      </c>
      <c r="AJ632" t="e">
        <f t="shared" si="65"/>
        <v>#N/A</v>
      </c>
      <c r="AK632">
        <f t="shared" si="69"/>
        <v>3</v>
      </c>
      <c r="AL632" t="e">
        <f t="shared" si="66"/>
        <v>#N/A</v>
      </c>
      <c r="AM632">
        <f t="shared" si="70"/>
        <v>4</v>
      </c>
      <c r="AN632" t="e">
        <f t="shared" si="67"/>
        <v>#N/A</v>
      </c>
    </row>
    <row r="633" spans="12:40" x14ac:dyDescent="0.25">
      <c r="L633">
        <v>630</v>
      </c>
      <c r="M633">
        <v>14.545</v>
      </c>
      <c r="N633">
        <v>13.376875</v>
      </c>
      <c r="O633">
        <v>13.697194444444447</v>
      </c>
      <c r="P633">
        <v>13.604180555555557</v>
      </c>
      <c r="AG633">
        <v>1</v>
      </c>
      <c r="AH633" t="e">
        <f t="shared" si="64"/>
        <v>#N/A</v>
      </c>
      <c r="AI633">
        <f t="shared" si="68"/>
        <v>2</v>
      </c>
      <c r="AJ633" t="e">
        <f t="shared" si="65"/>
        <v>#N/A</v>
      </c>
      <c r="AK633">
        <f t="shared" si="69"/>
        <v>3</v>
      </c>
      <c r="AL633" t="e">
        <f t="shared" si="66"/>
        <v>#N/A</v>
      </c>
      <c r="AM633">
        <f t="shared" si="70"/>
        <v>4</v>
      </c>
      <c r="AN633" t="e">
        <f t="shared" si="67"/>
        <v>#N/A</v>
      </c>
    </row>
    <row r="634" spans="12:40" x14ac:dyDescent="0.25">
      <c r="L634">
        <v>631</v>
      </c>
      <c r="M634">
        <v>13.05</v>
      </c>
      <c r="N634">
        <v>13.7875</v>
      </c>
      <c r="O634">
        <v>13.430902777777778</v>
      </c>
      <c r="P634">
        <v>13.768062500000001</v>
      </c>
      <c r="AG634">
        <v>1</v>
      </c>
      <c r="AH634" t="e">
        <f t="shared" si="64"/>
        <v>#N/A</v>
      </c>
      <c r="AI634">
        <f t="shared" si="68"/>
        <v>2</v>
      </c>
      <c r="AJ634" t="e">
        <f t="shared" si="65"/>
        <v>#N/A</v>
      </c>
      <c r="AK634">
        <f t="shared" si="69"/>
        <v>3</v>
      </c>
      <c r="AL634" t="e">
        <f t="shared" si="66"/>
        <v>#N/A</v>
      </c>
      <c r="AM634">
        <f t="shared" si="70"/>
        <v>4</v>
      </c>
      <c r="AN634" t="e">
        <f t="shared" si="67"/>
        <v>#N/A</v>
      </c>
    </row>
    <row r="635" spans="12:40" x14ac:dyDescent="0.25">
      <c r="L635">
        <v>632</v>
      </c>
      <c r="M635">
        <v>17.268750000000001</v>
      </c>
      <c r="N635">
        <v>16.2775</v>
      </c>
      <c r="O635">
        <v>14.302625000000001</v>
      </c>
      <c r="P635">
        <v>13.857173611111113</v>
      </c>
      <c r="AG635">
        <v>1</v>
      </c>
      <c r="AH635">
        <f t="shared" si="64"/>
        <v>17.268750000000001</v>
      </c>
      <c r="AI635">
        <f t="shared" si="68"/>
        <v>2</v>
      </c>
      <c r="AJ635">
        <f t="shared" si="65"/>
        <v>16.2775</v>
      </c>
      <c r="AK635">
        <f t="shared" si="69"/>
        <v>3</v>
      </c>
      <c r="AL635" t="e">
        <f t="shared" si="66"/>
        <v>#N/A</v>
      </c>
      <c r="AM635">
        <f t="shared" si="70"/>
        <v>4</v>
      </c>
      <c r="AN635" t="e">
        <f t="shared" si="67"/>
        <v>#N/A</v>
      </c>
    </row>
    <row r="636" spans="12:40" x14ac:dyDescent="0.25">
      <c r="L636">
        <v>633</v>
      </c>
      <c r="M636">
        <v>14.14</v>
      </c>
      <c r="N636">
        <v>13.259375</v>
      </c>
      <c r="O636">
        <v>13.176861111111112</v>
      </c>
      <c r="P636">
        <v>13.665201388888889</v>
      </c>
      <c r="AG636">
        <v>1</v>
      </c>
      <c r="AH636" t="e">
        <f t="shared" si="64"/>
        <v>#N/A</v>
      </c>
      <c r="AI636">
        <f t="shared" si="68"/>
        <v>2</v>
      </c>
      <c r="AJ636" t="e">
        <f t="shared" si="65"/>
        <v>#N/A</v>
      </c>
      <c r="AK636">
        <f t="shared" si="69"/>
        <v>3</v>
      </c>
      <c r="AL636" t="e">
        <f t="shared" si="66"/>
        <v>#N/A</v>
      </c>
      <c r="AM636">
        <f t="shared" si="70"/>
        <v>4</v>
      </c>
      <c r="AN636" t="e">
        <f t="shared" si="67"/>
        <v>#N/A</v>
      </c>
    </row>
    <row r="637" spans="12:40" x14ac:dyDescent="0.25">
      <c r="L637">
        <v>634</v>
      </c>
      <c r="M637">
        <v>14.97125</v>
      </c>
      <c r="N637">
        <v>13.560625</v>
      </c>
      <c r="O637">
        <v>13.754680555555556</v>
      </c>
      <c r="P637">
        <v>13.676041666666665</v>
      </c>
      <c r="AG637">
        <v>1</v>
      </c>
      <c r="AH637" t="e">
        <f t="shared" si="64"/>
        <v>#N/A</v>
      </c>
      <c r="AI637">
        <f t="shared" si="68"/>
        <v>2</v>
      </c>
      <c r="AJ637" t="e">
        <f t="shared" si="65"/>
        <v>#N/A</v>
      </c>
      <c r="AK637">
        <f t="shared" si="69"/>
        <v>3</v>
      </c>
      <c r="AL637" t="e">
        <f t="shared" si="66"/>
        <v>#N/A</v>
      </c>
      <c r="AM637">
        <f t="shared" si="70"/>
        <v>4</v>
      </c>
      <c r="AN637" t="e">
        <f t="shared" si="67"/>
        <v>#N/A</v>
      </c>
    </row>
    <row r="638" spans="12:40" x14ac:dyDescent="0.25">
      <c r="L638">
        <v>635</v>
      </c>
      <c r="M638">
        <v>13.436249999999999</v>
      </c>
      <c r="N638">
        <v>14.23875</v>
      </c>
      <c r="O638">
        <v>14.200125</v>
      </c>
      <c r="P638">
        <v>14.149930555555555</v>
      </c>
      <c r="AG638">
        <v>1</v>
      </c>
      <c r="AH638" t="e">
        <f t="shared" si="64"/>
        <v>#N/A</v>
      </c>
      <c r="AI638">
        <f t="shared" si="68"/>
        <v>2</v>
      </c>
      <c r="AJ638" t="e">
        <f t="shared" si="65"/>
        <v>#N/A</v>
      </c>
      <c r="AK638">
        <f t="shared" si="69"/>
        <v>3</v>
      </c>
      <c r="AL638" t="e">
        <f t="shared" si="66"/>
        <v>#N/A</v>
      </c>
      <c r="AM638">
        <f t="shared" si="70"/>
        <v>4</v>
      </c>
      <c r="AN638" t="e">
        <f t="shared" si="67"/>
        <v>#N/A</v>
      </c>
    </row>
    <row r="639" spans="12:40" x14ac:dyDescent="0.25">
      <c r="L639">
        <v>636</v>
      </c>
      <c r="M639">
        <v>14.38125</v>
      </c>
      <c r="N639">
        <v>14.501250000000001</v>
      </c>
      <c r="O639">
        <v>14.081805555555556</v>
      </c>
      <c r="P639">
        <v>14.047090277777778</v>
      </c>
      <c r="AG639">
        <v>1</v>
      </c>
      <c r="AH639" t="e">
        <f t="shared" si="64"/>
        <v>#N/A</v>
      </c>
      <c r="AI639">
        <f t="shared" si="68"/>
        <v>2</v>
      </c>
      <c r="AJ639" t="e">
        <f t="shared" si="65"/>
        <v>#N/A</v>
      </c>
      <c r="AK639">
        <f t="shared" si="69"/>
        <v>3</v>
      </c>
      <c r="AL639" t="e">
        <f t="shared" si="66"/>
        <v>#N/A</v>
      </c>
      <c r="AM639">
        <f t="shared" si="70"/>
        <v>4</v>
      </c>
      <c r="AN639" t="e">
        <f t="shared" si="67"/>
        <v>#N/A</v>
      </c>
    </row>
    <row r="640" spans="12:40" x14ac:dyDescent="0.25">
      <c r="L640">
        <v>637</v>
      </c>
      <c r="M640">
        <v>15.065</v>
      </c>
      <c r="N640">
        <v>13.9925</v>
      </c>
      <c r="O640">
        <v>13.668555555555557</v>
      </c>
      <c r="P640">
        <v>13.48325</v>
      </c>
      <c r="AG640">
        <v>1</v>
      </c>
      <c r="AH640" t="e">
        <f t="shared" si="64"/>
        <v>#N/A</v>
      </c>
      <c r="AI640">
        <f t="shared" si="68"/>
        <v>2</v>
      </c>
      <c r="AJ640" t="e">
        <f t="shared" si="65"/>
        <v>#N/A</v>
      </c>
      <c r="AK640">
        <f t="shared" si="69"/>
        <v>3</v>
      </c>
      <c r="AL640" t="e">
        <f t="shared" si="66"/>
        <v>#N/A</v>
      </c>
      <c r="AM640">
        <f t="shared" si="70"/>
        <v>4</v>
      </c>
      <c r="AN640" t="e">
        <f t="shared" si="67"/>
        <v>#N/A</v>
      </c>
    </row>
    <row r="641" spans="12:40" x14ac:dyDescent="0.25">
      <c r="L641">
        <v>638</v>
      </c>
      <c r="M641">
        <v>14.91</v>
      </c>
      <c r="N641">
        <v>14.196249999999999</v>
      </c>
      <c r="O641">
        <v>13.316277777777778</v>
      </c>
      <c r="P641">
        <v>13.702916666666667</v>
      </c>
      <c r="AG641">
        <v>1</v>
      </c>
      <c r="AH641" t="e">
        <f t="shared" si="64"/>
        <v>#N/A</v>
      </c>
      <c r="AI641">
        <f t="shared" si="68"/>
        <v>2</v>
      </c>
      <c r="AJ641" t="e">
        <f t="shared" si="65"/>
        <v>#N/A</v>
      </c>
      <c r="AK641">
        <f t="shared" si="69"/>
        <v>3</v>
      </c>
      <c r="AL641" t="e">
        <f t="shared" si="66"/>
        <v>#N/A</v>
      </c>
      <c r="AM641">
        <f t="shared" si="70"/>
        <v>4</v>
      </c>
      <c r="AN641" t="e">
        <f t="shared" si="67"/>
        <v>#N/A</v>
      </c>
    </row>
    <row r="642" spans="12:40" x14ac:dyDescent="0.25">
      <c r="L642">
        <v>639</v>
      </c>
      <c r="M642">
        <v>14.5425</v>
      </c>
      <c r="N642">
        <v>13.442500000000001</v>
      </c>
      <c r="O642">
        <v>14.288569444444443</v>
      </c>
      <c r="P642">
        <v>14.195013888888889</v>
      </c>
      <c r="AG642">
        <v>1</v>
      </c>
      <c r="AH642" t="e">
        <f t="shared" si="64"/>
        <v>#N/A</v>
      </c>
      <c r="AI642">
        <f t="shared" si="68"/>
        <v>2</v>
      </c>
      <c r="AJ642" t="e">
        <f t="shared" si="65"/>
        <v>#N/A</v>
      </c>
      <c r="AK642">
        <f t="shared" si="69"/>
        <v>3</v>
      </c>
      <c r="AL642" t="e">
        <f t="shared" si="66"/>
        <v>#N/A</v>
      </c>
      <c r="AM642">
        <f t="shared" si="70"/>
        <v>4</v>
      </c>
      <c r="AN642" t="e">
        <f t="shared" si="67"/>
        <v>#N/A</v>
      </c>
    </row>
    <row r="643" spans="12:40" x14ac:dyDescent="0.25">
      <c r="L643">
        <v>640</v>
      </c>
      <c r="M643">
        <v>14.38125</v>
      </c>
      <c r="N643">
        <v>13.513125</v>
      </c>
      <c r="O643">
        <v>14.225972222222222</v>
      </c>
      <c r="P643">
        <v>14.249666666666664</v>
      </c>
      <c r="AG643">
        <v>1</v>
      </c>
      <c r="AH643" t="e">
        <f t="shared" si="64"/>
        <v>#N/A</v>
      </c>
      <c r="AI643">
        <f t="shared" si="68"/>
        <v>2</v>
      </c>
      <c r="AJ643" t="e">
        <f t="shared" si="65"/>
        <v>#N/A</v>
      </c>
      <c r="AK643">
        <f t="shared" si="69"/>
        <v>3</v>
      </c>
      <c r="AL643" t="e">
        <f t="shared" si="66"/>
        <v>#N/A</v>
      </c>
      <c r="AM643">
        <f t="shared" si="70"/>
        <v>4</v>
      </c>
      <c r="AN643" t="e">
        <f t="shared" si="67"/>
        <v>#N/A</v>
      </c>
    </row>
    <row r="644" spans="12:40" x14ac:dyDescent="0.25">
      <c r="L644">
        <v>641</v>
      </c>
      <c r="M644">
        <v>13.83625</v>
      </c>
      <c r="N644">
        <v>13.176875000000001</v>
      </c>
      <c r="O644">
        <v>14.256055555555555</v>
      </c>
      <c r="P644">
        <v>13.522826388888886</v>
      </c>
      <c r="AG644">
        <v>1</v>
      </c>
      <c r="AH644" t="e">
        <f t="shared" ref="AH644:AH707" si="71">IF(OR(M644&lt;S$3,M644&gt;S$7),M644,#N/A)</f>
        <v>#N/A</v>
      </c>
      <c r="AI644">
        <f t="shared" si="68"/>
        <v>2</v>
      </c>
      <c r="AJ644" t="e">
        <f t="shared" ref="AJ644:AJ707" si="72">IF(OR(N644&lt;T$3,N644&gt;T$7),N644,#N/A)</f>
        <v>#N/A</v>
      </c>
      <c r="AK644">
        <f t="shared" si="69"/>
        <v>3</v>
      </c>
      <c r="AL644" t="e">
        <f t="shared" ref="AL644:AL707" si="73">IF(OR(O644&lt;U$3,O644&gt;U$7),O644,#N/A)</f>
        <v>#N/A</v>
      </c>
      <c r="AM644">
        <f t="shared" si="70"/>
        <v>4</v>
      </c>
      <c r="AN644" t="e">
        <f t="shared" ref="AN644:AN707" si="74">IF(OR(P644&lt;V$3,P644&gt;V$7),P644,#N/A)</f>
        <v>#N/A</v>
      </c>
    </row>
    <row r="645" spans="12:40" x14ac:dyDescent="0.25">
      <c r="L645">
        <v>642</v>
      </c>
      <c r="M645">
        <v>15.81</v>
      </c>
      <c r="N645">
        <v>14.959375</v>
      </c>
      <c r="O645">
        <v>14.305277777777778</v>
      </c>
      <c r="P645">
        <v>14.325090277777779</v>
      </c>
      <c r="AG645">
        <v>1</v>
      </c>
      <c r="AH645" t="e">
        <f t="shared" si="71"/>
        <v>#N/A</v>
      </c>
      <c r="AI645">
        <f t="shared" ref="AI645:AI708" si="75">AG645+1</f>
        <v>2</v>
      </c>
      <c r="AJ645" t="e">
        <f t="shared" si="72"/>
        <v>#N/A</v>
      </c>
      <c r="AK645">
        <f t="shared" ref="AK645:AK708" si="76">AI645+1</f>
        <v>3</v>
      </c>
      <c r="AL645" t="e">
        <f t="shared" si="73"/>
        <v>#N/A</v>
      </c>
      <c r="AM645">
        <f t="shared" ref="AM645:AM708" si="77">AK645+1</f>
        <v>4</v>
      </c>
      <c r="AN645" t="e">
        <f t="shared" si="74"/>
        <v>#N/A</v>
      </c>
    </row>
    <row r="646" spans="12:40" x14ac:dyDescent="0.25">
      <c r="L646">
        <v>643</v>
      </c>
      <c r="M646">
        <v>16.940000000000001</v>
      </c>
      <c r="N646">
        <v>14.74</v>
      </c>
      <c r="O646">
        <v>13.784111111111111</v>
      </c>
      <c r="P646">
        <v>13.65384722222222</v>
      </c>
      <c r="AG646">
        <v>1</v>
      </c>
      <c r="AH646" t="e">
        <f t="shared" si="71"/>
        <v>#N/A</v>
      </c>
      <c r="AI646">
        <f t="shared" si="75"/>
        <v>2</v>
      </c>
      <c r="AJ646" t="e">
        <f t="shared" si="72"/>
        <v>#N/A</v>
      </c>
      <c r="AK646">
        <f t="shared" si="76"/>
        <v>3</v>
      </c>
      <c r="AL646" t="e">
        <f t="shared" si="73"/>
        <v>#N/A</v>
      </c>
      <c r="AM646">
        <f t="shared" si="77"/>
        <v>4</v>
      </c>
      <c r="AN646" t="e">
        <f t="shared" si="74"/>
        <v>#N/A</v>
      </c>
    </row>
    <row r="647" spans="12:40" x14ac:dyDescent="0.25">
      <c r="L647">
        <v>644</v>
      </c>
      <c r="M647">
        <v>12.936249999999999</v>
      </c>
      <c r="N647">
        <v>13.598750000000001</v>
      </c>
      <c r="O647">
        <v>13.580138888888891</v>
      </c>
      <c r="P647">
        <v>13.631673611111111</v>
      </c>
      <c r="AG647">
        <v>1</v>
      </c>
      <c r="AH647" t="e">
        <f t="shared" si="71"/>
        <v>#N/A</v>
      </c>
      <c r="AI647">
        <f t="shared" si="75"/>
        <v>2</v>
      </c>
      <c r="AJ647" t="e">
        <f t="shared" si="72"/>
        <v>#N/A</v>
      </c>
      <c r="AK647">
        <f t="shared" si="76"/>
        <v>3</v>
      </c>
      <c r="AL647" t="e">
        <f t="shared" si="73"/>
        <v>#N/A</v>
      </c>
      <c r="AM647">
        <f t="shared" si="77"/>
        <v>4</v>
      </c>
      <c r="AN647" t="e">
        <f t="shared" si="74"/>
        <v>#N/A</v>
      </c>
    </row>
    <row r="648" spans="12:40" x14ac:dyDescent="0.25">
      <c r="L648">
        <v>645</v>
      </c>
      <c r="M648">
        <v>13.331250000000001</v>
      </c>
      <c r="N648">
        <v>13.071249999999999</v>
      </c>
      <c r="O648">
        <v>14.592027777777778</v>
      </c>
      <c r="P648">
        <v>13.946583333333335</v>
      </c>
      <c r="AG648">
        <v>1</v>
      </c>
      <c r="AH648" t="e">
        <f t="shared" si="71"/>
        <v>#N/A</v>
      </c>
      <c r="AI648">
        <f t="shared" si="75"/>
        <v>2</v>
      </c>
      <c r="AJ648" t="e">
        <f t="shared" si="72"/>
        <v>#N/A</v>
      </c>
      <c r="AK648">
        <f t="shared" si="76"/>
        <v>3</v>
      </c>
      <c r="AL648" t="e">
        <f t="shared" si="73"/>
        <v>#N/A</v>
      </c>
      <c r="AM648">
        <f t="shared" si="77"/>
        <v>4</v>
      </c>
      <c r="AN648" t="e">
        <f t="shared" si="74"/>
        <v>#N/A</v>
      </c>
    </row>
    <row r="649" spans="12:40" x14ac:dyDescent="0.25">
      <c r="L649">
        <v>646</v>
      </c>
      <c r="M649">
        <v>15.31875</v>
      </c>
      <c r="N649">
        <v>14.010624999999999</v>
      </c>
      <c r="O649">
        <v>13.84523611111111</v>
      </c>
      <c r="P649">
        <v>14.126624999999999</v>
      </c>
      <c r="AG649">
        <v>1</v>
      </c>
      <c r="AH649" t="e">
        <f t="shared" si="71"/>
        <v>#N/A</v>
      </c>
      <c r="AI649">
        <f t="shared" si="75"/>
        <v>2</v>
      </c>
      <c r="AJ649" t="e">
        <f t="shared" si="72"/>
        <v>#N/A</v>
      </c>
      <c r="AK649">
        <f t="shared" si="76"/>
        <v>3</v>
      </c>
      <c r="AL649" t="e">
        <f t="shared" si="73"/>
        <v>#N/A</v>
      </c>
      <c r="AM649">
        <f t="shared" si="77"/>
        <v>4</v>
      </c>
      <c r="AN649" t="e">
        <f t="shared" si="74"/>
        <v>#N/A</v>
      </c>
    </row>
    <row r="650" spans="12:40" x14ac:dyDescent="0.25">
      <c r="L650">
        <v>647</v>
      </c>
      <c r="M650">
        <v>15.9</v>
      </c>
      <c r="N650">
        <v>15.319375000000001</v>
      </c>
      <c r="O650">
        <v>14.452361111111109</v>
      </c>
      <c r="P650">
        <v>14.120208333333334</v>
      </c>
      <c r="AG650">
        <v>1</v>
      </c>
      <c r="AH650" t="e">
        <f t="shared" si="71"/>
        <v>#N/A</v>
      </c>
      <c r="AI650">
        <f t="shared" si="75"/>
        <v>2</v>
      </c>
      <c r="AJ650" t="e">
        <f t="shared" si="72"/>
        <v>#N/A</v>
      </c>
      <c r="AK650">
        <f t="shared" si="76"/>
        <v>3</v>
      </c>
      <c r="AL650" t="e">
        <f t="shared" si="73"/>
        <v>#N/A</v>
      </c>
      <c r="AM650">
        <f t="shared" si="77"/>
        <v>4</v>
      </c>
      <c r="AN650" t="e">
        <f t="shared" si="74"/>
        <v>#N/A</v>
      </c>
    </row>
    <row r="651" spans="12:40" x14ac:dyDescent="0.25">
      <c r="L651">
        <v>648</v>
      </c>
      <c r="M651">
        <v>12.727499999999999</v>
      </c>
      <c r="N651">
        <v>12.864375000000001</v>
      </c>
      <c r="O651">
        <v>14.43248611111111</v>
      </c>
      <c r="P651">
        <v>14.478756944444445</v>
      </c>
      <c r="AG651">
        <v>1</v>
      </c>
      <c r="AH651" t="e">
        <f t="shared" si="71"/>
        <v>#N/A</v>
      </c>
      <c r="AI651">
        <f t="shared" si="75"/>
        <v>2</v>
      </c>
      <c r="AJ651" t="e">
        <f t="shared" si="72"/>
        <v>#N/A</v>
      </c>
      <c r="AK651">
        <f t="shared" si="76"/>
        <v>3</v>
      </c>
      <c r="AL651" t="e">
        <f t="shared" si="73"/>
        <v>#N/A</v>
      </c>
      <c r="AM651">
        <f t="shared" si="77"/>
        <v>4</v>
      </c>
      <c r="AN651" t="e">
        <f t="shared" si="74"/>
        <v>#N/A</v>
      </c>
    </row>
    <row r="652" spans="12:40" x14ac:dyDescent="0.25">
      <c r="L652">
        <v>649</v>
      </c>
      <c r="M652">
        <v>13.3325</v>
      </c>
      <c r="N652">
        <v>13.974375</v>
      </c>
      <c r="O652">
        <v>14.039722222222222</v>
      </c>
      <c r="P652">
        <v>13.823819444444444</v>
      </c>
      <c r="AG652">
        <v>1</v>
      </c>
      <c r="AH652" t="e">
        <f t="shared" si="71"/>
        <v>#N/A</v>
      </c>
      <c r="AI652">
        <f t="shared" si="75"/>
        <v>2</v>
      </c>
      <c r="AJ652" t="e">
        <f t="shared" si="72"/>
        <v>#N/A</v>
      </c>
      <c r="AK652">
        <f t="shared" si="76"/>
        <v>3</v>
      </c>
      <c r="AL652" t="e">
        <f t="shared" si="73"/>
        <v>#N/A</v>
      </c>
      <c r="AM652">
        <f t="shared" si="77"/>
        <v>4</v>
      </c>
      <c r="AN652" t="e">
        <f t="shared" si="74"/>
        <v>#N/A</v>
      </c>
    </row>
    <row r="653" spans="12:40" x14ac:dyDescent="0.25">
      <c r="L653">
        <v>650</v>
      </c>
      <c r="M653">
        <v>13.092499999999999</v>
      </c>
      <c r="N653">
        <v>14.1</v>
      </c>
      <c r="O653">
        <v>13.405013888888888</v>
      </c>
      <c r="P653">
        <v>14.016847222222223</v>
      </c>
      <c r="AG653">
        <v>1</v>
      </c>
      <c r="AH653" t="e">
        <f t="shared" si="71"/>
        <v>#N/A</v>
      </c>
      <c r="AI653">
        <f t="shared" si="75"/>
        <v>2</v>
      </c>
      <c r="AJ653" t="e">
        <f t="shared" si="72"/>
        <v>#N/A</v>
      </c>
      <c r="AK653">
        <f t="shared" si="76"/>
        <v>3</v>
      </c>
      <c r="AL653" t="e">
        <f t="shared" si="73"/>
        <v>#N/A</v>
      </c>
      <c r="AM653">
        <f t="shared" si="77"/>
        <v>4</v>
      </c>
      <c r="AN653" t="e">
        <f t="shared" si="74"/>
        <v>#N/A</v>
      </c>
    </row>
    <row r="654" spans="12:40" x14ac:dyDescent="0.25">
      <c r="L654">
        <v>651</v>
      </c>
      <c r="M654">
        <v>15.592499999999999</v>
      </c>
      <c r="N654">
        <v>15.001250000000001</v>
      </c>
      <c r="O654">
        <v>13.917027777777777</v>
      </c>
      <c r="P654">
        <v>14.034354166666665</v>
      </c>
      <c r="AG654">
        <v>1</v>
      </c>
      <c r="AH654" t="e">
        <f t="shared" si="71"/>
        <v>#N/A</v>
      </c>
      <c r="AI654">
        <f t="shared" si="75"/>
        <v>2</v>
      </c>
      <c r="AJ654" t="e">
        <f t="shared" si="72"/>
        <v>#N/A</v>
      </c>
      <c r="AK654">
        <f t="shared" si="76"/>
        <v>3</v>
      </c>
      <c r="AL654" t="e">
        <f t="shared" si="73"/>
        <v>#N/A</v>
      </c>
      <c r="AM654">
        <f t="shared" si="77"/>
        <v>4</v>
      </c>
      <c r="AN654" t="e">
        <f t="shared" si="74"/>
        <v>#N/A</v>
      </c>
    </row>
    <row r="655" spans="12:40" x14ac:dyDescent="0.25">
      <c r="L655">
        <v>652</v>
      </c>
      <c r="M655">
        <v>14.67625</v>
      </c>
      <c r="N655">
        <v>13.422499999999999</v>
      </c>
      <c r="O655">
        <v>13.425125000000001</v>
      </c>
      <c r="P655">
        <v>14.172708333333333</v>
      </c>
      <c r="AG655">
        <v>1</v>
      </c>
      <c r="AH655" t="e">
        <f t="shared" si="71"/>
        <v>#N/A</v>
      </c>
      <c r="AI655">
        <f t="shared" si="75"/>
        <v>2</v>
      </c>
      <c r="AJ655" t="e">
        <f t="shared" si="72"/>
        <v>#N/A</v>
      </c>
      <c r="AK655">
        <f t="shared" si="76"/>
        <v>3</v>
      </c>
      <c r="AL655" t="e">
        <f t="shared" si="73"/>
        <v>#N/A</v>
      </c>
      <c r="AM655">
        <f t="shared" si="77"/>
        <v>4</v>
      </c>
      <c r="AN655" t="e">
        <f t="shared" si="74"/>
        <v>#N/A</v>
      </c>
    </row>
    <row r="656" spans="12:40" x14ac:dyDescent="0.25">
      <c r="L656">
        <v>653</v>
      </c>
      <c r="M656">
        <v>12.10125</v>
      </c>
      <c r="N656">
        <v>12.528124999999999</v>
      </c>
      <c r="O656">
        <v>13.946666666666667</v>
      </c>
      <c r="P656">
        <v>13.685166666666664</v>
      </c>
      <c r="AG656">
        <v>1</v>
      </c>
      <c r="AH656" t="e">
        <f t="shared" si="71"/>
        <v>#N/A</v>
      </c>
      <c r="AI656">
        <f t="shared" si="75"/>
        <v>2</v>
      </c>
      <c r="AJ656" t="e">
        <f t="shared" si="72"/>
        <v>#N/A</v>
      </c>
      <c r="AK656">
        <f t="shared" si="76"/>
        <v>3</v>
      </c>
      <c r="AL656" t="e">
        <f t="shared" si="73"/>
        <v>#N/A</v>
      </c>
      <c r="AM656">
        <f t="shared" si="77"/>
        <v>4</v>
      </c>
      <c r="AN656" t="e">
        <f t="shared" si="74"/>
        <v>#N/A</v>
      </c>
    </row>
    <row r="657" spans="12:40" x14ac:dyDescent="0.25">
      <c r="L657">
        <v>654</v>
      </c>
      <c r="M657">
        <v>13.946249999999999</v>
      </c>
      <c r="N657">
        <v>14.67375</v>
      </c>
      <c r="O657">
        <v>14.304708333333336</v>
      </c>
      <c r="P657">
        <v>14.17257638888889</v>
      </c>
      <c r="AG657">
        <v>1</v>
      </c>
      <c r="AH657" t="e">
        <f t="shared" si="71"/>
        <v>#N/A</v>
      </c>
      <c r="AI657">
        <f t="shared" si="75"/>
        <v>2</v>
      </c>
      <c r="AJ657" t="e">
        <f t="shared" si="72"/>
        <v>#N/A</v>
      </c>
      <c r="AK657">
        <f t="shared" si="76"/>
        <v>3</v>
      </c>
      <c r="AL657" t="e">
        <f t="shared" si="73"/>
        <v>#N/A</v>
      </c>
      <c r="AM657">
        <f t="shared" si="77"/>
        <v>4</v>
      </c>
      <c r="AN657" t="e">
        <f t="shared" si="74"/>
        <v>#N/A</v>
      </c>
    </row>
    <row r="658" spans="12:40" x14ac:dyDescent="0.25">
      <c r="L658">
        <v>655</v>
      </c>
      <c r="M658">
        <v>14.0825</v>
      </c>
      <c r="N658">
        <v>13.604374999999999</v>
      </c>
      <c r="O658">
        <v>13.263986111111111</v>
      </c>
      <c r="P658">
        <v>13.605916666666666</v>
      </c>
      <c r="AG658">
        <v>1</v>
      </c>
      <c r="AH658" t="e">
        <f t="shared" si="71"/>
        <v>#N/A</v>
      </c>
      <c r="AI658">
        <f t="shared" si="75"/>
        <v>2</v>
      </c>
      <c r="AJ658" t="e">
        <f t="shared" si="72"/>
        <v>#N/A</v>
      </c>
      <c r="AK658">
        <f t="shared" si="76"/>
        <v>3</v>
      </c>
      <c r="AL658" t="e">
        <f t="shared" si="73"/>
        <v>#N/A</v>
      </c>
      <c r="AM658">
        <f t="shared" si="77"/>
        <v>4</v>
      </c>
      <c r="AN658" t="e">
        <f t="shared" si="74"/>
        <v>#N/A</v>
      </c>
    </row>
    <row r="659" spans="12:40" x14ac:dyDescent="0.25">
      <c r="L659">
        <v>656</v>
      </c>
      <c r="M659">
        <v>13.782500000000001</v>
      </c>
      <c r="N659">
        <v>13.41</v>
      </c>
      <c r="O659">
        <v>13.090347222222222</v>
      </c>
      <c r="P659">
        <v>13.371854166666665</v>
      </c>
      <c r="AG659">
        <v>1</v>
      </c>
      <c r="AH659" t="e">
        <f t="shared" si="71"/>
        <v>#N/A</v>
      </c>
      <c r="AI659">
        <f t="shared" si="75"/>
        <v>2</v>
      </c>
      <c r="AJ659" t="e">
        <f t="shared" si="72"/>
        <v>#N/A</v>
      </c>
      <c r="AK659">
        <f t="shared" si="76"/>
        <v>3</v>
      </c>
      <c r="AL659" t="e">
        <f t="shared" si="73"/>
        <v>#N/A</v>
      </c>
      <c r="AM659">
        <f t="shared" si="77"/>
        <v>4</v>
      </c>
      <c r="AN659" t="e">
        <f t="shared" si="74"/>
        <v>#N/A</v>
      </c>
    </row>
    <row r="660" spans="12:40" x14ac:dyDescent="0.25">
      <c r="L660">
        <v>657</v>
      </c>
      <c r="M660">
        <v>13.62875</v>
      </c>
      <c r="N660">
        <v>14.335625</v>
      </c>
      <c r="O660">
        <v>14.323666666666668</v>
      </c>
      <c r="P660">
        <v>14.578138888888891</v>
      </c>
      <c r="AG660">
        <v>1</v>
      </c>
      <c r="AH660" t="e">
        <f t="shared" si="71"/>
        <v>#N/A</v>
      </c>
      <c r="AI660">
        <f t="shared" si="75"/>
        <v>2</v>
      </c>
      <c r="AJ660" t="e">
        <f t="shared" si="72"/>
        <v>#N/A</v>
      </c>
      <c r="AK660">
        <f t="shared" si="76"/>
        <v>3</v>
      </c>
      <c r="AL660" t="e">
        <f t="shared" si="73"/>
        <v>#N/A</v>
      </c>
      <c r="AM660">
        <f t="shared" si="77"/>
        <v>4</v>
      </c>
      <c r="AN660" t="e">
        <f t="shared" si="74"/>
        <v>#N/A</v>
      </c>
    </row>
    <row r="661" spans="12:40" x14ac:dyDescent="0.25">
      <c r="L661">
        <v>658</v>
      </c>
      <c r="M661">
        <v>11.786250000000001</v>
      </c>
      <c r="N661">
        <v>12.616250000000001</v>
      </c>
      <c r="O661">
        <v>12.632833333333332</v>
      </c>
      <c r="P661">
        <v>13.745597222222223</v>
      </c>
      <c r="AG661">
        <v>1</v>
      </c>
      <c r="AH661" t="e">
        <f t="shared" si="71"/>
        <v>#N/A</v>
      </c>
      <c r="AI661">
        <f t="shared" si="75"/>
        <v>2</v>
      </c>
      <c r="AJ661" t="e">
        <f t="shared" si="72"/>
        <v>#N/A</v>
      </c>
      <c r="AK661">
        <f t="shared" si="76"/>
        <v>3</v>
      </c>
      <c r="AL661" t="e">
        <f t="shared" si="73"/>
        <v>#N/A</v>
      </c>
      <c r="AM661">
        <f t="shared" si="77"/>
        <v>4</v>
      </c>
      <c r="AN661" t="e">
        <f t="shared" si="74"/>
        <v>#N/A</v>
      </c>
    </row>
    <row r="662" spans="12:40" x14ac:dyDescent="0.25">
      <c r="L662">
        <v>659</v>
      </c>
      <c r="M662">
        <v>13.32</v>
      </c>
      <c r="N662">
        <v>12.896875</v>
      </c>
      <c r="O662">
        <v>13.552486111111113</v>
      </c>
      <c r="P662">
        <v>14.294340277777778</v>
      </c>
      <c r="AG662">
        <v>1</v>
      </c>
      <c r="AH662" t="e">
        <f t="shared" si="71"/>
        <v>#N/A</v>
      </c>
      <c r="AI662">
        <f t="shared" si="75"/>
        <v>2</v>
      </c>
      <c r="AJ662" t="e">
        <f t="shared" si="72"/>
        <v>#N/A</v>
      </c>
      <c r="AK662">
        <f t="shared" si="76"/>
        <v>3</v>
      </c>
      <c r="AL662" t="e">
        <f t="shared" si="73"/>
        <v>#N/A</v>
      </c>
      <c r="AM662">
        <f t="shared" si="77"/>
        <v>4</v>
      </c>
      <c r="AN662" t="e">
        <f t="shared" si="74"/>
        <v>#N/A</v>
      </c>
    </row>
    <row r="663" spans="12:40" x14ac:dyDescent="0.25">
      <c r="L663">
        <v>660</v>
      </c>
      <c r="M663">
        <v>14.1</v>
      </c>
      <c r="N663">
        <v>13.307499999999999</v>
      </c>
      <c r="O663">
        <v>13.625083333333334</v>
      </c>
      <c r="P663">
        <v>13.867111111111109</v>
      </c>
      <c r="AG663">
        <v>1</v>
      </c>
      <c r="AH663" t="e">
        <f t="shared" si="71"/>
        <v>#N/A</v>
      </c>
      <c r="AI663">
        <f t="shared" si="75"/>
        <v>2</v>
      </c>
      <c r="AJ663" t="e">
        <f t="shared" si="72"/>
        <v>#N/A</v>
      </c>
      <c r="AK663">
        <f t="shared" si="76"/>
        <v>3</v>
      </c>
      <c r="AL663" t="e">
        <f t="shared" si="73"/>
        <v>#N/A</v>
      </c>
      <c r="AM663">
        <f t="shared" si="77"/>
        <v>4</v>
      </c>
      <c r="AN663" t="e">
        <f t="shared" si="74"/>
        <v>#N/A</v>
      </c>
    </row>
    <row r="664" spans="12:40" x14ac:dyDescent="0.25">
      <c r="L664">
        <v>661</v>
      </c>
      <c r="M664">
        <v>14.94125</v>
      </c>
      <c r="N664">
        <v>13.51375</v>
      </c>
      <c r="O664">
        <v>13.979513888888887</v>
      </c>
      <c r="P664">
        <v>13.790993055555555</v>
      </c>
      <c r="AG664">
        <v>1</v>
      </c>
      <c r="AH664" t="e">
        <f t="shared" si="71"/>
        <v>#N/A</v>
      </c>
      <c r="AI664">
        <f t="shared" si="75"/>
        <v>2</v>
      </c>
      <c r="AJ664" t="e">
        <f t="shared" si="72"/>
        <v>#N/A</v>
      </c>
      <c r="AK664">
        <f t="shared" si="76"/>
        <v>3</v>
      </c>
      <c r="AL664" t="e">
        <f t="shared" si="73"/>
        <v>#N/A</v>
      </c>
      <c r="AM664">
        <f t="shared" si="77"/>
        <v>4</v>
      </c>
      <c r="AN664" t="e">
        <f t="shared" si="74"/>
        <v>#N/A</v>
      </c>
    </row>
    <row r="665" spans="12:40" x14ac:dyDescent="0.25">
      <c r="L665">
        <v>662</v>
      </c>
      <c r="M665">
        <v>13.6625</v>
      </c>
      <c r="N665">
        <v>13.563124999999999</v>
      </c>
      <c r="O665">
        <v>14.139444444444443</v>
      </c>
      <c r="P665">
        <v>14.099402777777778</v>
      </c>
      <c r="AG665">
        <v>1</v>
      </c>
      <c r="AH665" t="e">
        <f t="shared" si="71"/>
        <v>#N/A</v>
      </c>
      <c r="AI665">
        <f t="shared" si="75"/>
        <v>2</v>
      </c>
      <c r="AJ665" t="e">
        <f t="shared" si="72"/>
        <v>#N/A</v>
      </c>
      <c r="AK665">
        <f t="shared" si="76"/>
        <v>3</v>
      </c>
      <c r="AL665" t="e">
        <f t="shared" si="73"/>
        <v>#N/A</v>
      </c>
      <c r="AM665">
        <f t="shared" si="77"/>
        <v>4</v>
      </c>
      <c r="AN665" t="e">
        <f t="shared" si="74"/>
        <v>#N/A</v>
      </c>
    </row>
    <row r="666" spans="12:40" x14ac:dyDescent="0.25">
      <c r="L666">
        <v>663</v>
      </c>
      <c r="M666">
        <v>12.105</v>
      </c>
      <c r="N666">
        <v>13.543125</v>
      </c>
      <c r="O666">
        <v>13.502847222222222</v>
      </c>
      <c r="P666">
        <v>13.636673611111114</v>
      </c>
      <c r="AG666">
        <v>1</v>
      </c>
      <c r="AH666" t="e">
        <f t="shared" si="71"/>
        <v>#N/A</v>
      </c>
      <c r="AI666">
        <f t="shared" si="75"/>
        <v>2</v>
      </c>
      <c r="AJ666" t="e">
        <f t="shared" si="72"/>
        <v>#N/A</v>
      </c>
      <c r="AK666">
        <f t="shared" si="76"/>
        <v>3</v>
      </c>
      <c r="AL666" t="e">
        <f t="shared" si="73"/>
        <v>#N/A</v>
      </c>
      <c r="AM666">
        <f t="shared" si="77"/>
        <v>4</v>
      </c>
      <c r="AN666" t="e">
        <f t="shared" si="74"/>
        <v>#N/A</v>
      </c>
    </row>
    <row r="667" spans="12:40" x14ac:dyDescent="0.25">
      <c r="L667">
        <v>664</v>
      </c>
      <c r="M667">
        <v>12.87125</v>
      </c>
      <c r="N667">
        <v>13.90625</v>
      </c>
      <c r="O667">
        <v>13.550583333333334</v>
      </c>
      <c r="P667">
        <v>13.821187500000001</v>
      </c>
      <c r="AG667">
        <v>1</v>
      </c>
      <c r="AH667" t="e">
        <f t="shared" si="71"/>
        <v>#N/A</v>
      </c>
      <c r="AI667">
        <f t="shared" si="75"/>
        <v>2</v>
      </c>
      <c r="AJ667" t="e">
        <f t="shared" si="72"/>
        <v>#N/A</v>
      </c>
      <c r="AK667">
        <f t="shared" si="76"/>
        <v>3</v>
      </c>
      <c r="AL667" t="e">
        <f t="shared" si="73"/>
        <v>#N/A</v>
      </c>
      <c r="AM667">
        <f t="shared" si="77"/>
        <v>4</v>
      </c>
      <c r="AN667" t="e">
        <f t="shared" si="74"/>
        <v>#N/A</v>
      </c>
    </row>
    <row r="668" spans="12:40" x14ac:dyDescent="0.25">
      <c r="L668">
        <v>665</v>
      </c>
      <c r="M668">
        <v>13.748749999999999</v>
      </c>
      <c r="N668">
        <v>13.365625</v>
      </c>
      <c r="O668">
        <v>13.163138888888888</v>
      </c>
      <c r="P668">
        <v>13.213861111111111</v>
      </c>
      <c r="AG668">
        <v>1</v>
      </c>
      <c r="AH668" t="e">
        <f t="shared" si="71"/>
        <v>#N/A</v>
      </c>
      <c r="AI668">
        <f t="shared" si="75"/>
        <v>2</v>
      </c>
      <c r="AJ668" t="e">
        <f t="shared" si="72"/>
        <v>#N/A</v>
      </c>
      <c r="AK668">
        <f t="shared" si="76"/>
        <v>3</v>
      </c>
      <c r="AL668" t="e">
        <f t="shared" si="73"/>
        <v>#N/A</v>
      </c>
      <c r="AM668">
        <f t="shared" si="77"/>
        <v>4</v>
      </c>
      <c r="AN668" t="e">
        <f t="shared" si="74"/>
        <v>#N/A</v>
      </c>
    </row>
    <row r="669" spans="12:40" x14ac:dyDescent="0.25">
      <c r="L669">
        <v>666</v>
      </c>
      <c r="M669">
        <v>14.3125</v>
      </c>
      <c r="N669">
        <v>13.978125</v>
      </c>
      <c r="O669">
        <v>14.241944444444444</v>
      </c>
      <c r="P669">
        <v>13.868680555555557</v>
      </c>
      <c r="AG669">
        <v>1</v>
      </c>
      <c r="AH669" t="e">
        <f t="shared" si="71"/>
        <v>#N/A</v>
      </c>
      <c r="AI669">
        <f t="shared" si="75"/>
        <v>2</v>
      </c>
      <c r="AJ669" t="e">
        <f t="shared" si="72"/>
        <v>#N/A</v>
      </c>
      <c r="AK669">
        <f t="shared" si="76"/>
        <v>3</v>
      </c>
      <c r="AL669" t="e">
        <f t="shared" si="73"/>
        <v>#N/A</v>
      </c>
      <c r="AM669">
        <f t="shared" si="77"/>
        <v>4</v>
      </c>
      <c r="AN669" t="e">
        <f t="shared" si="74"/>
        <v>#N/A</v>
      </c>
    </row>
    <row r="670" spans="12:40" x14ac:dyDescent="0.25">
      <c r="L670">
        <v>667</v>
      </c>
      <c r="M670">
        <v>14.643750000000001</v>
      </c>
      <c r="N670">
        <v>13.803750000000001</v>
      </c>
      <c r="O670">
        <v>14.531458333333333</v>
      </c>
      <c r="P670">
        <v>14.072027777777778</v>
      </c>
      <c r="AG670">
        <v>1</v>
      </c>
      <c r="AH670" t="e">
        <f t="shared" si="71"/>
        <v>#N/A</v>
      </c>
      <c r="AI670">
        <f t="shared" si="75"/>
        <v>2</v>
      </c>
      <c r="AJ670" t="e">
        <f t="shared" si="72"/>
        <v>#N/A</v>
      </c>
      <c r="AK670">
        <f t="shared" si="76"/>
        <v>3</v>
      </c>
      <c r="AL670" t="e">
        <f t="shared" si="73"/>
        <v>#N/A</v>
      </c>
      <c r="AM670">
        <f t="shared" si="77"/>
        <v>4</v>
      </c>
      <c r="AN670" t="e">
        <f t="shared" si="74"/>
        <v>#N/A</v>
      </c>
    </row>
    <row r="671" spans="12:40" x14ac:dyDescent="0.25">
      <c r="L671">
        <v>668</v>
      </c>
      <c r="M671">
        <v>14.10375</v>
      </c>
      <c r="N671">
        <v>14.21</v>
      </c>
      <c r="O671">
        <v>13.868944444444447</v>
      </c>
      <c r="P671">
        <v>13.602541666666665</v>
      </c>
      <c r="AG671">
        <v>1</v>
      </c>
      <c r="AH671" t="e">
        <f t="shared" si="71"/>
        <v>#N/A</v>
      </c>
      <c r="AI671">
        <f t="shared" si="75"/>
        <v>2</v>
      </c>
      <c r="AJ671" t="e">
        <f t="shared" si="72"/>
        <v>#N/A</v>
      </c>
      <c r="AK671">
        <f t="shared" si="76"/>
        <v>3</v>
      </c>
      <c r="AL671" t="e">
        <f t="shared" si="73"/>
        <v>#N/A</v>
      </c>
      <c r="AM671">
        <f t="shared" si="77"/>
        <v>4</v>
      </c>
      <c r="AN671" t="e">
        <f t="shared" si="74"/>
        <v>#N/A</v>
      </c>
    </row>
    <row r="672" spans="12:40" x14ac:dyDescent="0.25">
      <c r="L672">
        <v>669</v>
      </c>
      <c r="M672">
        <v>13.956250000000001</v>
      </c>
      <c r="N672">
        <v>12.821875</v>
      </c>
      <c r="O672">
        <v>13.198874999999997</v>
      </c>
      <c r="P672">
        <v>13.472076388888889</v>
      </c>
      <c r="AG672">
        <v>1</v>
      </c>
      <c r="AH672" t="e">
        <f t="shared" si="71"/>
        <v>#N/A</v>
      </c>
      <c r="AI672">
        <f t="shared" si="75"/>
        <v>2</v>
      </c>
      <c r="AJ672" t="e">
        <f t="shared" si="72"/>
        <v>#N/A</v>
      </c>
      <c r="AK672">
        <f t="shared" si="76"/>
        <v>3</v>
      </c>
      <c r="AL672" t="e">
        <f t="shared" si="73"/>
        <v>#N/A</v>
      </c>
      <c r="AM672">
        <f t="shared" si="77"/>
        <v>4</v>
      </c>
      <c r="AN672" t="e">
        <f t="shared" si="74"/>
        <v>#N/A</v>
      </c>
    </row>
    <row r="673" spans="12:40" x14ac:dyDescent="0.25">
      <c r="L673">
        <v>670</v>
      </c>
      <c r="M673">
        <v>12.088749999999999</v>
      </c>
      <c r="N673">
        <v>13.578125</v>
      </c>
      <c r="O673">
        <v>14.833499999999999</v>
      </c>
      <c r="P673">
        <v>14.701041666666667</v>
      </c>
      <c r="AG673">
        <v>1</v>
      </c>
      <c r="AH673" t="e">
        <f t="shared" si="71"/>
        <v>#N/A</v>
      </c>
      <c r="AI673">
        <f t="shared" si="75"/>
        <v>2</v>
      </c>
      <c r="AJ673" t="e">
        <f t="shared" si="72"/>
        <v>#N/A</v>
      </c>
      <c r="AK673">
        <f t="shared" si="76"/>
        <v>3</v>
      </c>
      <c r="AL673" t="e">
        <f t="shared" si="73"/>
        <v>#N/A</v>
      </c>
      <c r="AM673">
        <f t="shared" si="77"/>
        <v>4</v>
      </c>
      <c r="AN673" t="e">
        <f t="shared" si="74"/>
        <v>#N/A</v>
      </c>
    </row>
    <row r="674" spans="12:40" x14ac:dyDescent="0.25">
      <c r="L674">
        <v>671</v>
      </c>
      <c r="M674">
        <v>13.13875</v>
      </c>
      <c r="N674">
        <v>12.578749999999999</v>
      </c>
      <c r="O674">
        <v>13.869680555555554</v>
      </c>
      <c r="P674">
        <v>13.780395833333332</v>
      </c>
      <c r="AG674">
        <v>1</v>
      </c>
      <c r="AH674" t="e">
        <f t="shared" si="71"/>
        <v>#N/A</v>
      </c>
      <c r="AI674">
        <f t="shared" si="75"/>
        <v>2</v>
      </c>
      <c r="AJ674" t="e">
        <f t="shared" si="72"/>
        <v>#N/A</v>
      </c>
      <c r="AK674">
        <f t="shared" si="76"/>
        <v>3</v>
      </c>
      <c r="AL674" t="e">
        <f t="shared" si="73"/>
        <v>#N/A</v>
      </c>
      <c r="AM674">
        <f t="shared" si="77"/>
        <v>4</v>
      </c>
      <c r="AN674" t="e">
        <f t="shared" si="74"/>
        <v>#N/A</v>
      </c>
    </row>
    <row r="675" spans="12:40" x14ac:dyDescent="0.25">
      <c r="L675">
        <v>672</v>
      </c>
      <c r="M675">
        <v>12.532500000000001</v>
      </c>
      <c r="N675">
        <v>13.205</v>
      </c>
      <c r="O675">
        <v>13.758111111111113</v>
      </c>
      <c r="P675">
        <v>14.201173611111109</v>
      </c>
      <c r="AG675">
        <v>1</v>
      </c>
      <c r="AH675" t="e">
        <f t="shared" si="71"/>
        <v>#N/A</v>
      </c>
      <c r="AI675">
        <f t="shared" si="75"/>
        <v>2</v>
      </c>
      <c r="AJ675" t="e">
        <f t="shared" si="72"/>
        <v>#N/A</v>
      </c>
      <c r="AK675">
        <f t="shared" si="76"/>
        <v>3</v>
      </c>
      <c r="AL675" t="e">
        <f t="shared" si="73"/>
        <v>#N/A</v>
      </c>
      <c r="AM675">
        <f t="shared" si="77"/>
        <v>4</v>
      </c>
      <c r="AN675" t="e">
        <f t="shared" si="74"/>
        <v>#N/A</v>
      </c>
    </row>
    <row r="676" spans="12:40" x14ac:dyDescent="0.25">
      <c r="L676">
        <v>673</v>
      </c>
      <c r="M676">
        <v>14.33</v>
      </c>
      <c r="N676">
        <v>14.504375</v>
      </c>
      <c r="O676">
        <v>14.518180555555555</v>
      </c>
      <c r="P676">
        <v>13.874666666666666</v>
      </c>
      <c r="AG676">
        <v>1</v>
      </c>
      <c r="AH676" t="e">
        <f t="shared" si="71"/>
        <v>#N/A</v>
      </c>
      <c r="AI676">
        <f t="shared" si="75"/>
        <v>2</v>
      </c>
      <c r="AJ676" t="e">
        <f t="shared" si="72"/>
        <v>#N/A</v>
      </c>
      <c r="AK676">
        <f t="shared" si="76"/>
        <v>3</v>
      </c>
      <c r="AL676" t="e">
        <f t="shared" si="73"/>
        <v>#N/A</v>
      </c>
      <c r="AM676">
        <f t="shared" si="77"/>
        <v>4</v>
      </c>
      <c r="AN676" t="e">
        <f t="shared" si="74"/>
        <v>#N/A</v>
      </c>
    </row>
    <row r="677" spans="12:40" x14ac:dyDescent="0.25">
      <c r="L677">
        <v>674</v>
      </c>
      <c r="M677">
        <v>15.72125</v>
      </c>
      <c r="N677">
        <v>14.78875</v>
      </c>
      <c r="O677">
        <v>14.734944444444443</v>
      </c>
      <c r="P677">
        <v>14.869708333333334</v>
      </c>
      <c r="AG677">
        <v>1</v>
      </c>
      <c r="AH677" t="e">
        <f t="shared" si="71"/>
        <v>#N/A</v>
      </c>
      <c r="AI677">
        <f t="shared" si="75"/>
        <v>2</v>
      </c>
      <c r="AJ677" t="e">
        <f t="shared" si="72"/>
        <v>#N/A</v>
      </c>
      <c r="AK677">
        <f t="shared" si="76"/>
        <v>3</v>
      </c>
      <c r="AL677" t="e">
        <f t="shared" si="73"/>
        <v>#N/A</v>
      </c>
      <c r="AM677">
        <f t="shared" si="77"/>
        <v>4</v>
      </c>
      <c r="AN677" t="e">
        <f t="shared" si="74"/>
        <v>#N/A</v>
      </c>
    </row>
    <row r="678" spans="12:40" x14ac:dyDescent="0.25">
      <c r="L678">
        <v>675</v>
      </c>
      <c r="M678">
        <v>14.092499999999999</v>
      </c>
      <c r="N678">
        <v>13.563124999999999</v>
      </c>
      <c r="O678">
        <v>14.38036111111111</v>
      </c>
      <c r="P678">
        <v>13.873680555555557</v>
      </c>
      <c r="AG678">
        <v>1</v>
      </c>
      <c r="AH678" t="e">
        <f t="shared" si="71"/>
        <v>#N/A</v>
      </c>
      <c r="AI678">
        <f t="shared" si="75"/>
        <v>2</v>
      </c>
      <c r="AJ678" t="e">
        <f t="shared" si="72"/>
        <v>#N/A</v>
      </c>
      <c r="AK678">
        <f t="shared" si="76"/>
        <v>3</v>
      </c>
      <c r="AL678" t="e">
        <f t="shared" si="73"/>
        <v>#N/A</v>
      </c>
      <c r="AM678">
        <f t="shared" si="77"/>
        <v>4</v>
      </c>
      <c r="AN678" t="e">
        <f t="shared" si="74"/>
        <v>#N/A</v>
      </c>
    </row>
    <row r="679" spans="12:40" x14ac:dyDescent="0.25">
      <c r="L679">
        <v>676</v>
      </c>
      <c r="M679">
        <v>13.38875</v>
      </c>
      <c r="N679">
        <v>13.983124999999999</v>
      </c>
      <c r="O679">
        <v>14.51461111111111</v>
      </c>
      <c r="P679">
        <v>14.047062499999999</v>
      </c>
      <c r="AG679">
        <v>1</v>
      </c>
      <c r="AH679" t="e">
        <f t="shared" si="71"/>
        <v>#N/A</v>
      </c>
      <c r="AI679">
        <f t="shared" si="75"/>
        <v>2</v>
      </c>
      <c r="AJ679" t="e">
        <f t="shared" si="72"/>
        <v>#N/A</v>
      </c>
      <c r="AK679">
        <f t="shared" si="76"/>
        <v>3</v>
      </c>
      <c r="AL679" t="e">
        <f t="shared" si="73"/>
        <v>#N/A</v>
      </c>
      <c r="AM679">
        <f t="shared" si="77"/>
        <v>4</v>
      </c>
      <c r="AN679" t="e">
        <f t="shared" si="74"/>
        <v>#N/A</v>
      </c>
    </row>
    <row r="680" spans="12:40" x14ac:dyDescent="0.25">
      <c r="L680">
        <v>677</v>
      </c>
      <c r="M680">
        <v>12.43</v>
      </c>
      <c r="N680">
        <v>13.598125</v>
      </c>
      <c r="O680">
        <v>14.383444444444445</v>
      </c>
      <c r="P680">
        <v>14.212666666666664</v>
      </c>
      <c r="AG680">
        <v>1</v>
      </c>
      <c r="AH680" t="e">
        <f t="shared" si="71"/>
        <v>#N/A</v>
      </c>
      <c r="AI680">
        <f t="shared" si="75"/>
        <v>2</v>
      </c>
      <c r="AJ680" t="e">
        <f t="shared" si="72"/>
        <v>#N/A</v>
      </c>
      <c r="AK680">
        <f t="shared" si="76"/>
        <v>3</v>
      </c>
      <c r="AL680" t="e">
        <f t="shared" si="73"/>
        <v>#N/A</v>
      </c>
      <c r="AM680">
        <f t="shared" si="77"/>
        <v>4</v>
      </c>
      <c r="AN680" t="e">
        <f t="shared" si="74"/>
        <v>#N/A</v>
      </c>
    </row>
    <row r="681" spans="12:40" x14ac:dyDescent="0.25">
      <c r="L681">
        <v>678</v>
      </c>
      <c r="M681">
        <v>13.53125</v>
      </c>
      <c r="N681">
        <v>13.5825</v>
      </c>
      <c r="O681">
        <v>13.969124999999998</v>
      </c>
      <c r="P681">
        <v>13.534861111111113</v>
      </c>
      <c r="AG681">
        <v>1</v>
      </c>
      <c r="AH681" t="e">
        <f t="shared" si="71"/>
        <v>#N/A</v>
      </c>
      <c r="AI681">
        <f t="shared" si="75"/>
        <v>2</v>
      </c>
      <c r="AJ681" t="e">
        <f t="shared" si="72"/>
        <v>#N/A</v>
      </c>
      <c r="AK681">
        <f t="shared" si="76"/>
        <v>3</v>
      </c>
      <c r="AL681" t="e">
        <f t="shared" si="73"/>
        <v>#N/A</v>
      </c>
      <c r="AM681">
        <f t="shared" si="77"/>
        <v>4</v>
      </c>
      <c r="AN681" t="e">
        <f t="shared" si="74"/>
        <v>#N/A</v>
      </c>
    </row>
    <row r="682" spans="12:40" x14ac:dyDescent="0.25">
      <c r="L682">
        <v>679</v>
      </c>
      <c r="M682">
        <v>14.93125</v>
      </c>
      <c r="N682">
        <v>14.105</v>
      </c>
      <c r="O682">
        <v>14.296833333333334</v>
      </c>
      <c r="P682">
        <v>14.347166666666665</v>
      </c>
      <c r="AG682">
        <v>1</v>
      </c>
      <c r="AH682" t="e">
        <f t="shared" si="71"/>
        <v>#N/A</v>
      </c>
      <c r="AI682">
        <f t="shared" si="75"/>
        <v>2</v>
      </c>
      <c r="AJ682" t="e">
        <f t="shared" si="72"/>
        <v>#N/A</v>
      </c>
      <c r="AK682">
        <f t="shared" si="76"/>
        <v>3</v>
      </c>
      <c r="AL682" t="e">
        <f t="shared" si="73"/>
        <v>#N/A</v>
      </c>
      <c r="AM682">
        <f t="shared" si="77"/>
        <v>4</v>
      </c>
      <c r="AN682" t="e">
        <f t="shared" si="74"/>
        <v>#N/A</v>
      </c>
    </row>
    <row r="683" spans="12:40" x14ac:dyDescent="0.25">
      <c r="L683">
        <v>680</v>
      </c>
      <c r="M683">
        <v>14.046250000000001</v>
      </c>
      <c r="N683">
        <v>14.811249999999999</v>
      </c>
      <c r="O683">
        <v>14.39111111111111</v>
      </c>
      <c r="P683">
        <v>14.048576388888886</v>
      </c>
      <c r="AG683">
        <v>1</v>
      </c>
      <c r="AH683" t="e">
        <f t="shared" si="71"/>
        <v>#N/A</v>
      </c>
      <c r="AI683">
        <f t="shared" si="75"/>
        <v>2</v>
      </c>
      <c r="AJ683" t="e">
        <f t="shared" si="72"/>
        <v>#N/A</v>
      </c>
      <c r="AK683">
        <f t="shared" si="76"/>
        <v>3</v>
      </c>
      <c r="AL683" t="e">
        <f t="shared" si="73"/>
        <v>#N/A</v>
      </c>
      <c r="AM683">
        <f t="shared" si="77"/>
        <v>4</v>
      </c>
      <c r="AN683" t="e">
        <f t="shared" si="74"/>
        <v>#N/A</v>
      </c>
    </row>
    <row r="684" spans="12:40" x14ac:dyDescent="0.25">
      <c r="L684">
        <v>681</v>
      </c>
      <c r="M684">
        <v>14.2225</v>
      </c>
      <c r="N684">
        <v>13.655625000000001</v>
      </c>
      <c r="O684">
        <v>13.763402777777777</v>
      </c>
      <c r="P684">
        <v>13.840423611111111</v>
      </c>
      <c r="AG684">
        <v>1</v>
      </c>
      <c r="AH684" t="e">
        <f t="shared" si="71"/>
        <v>#N/A</v>
      </c>
      <c r="AI684">
        <f t="shared" si="75"/>
        <v>2</v>
      </c>
      <c r="AJ684" t="e">
        <f t="shared" si="72"/>
        <v>#N/A</v>
      </c>
      <c r="AK684">
        <f t="shared" si="76"/>
        <v>3</v>
      </c>
      <c r="AL684" t="e">
        <f t="shared" si="73"/>
        <v>#N/A</v>
      </c>
      <c r="AM684">
        <f t="shared" si="77"/>
        <v>4</v>
      </c>
      <c r="AN684" t="e">
        <f t="shared" si="74"/>
        <v>#N/A</v>
      </c>
    </row>
    <row r="685" spans="12:40" x14ac:dyDescent="0.25">
      <c r="L685">
        <v>682</v>
      </c>
      <c r="M685">
        <v>14.803750000000001</v>
      </c>
      <c r="N685">
        <v>14.219374999999999</v>
      </c>
      <c r="O685">
        <v>14.411597222222222</v>
      </c>
      <c r="P685">
        <v>14.168930555555557</v>
      </c>
      <c r="AG685">
        <v>1</v>
      </c>
      <c r="AH685" t="e">
        <f t="shared" si="71"/>
        <v>#N/A</v>
      </c>
      <c r="AI685">
        <f t="shared" si="75"/>
        <v>2</v>
      </c>
      <c r="AJ685" t="e">
        <f t="shared" si="72"/>
        <v>#N/A</v>
      </c>
      <c r="AK685">
        <f t="shared" si="76"/>
        <v>3</v>
      </c>
      <c r="AL685" t="e">
        <f t="shared" si="73"/>
        <v>#N/A</v>
      </c>
      <c r="AM685">
        <f t="shared" si="77"/>
        <v>4</v>
      </c>
      <c r="AN685" t="e">
        <f t="shared" si="74"/>
        <v>#N/A</v>
      </c>
    </row>
    <row r="686" spans="12:40" x14ac:dyDescent="0.25">
      <c r="L686">
        <v>683</v>
      </c>
      <c r="M686">
        <v>12.38</v>
      </c>
      <c r="N686">
        <v>12.806875</v>
      </c>
      <c r="O686">
        <v>13.676041666666668</v>
      </c>
      <c r="P686">
        <v>14.291854166666665</v>
      </c>
      <c r="AG686">
        <v>1</v>
      </c>
      <c r="AH686" t="e">
        <f t="shared" si="71"/>
        <v>#N/A</v>
      </c>
      <c r="AI686">
        <f t="shared" si="75"/>
        <v>2</v>
      </c>
      <c r="AJ686" t="e">
        <f t="shared" si="72"/>
        <v>#N/A</v>
      </c>
      <c r="AK686">
        <f t="shared" si="76"/>
        <v>3</v>
      </c>
      <c r="AL686" t="e">
        <f t="shared" si="73"/>
        <v>#N/A</v>
      </c>
      <c r="AM686">
        <f t="shared" si="77"/>
        <v>4</v>
      </c>
      <c r="AN686" t="e">
        <f t="shared" si="74"/>
        <v>#N/A</v>
      </c>
    </row>
    <row r="687" spans="12:40" x14ac:dyDescent="0.25">
      <c r="L687">
        <v>684</v>
      </c>
      <c r="M687">
        <v>13.2</v>
      </c>
      <c r="N687">
        <v>14.053750000000001</v>
      </c>
      <c r="O687">
        <v>14.689083333333336</v>
      </c>
      <c r="P687">
        <v>14.329006944444442</v>
      </c>
      <c r="AG687">
        <v>1</v>
      </c>
      <c r="AH687" t="e">
        <f t="shared" si="71"/>
        <v>#N/A</v>
      </c>
      <c r="AI687">
        <f t="shared" si="75"/>
        <v>2</v>
      </c>
      <c r="AJ687" t="e">
        <f t="shared" si="72"/>
        <v>#N/A</v>
      </c>
      <c r="AK687">
        <f t="shared" si="76"/>
        <v>3</v>
      </c>
      <c r="AL687" t="e">
        <f t="shared" si="73"/>
        <v>#N/A</v>
      </c>
      <c r="AM687">
        <f t="shared" si="77"/>
        <v>4</v>
      </c>
      <c r="AN687" t="e">
        <f t="shared" si="74"/>
        <v>#N/A</v>
      </c>
    </row>
    <row r="688" spans="12:40" x14ac:dyDescent="0.25">
      <c r="L688">
        <v>685</v>
      </c>
      <c r="M688">
        <v>15.4925</v>
      </c>
      <c r="N688">
        <v>15.353125</v>
      </c>
      <c r="O688">
        <v>15.07572222222222</v>
      </c>
      <c r="P688">
        <v>14.420631944444445</v>
      </c>
      <c r="AG688">
        <v>1</v>
      </c>
      <c r="AH688" t="e">
        <f t="shared" si="71"/>
        <v>#N/A</v>
      </c>
      <c r="AI688">
        <f t="shared" si="75"/>
        <v>2</v>
      </c>
      <c r="AJ688" t="e">
        <f t="shared" si="72"/>
        <v>#N/A</v>
      </c>
      <c r="AK688">
        <f t="shared" si="76"/>
        <v>3</v>
      </c>
      <c r="AL688" t="e">
        <f t="shared" si="73"/>
        <v>#N/A</v>
      </c>
      <c r="AM688">
        <f t="shared" si="77"/>
        <v>4</v>
      </c>
      <c r="AN688" t="e">
        <f t="shared" si="74"/>
        <v>#N/A</v>
      </c>
    </row>
    <row r="689" spans="12:40" x14ac:dyDescent="0.25">
      <c r="L689">
        <v>686</v>
      </c>
      <c r="M689">
        <v>14.015000000000001</v>
      </c>
      <c r="N689">
        <v>13.426875000000001</v>
      </c>
      <c r="O689">
        <v>13.783013888888886</v>
      </c>
      <c r="P689">
        <v>13.751951388888887</v>
      </c>
      <c r="AG689">
        <v>1</v>
      </c>
      <c r="AH689" t="e">
        <f t="shared" si="71"/>
        <v>#N/A</v>
      </c>
      <c r="AI689">
        <f t="shared" si="75"/>
        <v>2</v>
      </c>
      <c r="AJ689" t="e">
        <f t="shared" si="72"/>
        <v>#N/A</v>
      </c>
      <c r="AK689">
        <f t="shared" si="76"/>
        <v>3</v>
      </c>
      <c r="AL689" t="e">
        <f t="shared" si="73"/>
        <v>#N/A</v>
      </c>
      <c r="AM689">
        <f t="shared" si="77"/>
        <v>4</v>
      </c>
      <c r="AN689" t="e">
        <f t="shared" si="74"/>
        <v>#N/A</v>
      </c>
    </row>
    <row r="690" spans="12:40" x14ac:dyDescent="0.25">
      <c r="L690">
        <v>687</v>
      </c>
      <c r="M690">
        <v>12.90875</v>
      </c>
      <c r="N690">
        <v>13.68375</v>
      </c>
      <c r="O690">
        <v>13.107541666666666</v>
      </c>
      <c r="P690">
        <v>13.565381944444447</v>
      </c>
      <c r="AG690">
        <v>1</v>
      </c>
      <c r="AH690" t="e">
        <f t="shared" si="71"/>
        <v>#N/A</v>
      </c>
      <c r="AI690">
        <f t="shared" si="75"/>
        <v>2</v>
      </c>
      <c r="AJ690" t="e">
        <f t="shared" si="72"/>
        <v>#N/A</v>
      </c>
      <c r="AK690">
        <f t="shared" si="76"/>
        <v>3</v>
      </c>
      <c r="AL690" t="e">
        <f t="shared" si="73"/>
        <v>#N/A</v>
      </c>
      <c r="AM690">
        <f t="shared" si="77"/>
        <v>4</v>
      </c>
      <c r="AN690" t="e">
        <f t="shared" si="74"/>
        <v>#N/A</v>
      </c>
    </row>
    <row r="691" spans="12:40" x14ac:dyDescent="0.25">
      <c r="L691">
        <v>688</v>
      </c>
      <c r="M691">
        <v>12.991250000000001</v>
      </c>
      <c r="N691">
        <v>13.376875</v>
      </c>
      <c r="O691">
        <v>13.444513888888892</v>
      </c>
      <c r="P691">
        <v>13.662430555555556</v>
      </c>
      <c r="AG691">
        <v>1</v>
      </c>
      <c r="AH691" t="e">
        <f t="shared" si="71"/>
        <v>#N/A</v>
      </c>
      <c r="AI691">
        <f t="shared" si="75"/>
        <v>2</v>
      </c>
      <c r="AJ691" t="e">
        <f t="shared" si="72"/>
        <v>#N/A</v>
      </c>
      <c r="AK691">
        <f t="shared" si="76"/>
        <v>3</v>
      </c>
      <c r="AL691" t="e">
        <f t="shared" si="73"/>
        <v>#N/A</v>
      </c>
      <c r="AM691">
        <f t="shared" si="77"/>
        <v>4</v>
      </c>
      <c r="AN691" t="e">
        <f t="shared" si="74"/>
        <v>#N/A</v>
      </c>
    </row>
    <row r="692" spans="12:40" x14ac:dyDescent="0.25">
      <c r="L692">
        <v>689</v>
      </c>
      <c r="M692">
        <v>14.54125</v>
      </c>
      <c r="N692">
        <v>13.885</v>
      </c>
      <c r="O692">
        <v>13.383069444444443</v>
      </c>
      <c r="P692">
        <v>13.771027777777778</v>
      </c>
      <c r="AG692">
        <v>1</v>
      </c>
      <c r="AH692" t="e">
        <f t="shared" si="71"/>
        <v>#N/A</v>
      </c>
      <c r="AI692">
        <f t="shared" si="75"/>
        <v>2</v>
      </c>
      <c r="AJ692" t="e">
        <f t="shared" si="72"/>
        <v>#N/A</v>
      </c>
      <c r="AK692">
        <f t="shared" si="76"/>
        <v>3</v>
      </c>
      <c r="AL692" t="e">
        <f t="shared" si="73"/>
        <v>#N/A</v>
      </c>
      <c r="AM692">
        <f t="shared" si="77"/>
        <v>4</v>
      </c>
      <c r="AN692" t="e">
        <f t="shared" si="74"/>
        <v>#N/A</v>
      </c>
    </row>
    <row r="693" spans="12:40" x14ac:dyDescent="0.25">
      <c r="L693">
        <v>690</v>
      </c>
      <c r="M693">
        <v>14.637499999999999</v>
      </c>
      <c r="N693">
        <v>13.8725</v>
      </c>
      <c r="O693">
        <v>14.540750000000001</v>
      </c>
      <c r="P693">
        <v>14.055930555555555</v>
      </c>
      <c r="AG693">
        <v>1</v>
      </c>
      <c r="AH693" t="e">
        <f t="shared" si="71"/>
        <v>#N/A</v>
      </c>
      <c r="AI693">
        <f t="shared" si="75"/>
        <v>2</v>
      </c>
      <c r="AJ693" t="e">
        <f t="shared" si="72"/>
        <v>#N/A</v>
      </c>
      <c r="AK693">
        <f t="shared" si="76"/>
        <v>3</v>
      </c>
      <c r="AL693" t="e">
        <f t="shared" si="73"/>
        <v>#N/A</v>
      </c>
      <c r="AM693">
        <f t="shared" si="77"/>
        <v>4</v>
      </c>
      <c r="AN693" t="e">
        <f t="shared" si="74"/>
        <v>#N/A</v>
      </c>
    </row>
    <row r="694" spans="12:40" x14ac:dyDescent="0.25">
      <c r="L694">
        <v>691</v>
      </c>
      <c r="M694">
        <v>15.145</v>
      </c>
      <c r="N694">
        <v>13.922499999999999</v>
      </c>
      <c r="O694">
        <v>14.492152777777779</v>
      </c>
      <c r="P694">
        <v>13.853520833333333</v>
      </c>
      <c r="AG694">
        <v>1</v>
      </c>
      <c r="AH694" t="e">
        <f t="shared" si="71"/>
        <v>#N/A</v>
      </c>
      <c r="AI694">
        <f t="shared" si="75"/>
        <v>2</v>
      </c>
      <c r="AJ694" t="e">
        <f t="shared" si="72"/>
        <v>#N/A</v>
      </c>
      <c r="AK694">
        <f t="shared" si="76"/>
        <v>3</v>
      </c>
      <c r="AL694" t="e">
        <f t="shared" si="73"/>
        <v>#N/A</v>
      </c>
      <c r="AM694">
        <f t="shared" si="77"/>
        <v>4</v>
      </c>
      <c r="AN694" t="e">
        <f t="shared" si="74"/>
        <v>#N/A</v>
      </c>
    </row>
    <row r="695" spans="12:40" x14ac:dyDescent="0.25">
      <c r="L695">
        <v>692</v>
      </c>
      <c r="M695">
        <v>14.8225</v>
      </c>
      <c r="N695">
        <v>14.42625</v>
      </c>
      <c r="O695">
        <v>14.823166666666665</v>
      </c>
      <c r="P695">
        <v>14.285250000000001</v>
      </c>
      <c r="AG695">
        <v>1</v>
      </c>
      <c r="AH695" t="e">
        <f t="shared" si="71"/>
        <v>#N/A</v>
      </c>
      <c r="AI695">
        <f t="shared" si="75"/>
        <v>2</v>
      </c>
      <c r="AJ695" t="e">
        <f t="shared" si="72"/>
        <v>#N/A</v>
      </c>
      <c r="AK695">
        <f t="shared" si="76"/>
        <v>3</v>
      </c>
      <c r="AL695" t="e">
        <f t="shared" si="73"/>
        <v>#N/A</v>
      </c>
      <c r="AM695">
        <f t="shared" si="77"/>
        <v>4</v>
      </c>
      <c r="AN695" t="e">
        <f t="shared" si="74"/>
        <v>#N/A</v>
      </c>
    </row>
    <row r="696" spans="12:40" x14ac:dyDescent="0.25">
      <c r="L696">
        <v>693</v>
      </c>
      <c r="M696">
        <v>12.34625</v>
      </c>
      <c r="N696">
        <v>13.835625</v>
      </c>
      <c r="O696">
        <v>14.149180555555557</v>
      </c>
      <c r="P696">
        <v>14.406708333333336</v>
      </c>
      <c r="AG696">
        <v>1</v>
      </c>
      <c r="AH696" t="e">
        <f t="shared" si="71"/>
        <v>#N/A</v>
      </c>
      <c r="AI696">
        <f t="shared" si="75"/>
        <v>2</v>
      </c>
      <c r="AJ696" t="e">
        <f t="shared" si="72"/>
        <v>#N/A</v>
      </c>
      <c r="AK696">
        <f t="shared" si="76"/>
        <v>3</v>
      </c>
      <c r="AL696" t="e">
        <f t="shared" si="73"/>
        <v>#N/A</v>
      </c>
      <c r="AM696">
        <f t="shared" si="77"/>
        <v>4</v>
      </c>
      <c r="AN696" t="e">
        <f t="shared" si="74"/>
        <v>#N/A</v>
      </c>
    </row>
    <row r="697" spans="12:40" x14ac:dyDescent="0.25">
      <c r="L697">
        <v>694</v>
      </c>
      <c r="M697">
        <v>12.3475</v>
      </c>
      <c r="N697">
        <v>13.178125</v>
      </c>
      <c r="O697">
        <v>13.961458333333335</v>
      </c>
      <c r="P697">
        <v>14.035937499999999</v>
      </c>
      <c r="AG697">
        <v>1</v>
      </c>
      <c r="AH697" t="e">
        <f t="shared" si="71"/>
        <v>#N/A</v>
      </c>
      <c r="AI697">
        <f t="shared" si="75"/>
        <v>2</v>
      </c>
      <c r="AJ697" t="e">
        <f t="shared" si="72"/>
        <v>#N/A</v>
      </c>
      <c r="AK697">
        <f t="shared" si="76"/>
        <v>3</v>
      </c>
      <c r="AL697" t="e">
        <f t="shared" si="73"/>
        <v>#N/A</v>
      </c>
      <c r="AM697">
        <f t="shared" si="77"/>
        <v>4</v>
      </c>
      <c r="AN697" t="e">
        <f t="shared" si="74"/>
        <v>#N/A</v>
      </c>
    </row>
    <row r="698" spans="12:40" x14ac:dyDescent="0.25">
      <c r="L698">
        <v>695</v>
      </c>
      <c r="M698">
        <v>13.186249999999999</v>
      </c>
      <c r="N698">
        <v>13.452500000000001</v>
      </c>
      <c r="O698">
        <v>14.285875000000001</v>
      </c>
      <c r="P698">
        <v>13.942465277777778</v>
      </c>
      <c r="AG698">
        <v>1</v>
      </c>
      <c r="AH698" t="e">
        <f t="shared" si="71"/>
        <v>#N/A</v>
      </c>
      <c r="AI698">
        <f t="shared" si="75"/>
        <v>2</v>
      </c>
      <c r="AJ698" t="e">
        <f t="shared" si="72"/>
        <v>#N/A</v>
      </c>
      <c r="AK698">
        <f t="shared" si="76"/>
        <v>3</v>
      </c>
      <c r="AL698" t="e">
        <f t="shared" si="73"/>
        <v>#N/A</v>
      </c>
      <c r="AM698">
        <f t="shared" si="77"/>
        <v>4</v>
      </c>
      <c r="AN698" t="e">
        <f t="shared" si="74"/>
        <v>#N/A</v>
      </c>
    </row>
    <row r="699" spans="12:40" x14ac:dyDescent="0.25">
      <c r="L699">
        <v>696</v>
      </c>
      <c r="M699">
        <v>15.44375</v>
      </c>
      <c r="N699">
        <v>13.534375000000001</v>
      </c>
      <c r="O699">
        <v>13.784277777777779</v>
      </c>
      <c r="P699">
        <v>14.363381944444443</v>
      </c>
      <c r="AG699">
        <v>1</v>
      </c>
      <c r="AH699" t="e">
        <f t="shared" si="71"/>
        <v>#N/A</v>
      </c>
      <c r="AI699">
        <f t="shared" si="75"/>
        <v>2</v>
      </c>
      <c r="AJ699" t="e">
        <f t="shared" si="72"/>
        <v>#N/A</v>
      </c>
      <c r="AK699">
        <f t="shared" si="76"/>
        <v>3</v>
      </c>
      <c r="AL699" t="e">
        <f t="shared" si="73"/>
        <v>#N/A</v>
      </c>
      <c r="AM699">
        <f t="shared" si="77"/>
        <v>4</v>
      </c>
      <c r="AN699" t="e">
        <f t="shared" si="74"/>
        <v>#N/A</v>
      </c>
    </row>
    <row r="700" spans="12:40" x14ac:dyDescent="0.25">
      <c r="L700">
        <v>697</v>
      </c>
      <c r="M700">
        <v>12.96</v>
      </c>
      <c r="N700">
        <v>14.5175</v>
      </c>
      <c r="O700">
        <v>14.059152777777779</v>
      </c>
      <c r="P700">
        <v>14.552201388888886</v>
      </c>
      <c r="AG700">
        <v>1</v>
      </c>
      <c r="AH700" t="e">
        <f t="shared" si="71"/>
        <v>#N/A</v>
      </c>
      <c r="AI700">
        <f t="shared" si="75"/>
        <v>2</v>
      </c>
      <c r="AJ700" t="e">
        <f t="shared" si="72"/>
        <v>#N/A</v>
      </c>
      <c r="AK700">
        <f t="shared" si="76"/>
        <v>3</v>
      </c>
      <c r="AL700" t="e">
        <f t="shared" si="73"/>
        <v>#N/A</v>
      </c>
      <c r="AM700">
        <f t="shared" si="77"/>
        <v>4</v>
      </c>
      <c r="AN700" t="e">
        <f t="shared" si="74"/>
        <v>#N/A</v>
      </c>
    </row>
    <row r="701" spans="12:40" x14ac:dyDescent="0.25">
      <c r="L701">
        <v>698</v>
      </c>
      <c r="M701">
        <v>13.98625</v>
      </c>
      <c r="N701">
        <v>13.200625</v>
      </c>
      <c r="O701">
        <v>13.637166666666666</v>
      </c>
      <c r="P701">
        <v>14.045652777777777</v>
      </c>
      <c r="AG701">
        <v>1</v>
      </c>
      <c r="AH701" t="e">
        <f t="shared" si="71"/>
        <v>#N/A</v>
      </c>
      <c r="AI701">
        <f t="shared" si="75"/>
        <v>2</v>
      </c>
      <c r="AJ701" t="e">
        <f t="shared" si="72"/>
        <v>#N/A</v>
      </c>
      <c r="AK701">
        <f t="shared" si="76"/>
        <v>3</v>
      </c>
      <c r="AL701" t="e">
        <f t="shared" si="73"/>
        <v>#N/A</v>
      </c>
      <c r="AM701">
        <f t="shared" si="77"/>
        <v>4</v>
      </c>
      <c r="AN701" t="e">
        <f t="shared" si="74"/>
        <v>#N/A</v>
      </c>
    </row>
    <row r="702" spans="12:40" x14ac:dyDescent="0.25">
      <c r="L702">
        <v>699</v>
      </c>
      <c r="M702">
        <v>11.817500000000001</v>
      </c>
      <c r="N702">
        <v>13.391875000000001</v>
      </c>
      <c r="O702">
        <v>13.974416666666668</v>
      </c>
      <c r="P702">
        <v>14.021951388888887</v>
      </c>
      <c r="AG702">
        <v>1</v>
      </c>
      <c r="AH702" t="e">
        <f t="shared" si="71"/>
        <v>#N/A</v>
      </c>
      <c r="AI702">
        <f t="shared" si="75"/>
        <v>2</v>
      </c>
      <c r="AJ702" t="e">
        <f t="shared" si="72"/>
        <v>#N/A</v>
      </c>
      <c r="AK702">
        <f t="shared" si="76"/>
        <v>3</v>
      </c>
      <c r="AL702" t="e">
        <f t="shared" si="73"/>
        <v>#N/A</v>
      </c>
      <c r="AM702">
        <f t="shared" si="77"/>
        <v>4</v>
      </c>
      <c r="AN702" t="e">
        <f t="shared" si="74"/>
        <v>#N/A</v>
      </c>
    </row>
    <row r="703" spans="12:40" x14ac:dyDescent="0.25">
      <c r="L703">
        <v>700</v>
      </c>
      <c r="M703">
        <v>14.404999999999999</v>
      </c>
      <c r="N703">
        <v>13.940625000000001</v>
      </c>
      <c r="O703">
        <v>14.950166666666666</v>
      </c>
      <c r="P703">
        <v>14.369083333333336</v>
      </c>
      <c r="AG703">
        <v>1</v>
      </c>
      <c r="AH703" t="e">
        <f t="shared" si="71"/>
        <v>#N/A</v>
      </c>
      <c r="AI703">
        <f t="shared" si="75"/>
        <v>2</v>
      </c>
      <c r="AJ703" t="e">
        <f t="shared" si="72"/>
        <v>#N/A</v>
      </c>
      <c r="AK703">
        <f t="shared" si="76"/>
        <v>3</v>
      </c>
      <c r="AL703" t="e">
        <f t="shared" si="73"/>
        <v>#N/A</v>
      </c>
      <c r="AM703">
        <f t="shared" si="77"/>
        <v>4</v>
      </c>
      <c r="AN703" t="e">
        <f t="shared" si="74"/>
        <v>#N/A</v>
      </c>
    </row>
    <row r="704" spans="12:40" x14ac:dyDescent="0.25">
      <c r="L704">
        <v>701</v>
      </c>
      <c r="M704">
        <v>14.885</v>
      </c>
      <c r="N704">
        <v>14.2325</v>
      </c>
      <c r="O704">
        <v>13.854083333333335</v>
      </c>
      <c r="P704">
        <v>14.178923611111113</v>
      </c>
      <c r="AG704">
        <v>1</v>
      </c>
      <c r="AH704" t="e">
        <f t="shared" si="71"/>
        <v>#N/A</v>
      </c>
      <c r="AI704">
        <f t="shared" si="75"/>
        <v>2</v>
      </c>
      <c r="AJ704" t="e">
        <f t="shared" si="72"/>
        <v>#N/A</v>
      </c>
      <c r="AK704">
        <f t="shared" si="76"/>
        <v>3</v>
      </c>
      <c r="AL704" t="e">
        <f t="shared" si="73"/>
        <v>#N/A</v>
      </c>
      <c r="AM704">
        <f t="shared" si="77"/>
        <v>4</v>
      </c>
      <c r="AN704" t="e">
        <f t="shared" si="74"/>
        <v>#N/A</v>
      </c>
    </row>
    <row r="705" spans="12:40" x14ac:dyDescent="0.25">
      <c r="L705">
        <v>702</v>
      </c>
      <c r="M705">
        <v>13.30625</v>
      </c>
      <c r="N705">
        <v>13.62</v>
      </c>
      <c r="O705">
        <v>13.024875</v>
      </c>
      <c r="P705">
        <v>13.752694444444444</v>
      </c>
      <c r="AG705">
        <v>1</v>
      </c>
      <c r="AH705" t="e">
        <f t="shared" si="71"/>
        <v>#N/A</v>
      </c>
      <c r="AI705">
        <f t="shared" si="75"/>
        <v>2</v>
      </c>
      <c r="AJ705" t="e">
        <f t="shared" si="72"/>
        <v>#N/A</v>
      </c>
      <c r="AK705">
        <f t="shared" si="76"/>
        <v>3</v>
      </c>
      <c r="AL705" t="e">
        <f t="shared" si="73"/>
        <v>#N/A</v>
      </c>
      <c r="AM705">
        <f t="shared" si="77"/>
        <v>4</v>
      </c>
      <c r="AN705" t="e">
        <f t="shared" si="74"/>
        <v>#N/A</v>
      </c>
    </row>
    <row r="706" spans="12:40" x14ac:dyDescent="0.25">
      <c r="L706">
        <v>703</v>
      </c>
      <c r="M706">
        <v>15.40375</v>
      </c>
      <c r="N706">
        <v>15.2225</v>
      </c>
      <c r="O706">
        <v>13.788916666666664</v>
      </c>
      <c r="P706">
        <v>14.104861111111111</v>
      </c>
      <c r="AG706">
        <v>1</v>
      </c>
      <c r="AH706" t="e">
        <f t="shared" si="71"/>
        <v>#N/A</v>
      </c>
      <c r="AI706">
        <f t="shared" si="75"/>
        <v>2</v>
      </c>
      <c r="AJ706" t="e">
        <f t="shared" si="72"/>
        <v>#N/A</v>
      </c>
      <c r="AK706">
        <f t="shared" si="76"/>
        <v>3</v>
      </c>
      <c r="AL706" t="e">
        <f t="shared" si="73"/>
        <v>#N/A</v>
      </c>
      <c r="AM706">
        <f t="shared" si="77"/>
        <v>4</v>
      </c>
      <c r="AN706" t="e">
        <f t="shared" si="74"/>
        <v>#N/A</v>
      </c>
    </row>
    <row r="707" spans="12:40" x14ac:dyDescent="0.25">
      <c r="L707">
        <v>704</v>
      </c>
      <c r="M707">
        <v>13.54</v>
      </c>
      <c r="N707">
        <v>13.673125000000001</v>
      </c>
      <c r="O707">
        <v>13.929319444444443</v>
      </c>
      <c r="P707">
        <v>13.962791666666668</v>
      </c>
      <c r="AG707">
        <v>1</v>
      </c>
      <c r="AH707" t="e">
        <f t="shared" si="71"/>
        <v>#N/A</v>
      </c>
      <c r="AI707">
        <f t="shared" si="75"/>
        <v>2</v>
      </c>
      <c r="AJ707" t="e">
        <f t="shared" si="72"/>
        <v>#N/A</v>
      </c>
      <c r="AK707">
        <f t="shared" si="76"/>
        <v>3</v>
      </c>
      <c r="AL707" t="e">
        <f t="shared" si="73"/>
        <v>#N/A</v>
      </c>
      <c r="AM707">
        <f t="shared" si="77"/>
        <v>4</v>
      </c>
      <c r="AN707" t="e">
        <f t="shared" si="74"/>
        <v>#N/A</v>
      </c>
    </row>
    <row r="708" spans="12:40" x14ac:dyDescent="0.25">
      <c r="L708">
        <v>705</v>
      </c>
      <c r="M708">
        <v>12.473750000000001</v>
      </c>
      <c r="N708">
        <v>13.269375</v>
      </c>
      <c r="O708">
        <v>13.611500000000001</v>
      </c>
      <c r="P708">
        <v>13.795451388888889</v>
      </c>
      <c r="AG708">
        <v>1</v>
      </c>
      <c r="AH708" t="e">
        <f t="shared" ref="AH708:AH771" si="78">IF(OR(M708&lt;S$3,M708&gt;S$7),M708,#N/A)</f>
        <v>#N/A</v>
      </c>
      <c r="AI708">
        <f t="shared" si="75"/>
        <v>2</v>
      </c>
      <c r="AJ708" t="e">
        <f t="shared" ref="AJ708:AJ771" si="79">IF(OR(N708&lt;T$3,N708&gt;T$7),N708,#N/A)</f>
        <v>#N/A</v>
      </c>
      <c r="AK708">
        <f t="shared" si="76"/>
        <v>3</v>
      </c>
      <c r="AL708" t="e">
        <f t="shared" ref="AL708:AL771" si="80">IF(OR(O708&lt;U$3,O708&gt;U$7),O708,#N/A)</f>
        <v>#N/A</v>
      </c>
      <c r="AM708">
        <f t="shared" si="77"/>
        <v>4</v>
      </c>
      <c r="AN708" t="e">
        <f t="shared" ref="AN708:AN771" si="81">IF(OR(P708&lt;V$3,P708&gt;V$7),P708,#N/A)</f>
        <v>#N/A</v>
      </c>
    </row>
    <row r="709" spans="12:40" x14ac:dyDescent="0.25">
      <c r="L709">
        <v>706</v>
      </c>
      <c r="M709">
        <v>13.0425</v>
      </c>
      <c r="N709">
        <v>14.33</v>
      </c>
      <c r="O709">
        <v>14.531236111111111</v>
      </c>
      <c r="P709">
        <v>13.892104166666666</v>
      </c>
      <c r="AG709">
        <v>1</v>
      </c>
      <c r="AH709" t="e">
        <f t="shared" si="78"/>
        <v>#N/A</v>
      </c>
      <c r="AI709">
        <f t="shared" ref="AI709:AI772" si="82">AG709+1</f>
        <v>2</v>
      </c>
      <c r="AJ709" t="e">
        <f t="shared" si="79"/>
        <v>#N/A</v>
      </c>
      <c r="AK709">
        <f t="shared" ref="AK709:AK772" si="83">AI709+1</f>
        <v>3</v>
      </c>
      <c r="AL709" t="e">
        <f t="shared" si="80"/>
        <v>#N/A</v>
      </c>
      <c r="AM709">
        <f t="shared" ref="AM709:AM772" si="84">AK709+1</f>
        <v>4</v>
      </c>
      <c r="AN709" t="e">
        <f t="shared" si="81"/>
        <v>#N/A</v>
      </c>
    </row>
    <row r="710" spans="12:40" x14ac:dyDescent="0.25">
      <c r="L710">
        <v>707</v>
      </c>
      <c r="M710">
        <v>12.72</v>
      </c>
      <c r="N710">
        <v>12.955625</v>
      </c>
      <c r="O710">
        <v>13.263</v>
      </c>
      <c r="P710">
        <v>13.479951388888889</v>
      </c>
      <c r="AG710">
        <v>1</v>
      </c>
      <c r="AH710" t="e">
        <f t="shared" si="78"/>
        <v>#N/A</v>
      </c>
      <c r="AI710">
        <f t="shared" si="82"/>
        <v>2</v>
      </c>
      <c r="AJ710" t="e">
        <f t="shared" si="79"/>
        <v>#N/A</v>
      </c>
      <c r="AK710">
        <f t="shared" si="83"/>
        <v>3</v>
      </c>
      <c r="AL710" t="e">
        <f t="shared" si="80"/>
        <v>#N/A</v>
      </c>
      <c r="AM710">
        <f t="shared" si="84"/>
        <v>4</v>
      </c>
      <c r="AN710" t="e">
        <f t="shared" si="81"/>
        <v>#N/A</v>
      </c>
    </row>
    <row r="711" spans="12:40" x14ac:dyDescent="0.25">
      <c r="L711">
        <v>708</v>
      </c>
      <c r="M711">
        <v>11.545</v>
      </c>
      <c r="N711">
        <v>12.19375</v>
      </c>
      <c r="O711">
        <v>13.020777777777777</v>
      </c>
      <c r="P711">
        <v>14.012701388888889</v>
      </c>
      <c r="AG711">
        <v>1</v>
      </c>
      <c r="AH711" t="e">
        <f t="shared" si="78"/>
        <v>#N/A</v>
      </c>
      <c r="AI711">
        <f t="shared" si="82"/>
        <v>2</v>
      </c>
      <c r="AJ711" t="e">
        <f t="shared" si="79"/>
        <v>#N/A</v>
      </c>
      <c r="AK711">
        <f t="shared" si="83"/>
        <v>3</v>
      </c>
      <c r="AL711" t="e">
        <f t="shared" si="80"/>
        <v>#N/A</v>
      </c>
      <c r="AM711">
        <f t="shared" si="84"/>
        <v>4</v>
      </c>
      <c r="AN711" t="e">
        <f t="shared" si="81"/>
        <v>#N/A</v>
      </c>
    </row>
    <row r="712" spans="12:40" x14ac:dyDescent="0.25">
      <c r="L712">
        <v>709</v>
      </c>
      <c r="M712">
        <v>12.82</v>
      </c>
      <c r="N712">
        <v>13.6675</v>
      </c>
      <c r="O712">
        <v>13.784486111111109</v>
      </c>
      <c r="P712">
        <v>13.970680555555557</v>
      </c>
      <c r="AG712">
        <v>1</v>
      </c>
      <c r="AH712" t="e">
        <f t="shared" si="78"/>
        <v>#N/A</v>
      </c>
      <c r="AI712">
        <f t="shared" si="82"/>
        <v>2</v>
      </c>
      <c r="AJ712" t="e">
        <f t="shared" si="79"/>
        <v>#N/A</v>
      </c>
      <c r="AK712">
        <f t="shared" si="83"/>
        <v>3</v>
      </c>
      <c r="AL712" t="e">
        <f t="shared" si="80"/>
        <v>#N/A</v>
      </c>
      <c r="AM712">
        <f t="shared" si="84"/>
        <v>4</v>
      </c>
      <c r="AN712" t="e">
        <f t="shared" si="81"/>
        <v>#N/A</v>
      </c>
    </row>
    <row r="713" spans="12:40" x14ac:dyDescent="0.25">
      <c r="L713">
        <v>710</v>
      </c>
      <c r="M713">
        <v>13.348750000000001</v>
      </c>
      <c r="N713">
        <v>13.68375</v>
      </c>
      <c r="O713">
        <v>13.144944444444445</v>
      </c>
      <c r="P713">
        <v>13.898743055555556</v>
      </c>
      <c r="AG713">
        <v>1</v>
      </c>
      <c r="AH713" t="e">
        <f t="shared" si="78"/>
        <v>#N/A</v>
      </c>
      <c r="AI713">
        <f t="shared" si="82"/>
        <v>2</v>
      </c>
      <c r="AJ713" t="e">
        <f t="shared" si="79"/>
        <v>#N/A</v>
      </c>
      <c r="AK713">
        <f t="shared" si="83"/>
        <v>3</v>
      </c>
      <c r="AL713" t="e">
        <f t="shared" si="80"/>
        <v>#N/A</v>
      </c>
      <c r="AM713">
        <f t="shared" si="84"/>
        <v>4</v>
      </c>
      <c r="AN713" t="e">
        <f t="shared" si="81"/>
        <v>#N/A</v>
      </c>
    </row>
    <row r="714" spans="12:40" x14ac:dyDescent="0.25">
      <c r="L714">
        <v>711</v>
      </c>
      <c r="M714">
        <v>14.39625</v>
      </c>
      <c r="N714">
        <v>14.8675</v>
      </c>
      <c r="O714">
        <v>13.798194444444446</v>
      </c>
      <c r="P714">
        <v>13.677138888888889</v>
      </c>
      <c r="AG714">
        <v>1</v>
      </c>
      <c r="AH714" t="e">
        <f t="shared" si="78"/>
        <v>#N/A</v>
      </c>
      <c r="AI714">
        <f t="shared" si="82"/>
        <v>2</v>
      </c>
      <c r="AJ714" t="e">
        <f t="shared" si="79"/>
        <v>#N/A</v>
      </c>
      <c r="AK714">
        <f t="shared" si="83"/>
        <v>3</v>
      </c>
      <c r="AL714" t="e">
        <f t="shared" si="80"/>
        <v>#N/A</v>
      </c>
      <c r="AM714">
        <f t="shared" si="84"/>
        <v>4</v>
      </c>
      <c r="AN714" t="e">
        <f t="shared" si="81"/>
        <v>#N/A</v>
      </c>
    </row>
    <row r="715" spans="12:40" x14ac:dyDescent="0.25">
      <c r="L715">
        <v>712</v>
      </c>
      <c r="M715">
        <v>13.28875</v>
      </c>
      <c r="N715">
        <v>13.463125</v>
      </c>
      <c r="O715">
        <v>13.609333333333332</v>
      </c>
      <c r="P715">
        <v>13.883090277777779</v>
      </c>
      <c r="AG715">
        <v>1</v>
      </c>
      <c r="AH715" t="e">
        <f t="shared" si="78"/>
        <v>#N/A</v>
      </c>
      <c r="AI715">
        <f t="shared" si="82"/>
        <v>2</v>
      </c>
      <c r="AJ715" t="e">
        <f t="shared" si="79"/>
        <v>#N/A</v>
      </c>
      <c r="AK715">
        <f t="shared" si="83"/>
        <v>3</v>
      </c>
      <c r="AL715" t="e">
        <f t="shared" si="80"/>
        <v>#N/A</v>
      </c>
      <c r="AM715">
        <f t="shared" si="84"/>
        <v>4</v>
      </c>
      <c r="AN715" t="e">
        <f t="shared" si="81"/>
        <v>#N/A</v>
      </c>
    </row>
    <row r="716" spans="12:40" x14ac:dyDescent="0.25">
      <c r="L716">
        <v>713</v>
      </c>
      <c r="M716">
        <v>13.782500000000001</v>
      </c>
      <c r="N716">
        <v>14.588749999999999</v>
      </c>
      <c r="O716">
        <v>14.074444444444444</v>
      </c>
      <c r="P716">
        <v>13.699541666666667</v>
      </c>
      <c r="AG716">
        <v>1</v>
      </c>
      <c r="AH716" t="e">
        <f t="shared" si="78"/>
        <v>#N/A</v>
      </c>
      <c r="AI716">
        <f t="shared" si="82"/>
        <v>2</v>
      </c>
      <c r="AJ716" t="e">
        <f t="shared" si="79"/>
        <v>#N/A</v>
      </c>
      <c r="AK716">
        <f t="shared" si="83"/>
        <v>3</v>
      </c>
      <c r="AL716" t="e">
        <f t="shared" si="80"/>
        <v>#N/A</v>
      </c>
      <c r="AM716">
        <f t="shared" si="84"/>
        <v>4</v>
      </c>
      <c r="AN716" t="e">
        <f t="shared" si="81"/>
        <v>#N/A</v>
      </c>
    </row>
    <row r="717" spans="12:40" x14ac:dyDescent="0.25">
      <c r="L717">
        <v>714</v>
      </c>
      <c r="M717">
        <v>13.18125</v>
      </c>
      <c r="N717">
        <v>13.573124999999999</v>
      </c>
      <c r="O717">
        <v>14.229972222222223</v>
      </c>
      <c r="P717">
        <v>14.50520138888889</v>
      </c>
      <c r="AG717">
        <v>1</v>
      </c>
      <c r="AH717" t="e">
        <f t="shared" si="78"/>
        <v>#N/A</v>
      </c>
      <c r="AI717">
        <f t="shared" si="82"/>
        <v>2</v>
      </c>
      <c r="AJ717" t="e">
        <f t="shared" si="79"/>
        <v>#N/A</v>
      </c>
      <c r="AK717">
        <f t="shared" si="83"/>
        <v>3</v>
      </c>
      <c r="AL717" t="e">
        <f t="shared" si="80"/>
        <v>#N/A</v>
      </c>
      <c r="AM717">
        <f t="shared" si="84"/>
        <v>4</v>
      </c>
      <c r="AN717" t="e">
        <f t="shared" si="81"/>
        <v>#N/A</v>
      </c>
    </row>
    <row r="718" spans="12:40" x14ac:dyDescent="0.25">
      <c r="L718">
        <v>715</v>
      </c>
      <c r="M718">
        <v>13.20875</v>
      </c>
      <c r="N718">
        <v>13.915625</v>
      </c>
      <c r="O718">
        <v>14.30477777777778</v>
      </c>
      <c r="P718">
        <v>14.524854166666664</v>
      </c>
      <c r="AG718">
        <v>1</v>
      </c>
      <c r="AH718" t="e">
        <f t="shared" si="78"/>
        <v>#N/A</v>
      </c>
      <c r="AI718">
        <f t="shared" si="82"/>
        <v>2</v>
      </c>
      <c r="AJ718" t="e">
        <f t="shared" si="79"/>
        <v>#N/A</v>
      </c>
      <c r="AK718">
        <f t="shared" si="83"/>
        <v>3</v>
      </c>
      <c r="AL718" t="e">
        <f t="shared" si="80"/>
        <v>#N/A</v>
      </c>
      <c r="AM718">
        <f t="shared" si="84"/>
        <v>4</v>
      </c>
      <c r="AN718" t="e">
        <f t="shared" si="81"/>
        <v>#N/A</v>
      </c>
    </row>
    <row r="719" spans="12:40" x14ac:dyDescent="0.25">
      <c r="L719">
        <v>716</v>
      </c>
      <c r="M719">
        <v>15.206250000000001</v>
      </c>
      <c r="N719">
        <v>14.574375</v>
      </c>
      <c r="O719">
        <v>15.022416666666668</v>
      </c>
      <c r="P719">
        <v>13.986652777777779</v>
      </c>
      <c r="AG719">
        <v>1</v>
      </c>
      <c r="AH719" t="e">
        <f t="shared" si="78"/>
        <v>#N/A</v>
      </c>
      <c r="AI719">
        <f t="shared" si="82"/>
        <v>2</v>
      </c>
      <c r="AJ719" t="e">
        <f t="shared" si="79"/>
        <v>#N/A</v>
      </c>
      <c r="AK719">
        <f t="shared" si="83"/>
        <v>3</v>
      </c>
      <c r="AL719" t="e">
        <f t="shared" si="80"/>
        <v>#N/A</v>
      </c>
      <c r="AM719">
        <f t="shared" si="84"/>
        <v>4</v>
      </c>
      <c r="AN719" t="e">
        <f t="shared" si="81"/>
        <v>#N/A</v>
      </c>
    </row>
    <row r="720" spans="12:40" x14ac:dyDescent="0.25">
      <c r="L720">
        <v>717</v>
      </c>
      <c r="M720">
        <v>13.39625</v>
      </c>
      <c r="N720">
        <v>14.72125</v>
      </c>
      <c r="O720">
        <v>13.311569444444446</v>
      </c>
      <c r="P720">
        <v>13.676493055555554</v>
      </c>
      <c r="AG720">
        <v>1</v>
      </c>
      <c r="AH720" t="e">
        <f t="shared" si="78"/>
        <v>#N/A</v>
      </c>
      <c r="AI720">
        <f t="shared" si="82"/>
        <v>2</v>
      </c>
      <c r="AJ720" t="e">
        <f t="shared" si="79"/>
        <v>#N/A</v>
      </c>
      <c r="AK720">
        <f t="shared" si="83"/>
        <v>3</v>
      </c>
      <c r="AL720" t="e">
        <f t="shared" si="80"/>
        <v>#N/A</v>
      </c>
      <c r="AM720">
        <f t="shared" si="84"/>
        <v>4</v>
      </c>
      <c r="AN720" t="e">
        <f t="shared" si="81"/>
        <v>#N/A</v>
      </c>
    </row>
    <row r="721" spans="12:40" x14ac:dyDescent="0.25">
      <c r="L721">
        <v>718</v>
      </c>
      <c r="M721">
        <v>15.21875</v>
      </c>
      <c r="N721">
        <v>14.798125000000001</v>
      </c>
      <c r="O721">
        <v>14.319347222222223</v>
      </c>
      <c r="P721">
        <v>14.50176388888889</v>
      </c>
      <c r="AG721">
        <v>1</v>
      </c>
      <c r="AH721" t="e">
        <f t="shared" si="78"/>
        <v>#N/A</v>
      </c>
      <c r="AI721">
        <f t="shared" si="82"/>
        <v>2</v>
      </c>
      <c r="AJ721" t="e">
        <f t="shared" si="79"/>
        <v>#N/A</v>
      </c>
      <c r="AK721">
        <f t="shared" si="83"/>
        <v>3</v>
      </c>
      <c r="AL721" t="e">
        <f t="shared" si="80"/>
        <v>#N/A</v>
      </c>
      <c r="AM721">
        <f t="shared" si="84"/>
        <v>4</v>
      </c>
      <c r="AN721" t="e">
        <f t="shared" si="81"/>
        <v>#N/A</v>
      </c>
    </row>
    <row r="722" spans="12:40" x14ac:dyDescent="0.25">
      <c r="L722">
        <v>719</v>
      </c>
      <c r="M722">
        <v>13.355</v>
      </c>
      <c r="N722">
        <v>14.102499999999999</v>
      </c>
      <c r="O722">
        <v>13.958208333333335</v>
      </c>
      <c r="P722">
        <v>14.213659722222221</v>
      </c>
      <c r="AG722">
        <v>1</v>
      </c>
      <c r="AH722" t="e">
        <f t="shared" si="78"/>
        <v>#N/A</v>
      </c>
      <c r="AI722">
        <f t="shared" si="82"/>
        <v>2</v>
      </c>
      <c r="AJ722" t="e">
        <f t="shared" si="79"/>
        <v>#N/A</v>
      </c>
      <c r="AK722">
        <f t="shared" si="83"/>
        <v>3</v>
      </c>
      <c r="AL722" t="e">
        <f t="shared" si="80"/>
        <v>#N/A</v>
      </c>
      <c r="AM722">
        <f t="shared" si="84"/>
        <v>4</v>
      </c>
      <c r="AN722" t="e">
        <f t="shared" si="81"/>
        <v>#N/A</v>
      </c>
    </row>
    <row r="723" spans="12:40" x14ac:dyDescent="0.25">
      <c r="L723">
        <v>720</v>
      </c>
      <c r="M723">
        <v>12.90875</v>
      </c>
      <c r="N723">
        <v>13.779375</v>
      </c>
      <c r="O723">
        <v>13.705777777777778</v>
      </c>
      <c r="P723">
        <v>13.726868055555556</v>
      </c>
      <c r="AG723">
        <v>1</v>
      </c>
      <c r="AH723" t="e">
        <f t="shared" si="78"/>
        <v>#N/A</v>
      </c>
      <c r="AI723">
        <f t="shared" si="82"/>
        <v>2</v>
      </c>
      <c r="AJ723" t="e">
        <f t="shared" si="79"/>
        <v>#N/A</v>
      </c>
      <c r="AK723">
        <f t="shared" si="83"/>
        <v>3</v>
      </c>
      <c r="AL723" t="e">
        <f t="shared" si="80"/>
        <v>#N/A</v>
      </c>
      <c r="AM723">
        <f t="shared" si="84"/>
        <v>4</v>
      </c>
      <c r="AN723" t="e">
        <f t="shared" si="81"/>
        <v>#N/A</v>
      </c>
    </row>
    <row r="724" spans="12:40" x14ac:dyDescent="0.25">
      <c r="L724">
        <v>721</v>
      </c>
      <c r="M724">
        <v>14.835000000000001</v>
      </c>
      <c r="N724">
        <v>13.611875</v>
      </c>
      <c r="O724">
        <v>13.516791666666666</v>
      </c>
      <c r="P724">
        <v>13.349618055555556</v>
      </c>
      <c r="AG724">
        <v>1</v>
      </c>
      <c r="AH724" t="e">
        <f t="shared" si="78"/>
        <v>#N/A</v>
      </c>
      <c r="AI724">
        <f t="shared" si="82"/>
        <v>2</v>
      </c>
      <c r="AJ724" t="e">
        <f t="shared" si="79"/>
        <v>#N/A</v>
      </c>
      <c r="AK724">
        <f t="shared" si="83"/>
        <v>3</v>
      </c>
      <c r="AL724" t="e">
        <f t="shared" si="80"/>
        <v>#N/A</v>
      </c>
      <c r="AM724">
        <f t="shared" si="84"/>
        <v>4</v>
      </c>
      <c r="AN724" t="e">
        <f t="shared" si="81"/>
        <v>#N/A</v>
      </c>
    </row>
    <row r="725" spans="12:40" x14ac:dyDescent="0.25">
      <c r="L725">
        <v>722</v>
      </c>
      <c r="M725">
        <v>14.4725</v>
      </c>
      <c r="N725">
        <v>14.435</v>
      </c>
      <c r="O725">
        <v>15.113444444444445</v>
      </c>
      <c r="P725">
        <v>14.443888888888889</v>
      </c>
      <c r="AG725">
        <v>1</v>
      </c>
      <c r="AH725" t="e">
        <f t="shared" si="78"/>
        <v>#N/A</v>
      </c>
      <c r="AI725">
        <f t="shared" si="82"/>
        <v>2</v>
      </c>
      <c r="AJ725" t="e">
        <f t="shared" si="79"/>
        <v>#N/A</v>
      </c>
      <c r="AK725">
        <f t="shared" si="83"/>
        <v>3</v>
      </c>
      <c r="AL725" t="e">
        <f t="shared" si="80"/>
        <v>#N/A</v>
      </c>
      <c r="AM725">
        <f t="shared" si="84"/>
        <v>4</v>
      </c>
      <c r="AN725" t="e">
        <f t="shared" si="81"/>
        <v>#N/A</v>
      </c>
    </row>
    <row r="726" spans="12:40" x14ac:dyDescent="0.25">
      <c r="L726">
        <v>723</v>
      </c>
      <c r="M726">
        <v>12.88875</v>
      </c>
      <c r="N726">
        <v>13.202500000000001</v>
      </c>
      <c r="O726">
        <v>13.785638888888887</v>
      </c>
      <c r="P726">
        <v>13.799423611111111</v>
      </c>
      <c r="AG726">
        <v>1</v>
      </c>
      <c r="AH726" t="e">
        <f t="shared" si="78"/>
        <v>#N/A</v>
      </c>
      <c r="AI726">
        <f t="shared" si="82"/>
        <v>2</v>
      </c>
      <c r="AJ726" t="e">
        <f t="shared" si="79"/>
        <v>#N/A</v>
      </c>
      <c r="AK726">
        <f t="shared" si="83"/>
        <v>3</v>
      </c>
      <c r="AL726" t="e">
        <f t="shared" si="80"/>
        <v>#N/A</v>
      </c>
      <c r="AM726">
        <f t="shared" si="84"/>
        <v>4</v>
      </c>
      <c r="AN726" t="e">
        <f t="shared" si="81"/>
        <v>#N/A</v>
      </c>
    </row>
    <row r="727" spans="12:40" x14ac:dyDescent="0.25">
      <c r="L727">
        <v>724</v>
      </c>
      <c r="M727">
        <v>15.315</v>
      </c>
      <c r="N727">
        <v>14.361875</v>
      </c>
      <c r="O727">
        <v>14.094916666666668</v>
      </c>
      <c r="P727">
        <v>13.830013888888887</v>
      </c>
      <c r="AG727">
        <v>1</v>
      </c>
      <c r="AH727" t="e">
        <f t="shared" si="78"/>
        <v>#N/A</v>
      </c>
      <c r="AI727">
        <f t="shared" si="82"/>
        <v>2</v>
      </c>
      <c r="AJ727" t="e">
        <f t="shared" si="79"/>
        <v>#N/A</v>
      </c>
      <c r="AK727">
        <f t="shared" si="83"/>
        <v>3</v>
      </c>
      <c r="AL727" t="e">
        <f t="shared" si="80"/>
        <v>#N/A</v>
      </c>
      <c r="AM727">
        <f t="shared" si="84"/>
        <v>4</v>
      </c>
      <c r="AN727" t="e">
        <f t="shared" si="81"/>
        <v>#N/A</v>
      </c>
    </row>
    <row r="728" spans="12:40" x14ac:dyDescent="0.25">
      <c r="L728">
        <v>725</v>
      </c>
      <c r="M728">
        <v>14.00375</v>
      </c>
      <c r="N728">
        <v>13.133125</v>
      </c>
      <c r="O728">
        <v>12.736583333333334</v>
      </c>
      <c r="P728">
        <v>13.073548611111109</v>
      </c>
      <c r="AG728">
        <v>1</v>
      </c>
      <c r="AH728" t="e">
        <f t="shared" si="78"/>
        <v>#N/A</v>
      </c>
      <c r="AI728">
        <f t="shared" si="82"/>
        <v>2</v>
      </c>
      <c r="AJ728" t="e">
        <f t="shared" si="79"/>
        <v>#N/A</v>
      </c>
      <c r="AK728">
        <f t="shared" si="83"/>
        <v>3</v>
      </c>
      <c r="AL728" t="e">
        <f t="shared" si="80"/>
        <v>#N/A</v>
      </c>
      <c r="AM728">
        <f t="shared" si="84"/>
        <v>4</v>
      </c>
      <c r="AN728">
        <f t="shared" si="81"/>
        <v>13.073548611111109</v>
      </c>
    </row>
    <row r="729" spans="12:40" x14ac:dyDescent="0.25">
      <c r="L729">
        <v>726</v>
      </c>
      <c r="M729">
        <v>13.532500000000001</v>
      </c>
      <c r="N729">
        <v>14.0275</v>
      </c>
      <c r="O729">
        <v>13.699124999999999</v>
      </c>
      <c r="P729">
        <v>13.992854166666667</v>
      </c>
      <c r="AG729">
        <v>1</v>
      </c>
      <c r="AH729" t="e">
        <f t="shared" si="78"/>
        <v>#N/A</v>
      </c>
      <c r="AI729">
        <f t="shared" si="82"/>
        <v>2</v>
      </c>
      <c r="AJ729" t="e">
        <f t="shared" si="79"/>
        <v>#N/A</v>
      </c>
      <c r="AK729">
        <f t="shared" si="83"/>
        <v>3</v>
      </c>
      <c r="AL729" t="e">
        <f t="shared" si="80"/>
        <v>#N/A</v>
      </c>
      <c r="AM729">
        <f t="shared" si="84"/>
        <v>4</v>
      </c>
      <c r="AN729" t="e">
        <f t="shared" si="81"/>
        <v>#N/A</v>
      </c>
    </row>
    <row r="730" spans="12:40" x14ac:dyDescent="0.25">
      <c r="L730">
        <v>727</v>
      </c>
      <c r="M730">
        <v>14.55875</v>
      </c>
      <c r="N730">
        <v>15.296875</v>
      </c>
      <c r="O730">
        <v>14.581138888888885</v>
      </c>
      <c r="P730">
        <v>14.388381944444445</v>
      </c>
      <c r="AG730">
        <v>1</v>
      </c>
      <c r="AH730" t="e">
        <f t="shared" si="78"/>
        <v>#N/A</v>
      </c>
      <c r="AI730">
        <f t="shared" si="82"/>
        <v>2</v>
      </c>
      <c r="AJ730" t="e">
        <f t="shared" si="79"/>
        <v>#N/A</v>
      </c>
      <c r="AK730">
        <f t="shared" si="83"/>
        <v>3</v>
      </c>
      <c r="AL730" t="e">
        <f t="shared" si="80"/>
        <v>#N/A</v>
      </c>
      <c r="AM730">
        <f t="shared" si="84"/>
        <v>4</v>
      </c>
      <c r="AN730" t="e">
        <f t="shared" si="81"/>
        <v>#N/A</v>
      </c>
    </row>
    <row r="731" spans="12:40" x14ac:dyDescent="0.25">
      <c r="L731">
        <v>728</v>
      </c>
      <c r="M731">
        <v>14.786250000000001</v>
      </c>
      <c r="N731">
        <v>13.57375</v>
      </c>
      <c r="O731">
        <v>14.277680555555555</v>
      </c>
      <c r="P731">
        <v>14.058055555555557</v>
      </c>
      <c r="AG731">
        <v>1</v>
      </c>
      <c r="AH731" t="e">
        <f t="shared" si="78"/>
        <v>#N/A</v>
      </c>
      <c r="AI731">
        <f t="shared" si="82"/>
        <v>2</v>
      </c>
      <c r="AJ731" t="e">
        <f t="shared" si="79"/>
        <v>#N/A</v>
      </c>
      <c r="AK731">
        <f t="shared" si="83"/>
        <v>3</v>
      </c>
      <c r="AL731" t="e">
        <f t="shared" si="80"/>
        <v>#N/A</v>
      </c>
      <c r="AM731">
        <f t="shared" si="84"/>
        <v>4</v>
      </c>
      <c r="AN731" t="e">
        <f t="shared" si="81"/>
        <v>#N/A</v>
      </c>
    </row>
    <row r="732" spans="12:40" x14ac:dyDescent="0.25">
      <c r="L732">
        <v>729</v>
      </c>
      <c r="M732">
        <v>15.796250000000001</v>
      </c>
      <c r="N732">
        <v>16.151250000000001</v>
      </c>
      <c r="O732">
        <v>14.099583333333333</v>
      </c>
      <c r="P732">
        <v>13.875416666666665</v>
      </c>
      <c r="AG732">
        <v>1</v>
      </c>
      <c r="AH732" t="e">
        <f t="shared" si="78"/>
        <v>#N/A</v>
      </c>
      <c r="AI732">
        <f t="shared" si="82"/>
        <v>2</v>
      </c>
      <c r="AJ732">
        <f t="shared" si="79"/>
        <v>16.151250000000001</v>
      </c>
      <c r="AK732">
        <f t="shared" si="83"/>
        <v>3</v>
      </c>
      <c r="AL732" t="e">
        <f t="shared" si="80"/>
        <v>#N/A</v>
      </c>
      <c r="AM732">
        <f t="shared" si="84"/>
        <v>4</v>
      </c>
      <c r="AN732" t="e">
        <f t="shared" si="81"/>
        <v>#N/A</v>
      </c>
    </row>
    <row r="733" spans="12:40" x14ac:dyDescent="0.25">
      <c r="L733">
        <v>730</v>
      </c>
      <c r="M733">
        <v>14.268750000000001</v>
      </c>
      <c r="N733">
        <v>14.015625</v>
      </c>
      <c r="O733">
        <v>13.887361111111112</v>
      </c>
      <c r="P733">
        <v>14.210986111111113</v>
      </c>
      <c r="AG733">
        <v>1</v>
      </c>
      <c r="AH733" t="e">
        <f t="shared" si="78"/>
        <v>#N/A</v>
      </c>
      <c r="AI733">
        <f t="shared" si="82"/>
        <v>2</v>
      </c>
      <c r="AJ733" t="e">
        <f t="shared" si="79"/>
        <v>#N/A</v>
      </c>
      <c r="AK733">
        <f t="shared" si="83"/>
        <v>3</v>
      </c>
      <c r="AL733" t="e">
        <f t="shared" si="80"/>
        <v>#N/A</v>
      </c>
      <c r="AM733">
        <f t="shared" si="84"/>
        <v>4</v>
      </c>
      <c r="AN733" t="e">
        <f t="shared" si="81"/>
        <v>#N/A</v>
      </c>
    </row>
    <row r="734" spans="12:40" x14ac:dyDescent="0.25">
      <c r="L734">
        <v>731</v>
      </c>
      <c r="M734">
        <v>13.6875</v>
      </c>
      <c r="N734">
        <v>14.281874999999999</v>
      </c>
      <c r="O734">
        <v>14.394430555555555</v>
      </c>
      <c r="P734">
        <v>14.357354166666664</v>
      </c>
      <c r="AG734">
        <v>1</v>
      </c>
      <c r="AH734" t="e">
        <f t="shared" si="78"/>
        <v>#N/A</v>
      </c>
      <c r="AI734">
        <f t="shared" si="82"/>
        <v>2</v>
      </c>
      <c r="AJ734" t="e">
        <f t="shared" si="79"/>
        <v>#N/A</v>
      </c>
      <c r="AK734">
        <f t="shared" si="83"/>
        <v>3</v>
      </c>
      <c r="AL734" t="e">
        <f t="shared" si="80"/>
        <v>#N/A</v>
      </c>
      <c r="AM734">
        <f t="shared" si="84"/>
        <v>4</v>
      </c>
      <c r="AN734" t="e">
        <f t="shared" si="81"/>
        <v>#N/A</v>
      </c>
    </row>
    <row r="735" spans="12:40" x14ac:dyDescent="0.25">
      <c r="L735">
        <v>732</v>
      </c>
      <c r="M735">
        <v>13.39</v>
      </c>
      <c r="N735">
        <v>14.428125</v>
      </c>
      <c r="O735">
        <v>13.854083333333335</v>
      </c>
      <c r="P735">
        <v>13.549111111111113</v>
      </c>
      <c r="AG735">
        <v>1</v>
      </c>
      <c r="AH735" t="e">
        <f t="shared" si="78"/>
        <v>#N/A</v>
      </c>
      <c r="AI735">
        <f t="shared" si="82"/>
        <v>2</v>
      </c>
      <c r="AJ735" t="e">
        <f t="shared" si="79"/>
        <v>#N/A</v>
      </c>
      <c r="AK735">
        <f t="shared" si="83"/>
        <v>3</v>
      </c>
      <c r="AL735" t="e">
        <f t="shared" si="80"/>
        <v>#N/A</v>
      </c>
      <c r="AM735">
        <f t="shared" si="84"/>
        <v>4</v>
      </c>
      <c r="AN735" t="e">
        <f t="shared" si="81"/>
        <v>#N/A</v>
      </c>
    </row>
    <row r="736" spans="12:40" x14ac:dyDescent="0.25">
      <c r="L736">
        <v>733</v>
      </c>
      <c r="M736">
        <v>14.251250000000001</v>
      </c>
      <c r="N736">
        <v>13.85125</v>
      </c>
      <c r="O736">
        <v>14.076666666666664</v>
      </c>
      <c r="P736">
        <v>13.900909722222222</v>
      </c>
      <c r="AG736">
        <v>1</v>
      </c>
      <c r="AH736" t="e">
        <f t="shared" si="78"/>
        <v>#N/A</v>
      </c>
      <c r="AI736">
        <f t="shared" si="82"/>
        <v>2</v>
      </c>
      <c r="AJ736" t="e">
        <f t="shared" si="79"/>
        <v>#N/A</v>
      </c>
      <c r="AK736">
        <f t="shared" si="83"/>
        <v>3</v>
      </c>
      <c r="AL736" t="e">
        <f t="shared" si="80"/>
        <v>#N/A</v>
      </c>
      <c r="AM736">
        <f t="shared" si="84"/>
        <v>4</v>
      </c>
      <c r="AN736" t="e">
        <f t="shared" si="81"/>
        <v>#N/A</v>
      </c>
    </row>
    <row r="737" spans="12:40" x14ac:dyDescent="0.25">
      <c r="L737">
        <v>734</v>
      </c>
      <c r="M737">
        <v>15.391249999999999</v>
      </c>
      <c r="N737">
        <v>15.55875</v>
      </c>
      <c r="O737">
        <v>14.872291666666666</v>
      </c>
      <c r="P737">
        <v>14.612500000000001</v>
      </c>
      <c r="AG737">
        <v>1</v>
      </c>
      <c r="AH737" t="e">
        <f t="shared" si="78"/>
        <v>#N/A</v>
      </c>
      <c r="AI737">
        <f t="shared" si="82"/>
        <v>2</v>
      </c>
      <c r="AJ737" t="e">
        <f t="shared" si="79"/>
        <v>#N/A</v>
      </c>
      <c r="AK737">
        <f t="shared" si="83"/>
        <v>3</v>
      </c>
      <c r="AL737" t="e">
        <f t="shared" si="80"/>
        <v>#N/A</v>
      </c>
      <c r="AM737">
        <f t="shared" si="84"/>
        <v>4</v>
      </c>
      <c r="AN737" t="e">
        <f t="shared" si="81"/>
        <v>#N/A</v>
      </c>
    </row>
    <row r="738" spans="12:40" x14ac:dyDescent="0.25">
      <c r="L738">
        <v>735</v>
      </c>
      <c r="M738">
        <v>13.53875</v>
      </c>
      <c r="N738">
        <v>14.040625</v>
      </c>
      <c r="O738">
        <v>14.451944444444443</v>
      </c>
      <c r="P738">
        <v>14.006847222222223</v>
      </c>
      <c r="AG738">
        <v>1</v>
      </c>
      <c r="AH738" t="e">
        <f t="shared" si="78"/>
        <v>#N/A</v>
      </c>
      <c r="AI738">
        <f t="shared" si="82"/>
        <v>2</v>
      </c>
      <c r="AJ738" t="e">
        <f t="shared" si="79"/>
        <v>#N/A</v>
      </c>
      <c r="AK738">
        <f t="shared" si="83"/>
        <v>3</v>
      </c>
      <c r="AL738" t="e">
        <f t="shared" si="80"/>
        <v>#N/A</v>
      </c>
      <c r="AM738">
        <f t="shared" si="84"/>
        <v>4</v>
      </c>
      <c r="AN738" t="e">
        <f t="shared" si="81"/>
        <v>#N/A</v>
      </c>
    </row>
    <row r="739" spans="12:40" x14ac:dyDescent="0.25">
      <c r="L739">
        <v>736</v>
      </c>
      <c r="M739">
        <v>12.03375</v>
      </c>
      <c r="N739">
        <v>12.0025</v>
      </c>
      <c r="O739">
        <v>13.678750000000001</v>
      </c>
      <c r="P739">
        <v>13.918138888888889</v>
      </c>
      <c r="AG739">
        <v>1</v>
      </c>
      <c r="AH739" t="e">
        <f t="shared" si="78"/>
        <v>#N/A</v>
      </c>
      <c r="AI739">
        <f t="shared" si="82"/>
        <v>2</v>
      </c>
      <c r="AJ739">
        <f t="shared" si="79"/>
        <v>12.0025</v>
      </c>
      <c r="AK739">
        <f t="shared" si="83"/>
        <v>3</v>
      </c>
      <c r="AL739" t="e">
        <f t="shared" si="80"/>
        <v>#N/A</v>
      </c>
      <c r="AM739">
        <f t="shared" si="84"/>
        <v>4</v>
      </c>
      <c r="AN739" t="e">
        <f t="shared" si="81"/>
        <v>#N/A</v>
      </c>
    </row>
    <row r="740" spans="12:40" x14ac:dyDescent="0.25">
      <c r="L740">
        <v>737</v>
      </c>
      <c r="M740">
        <v>14.225</v>
      </c>
      <c r="N740">
        <v>14.494999999999999</v>
      </c>
      <c r="O740">
        <v>13.70825</v>
      </c>
      <c r="P740">
        <v>14.571868055555555</v>
      </c>
      <c r="AG740">
        <v>1</v>
      </c>
      <c r="AH740" t="e">
        <f t="shared" si="78"/>
        <v>#N/A</v>
      </c>
      <c r="AI740">
        <f t="shared" si="82"/>
        <v>2</v>
      </c>
      <c r="AJ740" t="e">
        <f t="shared" si="79"/>
        <v>#N/A</v>
      </c>
      <c r="AK740">
        <f t="shared" si="83"/>
        <v>3</v>
      </c>
      <c r="AL740" t="e">
        <f t="shared" si="80"/>
        <v>#N/A</v>
      </c>
      <c r="AM740">
        <f t="shared" si="84"/>
        <v>4</v>
      </c>
      <c r="AN740" t="e">
        <f t="shared" si="81"/>
        <v>#N/A</v>
      </c>
    </row>
    <row r="741" spans="12:40" x14ac:dyDescent="0.25">
      <c r="L741">
        <v>738</v>
      </c>
      <c r="M741">
        <v>15.27875</v>
      </c>
      <c r="N741">
        <v>14.978125</v>
      </c>
      <c r="O741">
        <v>14.533444444444447</v>
      </c>
      <c r="P741">
        <v>14.064888888888886</v>
      </c>
      <c r="AG741">
        <v>1</v>
      </c>
      <c r="AH741" t="e">
        <f t="shared" si="78"/>
        <v>#N/A</v>
      </c>
      <c r="AI741">
        <f t="shared" si="82"/>
        <v>2</v>
      </c>
      <c r="AJ741" t="e">
        <f t="shared" si="79"/>
        <v>#N/A</v>
      </c>
      <c r="AK741">
        <f t="shared" si="83"/>
        <v>3</v>
      </c>
      <c r="AL741" t="e">
        <f t="shared" si="80"/>
        <v>#N/A</v>
      </c>
      <c r="AM741">
        <f t="shared" si="84"/>
        <v>4</v>
      </c>
      <c r="AN741" t="e">
        <f t="shared" si="81"/>
        <v>#N/A</v>
      </c>
    </row>
    <row r="742" spans="12:40" x14ac:dyDescent="0.25">
      <c r="L742">
        <v>739</v>
      </c>
      <c r="M742">
        <v>12.97</v>
      </c>
      <c r="N742">
        <v>13.355625</v>
      </c>
      <c r="O742">
        <v>14.138277777777779</v>
      </c>
      <c r="P742">
        <v>13.74988888888889</v>
      </c>
      <c r="AG742">
        <v>1</v>
      </c>
      <c r="AH742" t="e">
        <f t="shared" si="78"/>
        <v>#N/A</v>
      </c>
      <c r="AI742">
        <f t="shared" si="82"/>
        <v>2</v>
      </c>
      <c r="AJ742" t="e">
        <f t="shared" si="79"/>
        <v>#N/A</v>
      </c>
      <c r="AK742">
        <f t="shared" si="83"/>
        <v>3</v>
      </c>
      <c r="AL742" t="e">
        <f t="shared" si="80"/>
        <v>#N/A</v>
      </c>
      <c r="AM742">
        <f t="shared" si="84"/>
        <v>4</v>
      </c>
      <c r="AN742" t="e">
        <f t="shared" si="81"/>
        <v>#N/A</v>
      </c>
    </row>
    <row r="743" spans="12:40" x14ac:dyDescent="0.25">
      <c r="L743">
        <v>740</v>
      </c>
      <c r="M743">
        <v>13.505000000000001</v>
      </c>
      <c r="N743">
        <v>13.409375000000001</v>
      </c>
      <c r="O743">
        <v>13.08401388888889</v>
      </c>
      <c r="P743">
        <v>13.97726388888889</v>
      </c>
      <c r="AG743">
        <v>1</v>
      </c>
      <c r="AH743" t="e">
        <f t="shared" si="78"/>
        <v>#N/A</v>
      </c>
      <c r="AI743">
        <f t="shared" si="82"/>
        <v>2</v>
      </c>
      <c r="AJ743" t="e">
        <f t="shared" si="79"/>
        <v>#N/A</v>
      </c>
      <c r="AK743">
        <f t="shared" si="83"/>
        <v>3</v>
      </c>
      <c r="AL743" t="e">
        <f t="shared" si="80"/>
        <v>#N/A</v>
      </c>
      <c r="AM743">
        <f t="shared" si="84"/>
        <v>4</v>
      </c>
      <c r="AN743" t="e">
        <f t="shared" si="81"/>
        <v>#N/A</v>
      </c>
    </row>
    <row r="744" spans="12:40" x14ac:dyDescent="0.25">
      <c r="L744">
        <v>741</v>
      </c>
      <c r="M744">
        <v>11.936249999999999</v>
      </c>
      <c r="N744">
        <v>13.104374999999999</v>
      </c>
      <c r="O744">
        <v>14.243180555555558</v>
      </c>
      <c r="P744">
        <v>14.229847222222222</v>
      </c>
      <c r="AG744">
        <v>1</v>
      </c>
      <c r="AH744" t="e">
        <f t="shared" si="78"/>
        <v>#N/A</v>
      </c>
      <c r="AI744">
        <f t="shared" si="82"/>
        <v>2</v>
      </c>
      <c r="AJ744" t="e">
        <f t="shared" si="79"/>
        <v>#N/A</v>
      </c>
      <c r="AK744">
        <f t="shared" si="83"/>
        <v>3</v>
      </c>
      <c r="AL744" t="e">
        <f t="shared" si="80"/>
        <v>#N/A</v>
      </c>
      <c r="AM744">
        <f t="shared" si="84"/>
        <v>4</v>
      </c>
      <c r="AN744" t="e">
        <f t="shared" si="81"/>
        <v>#N/A</v>
      </c>
    </row>
    <row r="745" spans="12:40" x14ac:dyDescent="0.25">
      <c r="L745">
        <v>742</v>
      </c>
      <c r="M745">
        <v>14.612500000000001</v>
      </c>
      <c r="N745">
        <v>13.588125</v>
      </c>
      <c r="O745">
        <v>13.210791666666664</v>
      </c>
      <c r="P745">
        <v>13.582430555555556</v>
      </c>
      <c r="AG745">
        <v>1</v>
      </c>
      <c r="AH745" t="e">
        <f t="shared" si="78"/>
        <v>#N/A</v>
      </c>
      <c r="AI745">
        <f t="shared" si="82"/>
        <v>2</v>
      </c>
      <c r="AJ745" t="e">
        <f t="shared" si="79"/>
        <v>#N/A</v>
      </c>
      <c r="AK745">
        <f t="shared" si="83"/>
        <v>3</v>
      </c>
      <c r="AL745" t="e">
        <f t="shared" si="80"/>
        <v>#N/A</v>
      </c>
      <c r="AM745">
        <f t="shared" si="84"/>
        <v>4</v>
      </c>
      <c r="AN745" t="e">
        <f t="shared" si="81"/>
        <v>#N/A</v>
      </c>
    </row>
    <row r="746" spans="12:40" x14ac:dyDescent="0.25">
      <c r="L746">
        <v>743</v>
      </c>
      <c r="M746">
        <v>13.6625</v>
      </c>
      <c r="N746">
        <v>13.775625</v>
      </c>
      <c r="O746">
        <v>13.814013888888889</v>
      </c>
      <c r="P746">
        <v>13.70813888888889</v>
      </c>
      <c r="AG746">
        <v>1</v>
      </c>
      <c r="AH746" t="e">
        <f t="shared" si="78"/>
        <v>#N/A</v>
      </c>
      <c r="AI746">
        <f t="shared" si="82"/>
        <v>2</v>
      </c>
      <c r="AJ746" t="e">
        <f t="shared" si="79"/>
        <v>#N/A</v>
      </c>
      <c r="AK746">
        <f t="shared" si="83"/>
        <v>3</v>
      </c>
      <c r="AL746" t="e">
        <f t="shared" si="80"/>
        <v>#N/A</v>
      </c>
      <c r="AM746">
        <f t="shared" si="84"/>
        <v>4</v>
      </c>
      <c r="AN746" t="e">
        <f t="shared" si="81"/>
        <v>#N/A</v>
      </c>
    </row>
    <row r="747" spans="12:40" x14ac:dyDescent="0.25">
      <c r="L747">
        <v>744</v>
      </c>
      <c r="M747">
        <v>15.10125</v>
      </c>
      <c r="N747">
        <v>15.528124999999999</v>
      </c>
      <c r="O747">
        <v>14.259472222222222</v>
      </c>
      <c r="P747">
        <v>14.113868055555557</v>
      </c>
      <c r="AG747">
        <v>1</v>
      </c>
      <c r="AH747" t="e">
        <f t="shared" si="78"/>
        <v>#N/A</v>
      </c>
      <c r="AI747">
        <f t="shared" si="82"/>
        <v>2</v>
      </c>
      <c r="AJ747" t="e">
        <f t="shared" si="79"/>
        <v>#N/A</v>
      </c>
      <c r="AK747">
        <f t="shared" si="83"/>
        <v>3</v>
      </c>
      <c r="AL747" t="e">
        <f t="shared" si="80"/>
        <v>#N/A</v>
      </c>
      <c r="AM747">
        <f t="shared" si="84"/>
        <v>4</v>
      </c>
      <c r="AN747" t="e">
        <f t="shared" si="81"/>
        <v>#N/A</v>
      </c>
    </row>
    <row r="748" spans="12:40" x14ac:dyDescent="0.25">
      <c r="L748">
        <v>745</v>
      </c>
      <c r="M748">
        <v>15.494999999999999</v>
      </c>
      <c r="N748">
        <v>15.1775</v>
      </c>
      <c r="O748">
        <v>14.831958333333334</v>
      </c>
      <c r="P748">
        <v>13.774437499999999</v>
      </c>
      <c r="AG748">
        <v>1</v>
      </c>
      <c r="AH748" t="e">
        <f t="shared" si="78"/>
        <v>#N/A</v>
      </c>
      <c r="AI748">
        <f t="shared" si="82"/>
        <v>2</v>
      </c>
      <c r="AJ748" t="e">
        <f t="shared" si="79"/>
        <v>#N/A</v>
      </c>
      <c r="AK748">
        <f t="shared" si="83"/>
        <v>3</v>
      </c>
      <c r="AL748" t="e">
        <f t="shared" si="80"/>
        <v>#N/A</v>
      </c>
      <c r="AM748">
        <f t="shared" si="84"/>
        <v>4</v>
      </c>
      <c r="AN748" t="e">
        <f t="shared" si="81"/>
        <v>#N/A</v>
      </c>
    </row>
    <row r="749" spans="12:40" x14ac:dyDescent="0.25">
      <c r="L749">
        <v>746</v>
      </c>
      <c r="M749">
        <v>14.036250000000001</v>
      </c>
      <c r="N749">
        <v>15.331250000000001</v>
      </c>
      <c r="O749">
        <v>15.309458333333334</v>
      </c>
      <c r="P749">
        <v>14.297993055555558</v>
      </c>
      <c r="AG749">
        <v>1</v>
      </c>
      <c r="AH749" t="e">
        <f t="shared" si="78"/>
        <v>#N/A</v>
      </c>
      <c r="AI749">
        <f t="shared" si="82"/>
        <v>2</v>
      </c>
      <c r="AJ749" t="e">
        <f t="shared" si="79"/>
        <v>#N/A</v>
      </c>
      <c r="AK749">
        <f t="shared" si="83"/>
        <v>3</v>
      </c>
      <c r="AL749" t="e">
        <f t="shared" si="80"/>
        <v>#N/A</v>
      </c>
      <c r="AM749">
        <f t="shared" si="84"/>
        <v>4</v>
      </c>
      <c r="AN749" t="e">
        <f t="shared" si="81"/>
        <v>#N/A</v>
      </c>
    </row>
    <row r="750" spans="12:40" x14ac:dyDescent="0.25">
      <c r="L750">
        <v>747</v>
      </c>
      <c r="M750">
        <v>14.307499999999999</v>
      </c>
      <c r="N750">
        <v>13.85</v>
      </c>
      <c r="O750">
        <v>14.002944444444443</v>
      </c>
      <c r="P750">
        <v>13.999937500000001</v>
      </c>
      <c r="AG750">
        <v>1</v>
      </c>
      <c r="AH750" t="e">
        <f t="shared" si="78"/>
        <v>#N/A</v>
      </c>
      <c r="AI750">
        <f t="shared" si="82"/>
        <v>2</v>
      </c>
      <c r="AJ750" t="e">
        <f t="shared" si="79"/>
        <v>#N/A</v>
      </c>
      <c r="AK750">
        <f t="shared" si="83"/>
        <v>3</v>
      </c>
      <c r="AL750" t="e">
        <f t="shared" si="80"/>
        <v>#N/A</v>
      </c>
      <c r="AM750">
        <f t="shared" si="84"/>
        <v>4</v>
      </c>
      <c r="AN750" t="e">
        <f t="shared" si="81"/>
        <v>#N/A</v>
      </c>
    </row>
    <row r="751" spans="12:40" x14ac:dyDescent="0.25">
      <c r="L751">
        <v>748</v>
      </c>
      <c r="M751">
        <v>13.52875</v>
      </c>
      <c r="N751">
        <v>14.46125</v>
      </c>
      <c r="O751">
        <v>14.044902777777779</v>
      </c>
      <c r="P751">
        <v>13.792513888888889</v>
      </c>
      <c r="AG751">
        <v>1</v>
      </c>
      <c r="AH751" t="e">
        <f t="shared" si="78"/>
        <v>#N/A</v>
      </c>
      <c r="AI751">
        <f t="shared" si="82"/>
        <v>2</v>
      </c>
      <c r="AJ751" t="e">
        <f t="shared" si="79"/>
        <v>#N/A</v>
      </c>
      <c r="AK751">
        <f t="shared" si="83"/>
        <v>3</v>
      </c>
      <c r="AL751" t="e">
        <f t="shared" si="80"/>
        <v>#N/A</v>
      </c>
      <c r="AM751">
        <f t="shared" si="84"/>
        <v>4</v>
      </c>
      <c r="AN751" t="e">
        <f t="shared" si="81"/>
        <v>#N/A</v>
      </c>
    </row>
    <row r="752" spans="12:40" x14ac:dyDescent="0.25">
      <c r="L752">
        <v>749</v>
      </c>
      <c r="M752">
        <v>13.4125</v>
      </c>
      <c r="N752">
        <v>14.628125000000001</v>
      </c>
      <c r="O752">
        <v>14.382555555555557</v>
      </c>
      <c r="P752">
        <v>14.636284722222221</v>
      </c>
      <c r="AG752">
        <v>1</v>
      </c>
      <c r="AH752" t="e">
        <f t="shared" si="78"/>
        <v>#N/A</v>
      </c>
      <c r="AI752">
        <f t="shared" si="82"/>
        <v>2</v>
      </c>
      <c r="AJ752" t="e">
        <f t="shared" si="79"/>
        <v>#N/A</v>
      </c>
      <c r="AK752">
        <f t="shared" si="83"/>
        <v>3</v>
      </c>
      <c r="AL752" t="e">
        <f t="shared" si="80"/>
        <v>#N/A</v>
      </c>
      <c r="AM752">
        <f t="shared" si="84"/>
        <v>4</v>
      </c>
      <c r="AN752" t="e">
        <f t="shared" si="81"/>
        <v>#N/A</v>
      </c>
    </row>
    <row r="753" spans="12:40" x14ac:dyDescent="0.25">
      <c r="L753">
        <v>750</v>
      </c>
      <c r="M753">
        <v>14.862500000000001</v>
      </c>
      <c r="N753">
        <v>14.636875</v>
      </c>
      <c r="O753">
        <v>14.36348611111111</v>
      </c>
      <c r="P753">
        <v>14.561333333333334</v>
      </c>
      <c r="AG753">
        <v>1</v>
      </c>
      <c r="AH753" t="e">
        <f t="shared" si="78"/>
        <v>#N/A</v>
      </c>
      <c r="AI753">
        <f t="shared" si="82"/>
        <v>2</v>
      </c>
      <c r="AJ753" t="e">
        <f t="shared" si="79"/>
        <v>#N/A</v>
      </c>
      <c r="AK753">
        <f t="shared" si="83"/>
        <v>3</v>
      </c>
      <c r="AL753" t="e">
        <f t="shared" si="80"/>
        <v>#N/A</v>
      </c>
      <c r="AM753">
        <f t="shared" si="84"/>
        <v>4</v>
      </c>
      <c r="AN753" t="e">
        <f t="shared" si="81"/>
        <v>#N/A</v>
      </c>
    </row>
    <row r="754" spans="12:40" x14ac:dyDescent="0.25">
      <c r="L754">
        <v>751</v>
      </c>
      <c r="M754">
        <v>11.953749999999999</v>
      </c>
      <c r="N754">
        <v>11.95</v>
      </c>
      <c r="O754">
        <v>13.002055555555556</v>
      </c>
      <c r="P754">
        <v>13.725930555555555</v>
      </c>
      <c r="AG754">
        <v>1</v>
      </c>
      <c r="AH754" t="e">
        <f t="shared" si="78"/>
        <v>#N/A</v>
      </c>
      <c r="AI754">
        <f t="shared" si="82"/>
        <v>2</v>
      </c>
      <c r="AJ754">
        <f t="shared" si="79"/>
        <v>11.95</v>
      </c>
      <c r="AK754">
        <f t="shared" si="83"/>
        <v>3</v>
      </c>
      <c r="AL754" t="e">
        <f t="shared" si="80"/>
        <v>#N/A</v>
      </c>
      <c r="AM754">
        <f t="shared" si="84"/>
        <v>4</v>
      </c>
      <c r="AN754" t="e">
        <f t="shared" si="81"/>
        <v>#N/A</v>
      </c>
    </row>
    <row r="755" spans="12:40" x14ac:dyDescent="0.25">
      <c r="L755">
        <v>752</v>
      </c>
      <c r="M755">
        <v>14.91</v>
      </c>
      <c r="N755">
        <v>14.28125</v>
      </c>
      <c r="O755">
        <v>12.831152777777778</v>
      </c>
      <c r="P755">
        <v>12.916236111111111</v>
      </c>
      <c r="AG755">
        <v>1</v>
      </c>
      <c r="AH755" t="e">
        <f t="shared" si="78"/>
        <v>#N/A</v>
      </c>
      <c r="AI755">
        <f t="shared" si="82"/>
        <v>2</v>
      </c>
      <c r="AJ755" t="e">
        <f t="shared" si="79"/>
        <v>#N/A</v>
      </c>
      <c r="AK755">
        <f t="shared" si="83"/>
        <v>3</v>
      </c>
      <c r="AL755" t="e">
        <f t="shared" si="80"/>
        <v>#N/A</v>
      </c>
      <c r="AM755">
        <f t="shared" si="84"/>
        <v>4</v>
      </c>
      <c r="AN755">
        <f t="shared" si="81"/>
        <v>12.916236111111111</v>
      </c>
    </row>
    <row r="756" spans="12:40" x14ac:dyDescent="0.25">
      <c r="L756">
        <v>753</v>
      </c>
      <c r="M756">
        <v>13.782500000000001</v>
      </c>
      <c r="N756">
        <v>13.936249999999999</v>
      </c>
      <c r="O756">
        <v>13.703916666666666</v>
      </c>
      <c r="P756">
        <v>13.96790972222222</v>
      </c>
      <c r="AG756">
        <v>1</v>
      </c>
      <c r="AH756" t="e">
        <f t="shared" si="78"/>
        <v>#N/A</v>
      </c>
      <c r="AI756">
        <f t="shared" si="82"/>
        <v>2</v>
      </c>
      <c r="AJ756" t="e">
        <f t="shared" si="79"/>
        <v>#N/A</v>
      </c>
      <c r="AK756">
        <f t="shared" si="83"/>
        <v>3</v>
      </c>
      <c r="AL756" t="e">
        <f t="shared" si="80"/>
        <v>#N/A</v>
      </c>
      <c r="AM756">
        <f t="shared" si="84"/>
        <v>4</v>
      </c>
      <c r="AN756" t="e">
        <f t="shared" si="81"/>
        <v>#N/A</v>
      </c>
    </row>
    <row r="757" spans="12:40" x14ac:dyDescent="0.25">
      <c r="L757">
        <v>754</v>
      </c>
      <c r="M757">
        <v>15.553750000000001</v>
      </c>
      <c r="N757">
        <v>16.106874999999999</v>
      </c>
      <c r="O757">
        <v>14.483361111111112</v>
      </c>
      <c r="P757">
        <v>14.116388888888887</v>
      </c>
      <c r="AG757">
        <v>1</v>
      </c>
      <c r="AH757" t="e">
        <f t="shared" si="78"/>
        <v>#N/A</v>
      </c>
      <c r="AI757">
        <f t="shared" si="82"/>
        <v>2</v>
      </c>
      <c r="AJ757">
        <f t="shared" si="79"/>
        <v>16.106874999999999</v>
      </c>
      <c r="AK757">
        <f t="shared" si="83"/>
        <v>3</v>
      </c>
      <c r="AL757" t="e">
        <f t="shared" si="80"/>
        <v>#N/A</v>
      </c>
      <c r="AM757">
        <f t="shared" si="84"/>
        <v>4</v>
      </c>
      <c r="AN757" t="e">
        <f t="shared" si="81"/>
        <v>#N/A</v>
      </c>
    </row>
    <row r="758" spans="12:40" x14ac:dyDescent="0.25">
      <c r="L758">
        <v>755</v>
      </c>
      <c r="M758">
        <v>14.4275</v>
      </c>
      <c r="N758">
        <v>13.706875</v>
      </c>
      <c r="O758">
        <v>13.779569444444446</v>
      </c>
      <c r="P758">
        <v>14.051805555555557</v>
      </c>
      <c r="AG758">
        <v>1</v>
      </c>
      <c r="AH758" t="e">
        <f t="shared" si="78"/>
        <v>#N/A</v>
      </c>
      <c r="AI758">
        <f t="shared" si="82"/>
        <v>2</v>
      </c>
      <c r="AJ758" t="e">
        <f t="shared" si="79"/>
        <v>#N/A</v>
      </c>
      <c r="AK758">
        <f t="shared" si="83"/>
        <v>3</v>
      </c>
      <c r="AL758" t="e">
        <f t="shared" si="80"/>
        <v>#N/A</v>
      </c>
      <c r="AM758">
        <f t="shared" si="84"/>
        <v>4</v>
      </c>
      <c r="AN758" t="e">
        <f t="shared" si="81"/>
        <v>#N/A</v>
      </c>
    </row>
    <row r="759" spans="12:40" x14ac:dyDescent="0.25">
      <c r="L759">
        <v>756</v>
      </c>
      <c r="M759">
        <v>15.313750000000001</v>
      </c>
      <c r="N759">
        <v>14.9</v>
      </c>
      <c r="O759">
        <v>13.399569444444444</v>
      </c>
      <c r="P759">
        <v>13.645895833333334</v>
      </c>
      <c r="AG759">
        <v>1</v>
      </c>
      <c r="AH759" t="e">
        <f t="shared" si="78"/>
        <v>#N/A</v>
      </c>
      <c r="AI759">
        <f t="shared" si="82"/>
        <v>2</v>
      </c>
      <c r="AJ759" t="e">
        <f t="shared" si="79"/>
        <v>#N/A</v>
      </c>
      <c r="AK759">
        <f t="shared" si="83"/>
        <v>3</v>
      </c>
      <c r="AL759" t="e">
        <f t="shared" si="80"/>
        <v>#N/A</v>
      </c>
      <c r="AM759">
        <f t="shared" si="84"/>
        <v>4</v>
      </c>
      <c r="AN759" t="e">
        <f t="shared" si="81"/>
        <v>#N/A</v>
      </c>
    </row>
    <row r="760" spans="12:40" x14ac:dyDescent="0.25">
      <c r="L760">
        <v>757</v>
      </c>
      <c r="M760">
        <v>13.47625</v>
      </c>
      <c r="N760">
        <v>14.251875</v>
      </c>
      <c r="O760">
        <v>14.534777777777778</v>
      </c>
      <c r="P760">
        <v>14.873909722222223</v>
      </c>
      <c r="AG760">
        <v>1</v>
      </c>
      <c r="AH760" t="e">
        <f t="shared" si="78"/>
        <v>#N/A</v>
      </c>
      <c r="AI760">
        <f t="shared" si="82"/>
        <v>2</v>
      </c>
      <c r="AJ760" t="e">
        <f t="shared" si="79"/>
        <v>#N/A</v>
      </c>
      <c r="AK760">
        <f t="shared" si="83"/>
        <v>3</v>
      </c>
      <c r="AL760" t="e">
        <f t="shared" si="80"/>
        <v>#N/A</v>
      </c>
      <c r="AM760">
        <f t="shared" si="84"/>
        <v>4</v>
      </c>
      <c r="AN760" t="e">
        <f t="shared" si="81"/>
        <v>#N/A</v>
      </c>
    </row>
    <row r="761" spans="12:40" x14ac:dyDescent="0.25">
      <c r="L761">
        <v>758</v>
      </c>
      <c r="M761">
        <v>13.682499999999999</v>
      </c>
      <c r="N761">
        <v>14.361875</v>
      </c>
      <c r="O761">
        <v>14.116361111111111</v>
      </c>
      <c r="P761">
        <v>13.724986111111111</v>
      </c>
      <c r="AG761">
        <v>1</v>
      </c>
      <c r="AH761" t="e">
        <f t="shared" si="78"/>
        <v>#N/A</v>
      </c>
      <c r="AI761">
        <f t="shared" si="82"/>
        <v>2</v>
      </c>
      <c r="AJ761" t="e">
        <f t="shared" si="79"/>
        <v>#N/A</v>
      </c>
      <c r="AK761">
        <f t="shared" si="83"/>
        <v>3</v>
      </c>
      <c r="AL761" t="e">
        <f t="shared" si="80"/>
        <v>#N/A</v>
      </c>
      <c r="AM761">
        <f t="shared" si="84"/>
        <v>4</v>
      </c>
      <c r="AN761" t="e">
        <f t="shared" si="81"/>
        <v>#N/A</v>
      </c>
    </row>
    <row r="762" spans="12:40" x14ac:dyDescent="0.25">
      <c r="L762">
        <v>759</v>
      </c>
      <c r="M762">
        <v>12.51</v>
      </c>
      <c r="N762">
        <v>13.182499999999999</v>
      </c>
      <c r="O762">
        <v>12.778499999999999</v>
      </c>
      <c r="P762">
        <v>13.413347222222221</v>
      </c>
      <c r="AG762">
        <v>1</v>
      </c>
      <c r="AH762" t="e">
        <f t="shared" si="78"/>
        <v>#N/A</v>
      </c>
      <c r="AI762">
        <f t="shared" si="82"/>
        <v>2</v>
      </c>
      <c r="AJ762" t="e">
        <f t="shared" si="79"/>
        <v>#N/A</v>
      </c>
      <c r="AK762">
        <f t="shared" si="83"/>
        <v>3</v>
      </c>
      <c r="AL762" t="e">
        <f t="shared" si="80"/>
        <v>#N/A</v>
      </c>
      <c r="AM762">
        <f t="shared" si="84"/>
        <v>4</v>
      </c>
      <c r="AN762" t="e">
        <f t="shared" si="81"/>
        <v>#N/A</v>
      </c>
    </row>
    <row r="763" spans="12:40" x14ac:dyDescent="0.25">
      <c r="L763">
        <v>760</v>
      </c>
      <c r="M763">
        <v>13.6225</v>
      </c>
      <c r="N763">
        <v>13.666874999999999</v>
      </c>
      <c r="O763">
        <v>14.169861111111111</v>
      </c>
      <c r="P763">
        <v>14.034930555555556</v>
      </c>
      <c r="AG763">
        <v>1</v>
      </c>
      <c r="AH763" t="e">
        <f t="shared" si="78"/>
        <v>#N/A</v>
      </c>
      <c r="AI763">
        <f t="shared" si="82"/>
        <v>2</v>
      </c>
      <c r="AJ763" t="e">
        <f t="shared" si="79"/>
        <v>#N/A</v>
      </c>
      <c r="AK763">
        <f t="shared" si="83"/>
        <v>3</v>
      </c>
      <c r="AL763" t="e">
        <f t="shared" si="80"/>
        <v>#N/A</v>
      </c>
      <c r="AM763">
        <f t="shared" si="84"/>
        <v>4</v>
      </c>
      <c r="AN763" t="e">
        <f t="shared" si="81"/>
        <v>#N/A</v>
      </c>
    </row>
    <row r="764" spans="12:40" x14ac:dyDescent="0.25">
      <c r="L764">
        <v>761</v>
      </c>
      <c r="M764">
        <v>15.255000000000001</v>
      </c>
      <c r="N764">
        <v>14.366875</v>
      </c>
      <c r="O764">
        <v>13.563680555555557</v>
      </c>
      <c r="P764">
        <v>13.867048611111111</v>
      </c>
      <c r="AG764">
        <v>1</v>
      </c>
      <c r="AH764" t="e">
        <f t="shared" si="78"/>
        <v>#N/A</v>
      </c>
      <c r="AI764">
        <f t="shared" si="82"/>
        <v>2</v>
      </c>
      <c r="AJ764" t="e">
        <f t="shared" si="79"/>
        <v>#N/A</v>
      </c>
      <c r="AK764">
        <f t="shared" si="83"/>
        <v>3</v>
      </c>
      <c r="AL764" t="e">
        <f t="shared" si="80"/>
        <v>#N/A</v>
      </c>
      <c r="AM764">
        <f t="shared" si="84"/>
        <v>4</v>
      </c>
      <c r="AN764" t="e">
        <f t="shared" si="81"/>
        <v>#N/A</v>
      </c>
    </row>
    <row r="765" spans="12:40" x14ac:dyDescent="0.25">
      <c r="L765">
        <v>762</v>
      </c>
      <c r="M765">
        <v>14.234999999999999</v>
      </c>
      <c r="N765">
        <v>15.102499999999999</v>
      </c>
      <c r="O765">
        <v>14.483277777777777</v>
      </c>
      <c r="P765">
        <v>14.122958333333333</v>
      </c>
      <c r="AG765">
        <v>1</v>
      </c>
      <c r="AH765" t="e">
        <f t="shared" si="78"/>
        <v>#N/A</v>
      </c>
      <c r="AI765">
        <f t="shared" si="82"/>
        <v>2</v>
      </c>
      <c r="AJ765" t="e">
        <f t="shared" si="79"/>
        <v>#N/A</v>
      </c>
      <c r="AK765">
        <f t="shared" si="83"/>
        <v>3</v>
      </c>
      <c r="AL765" t="e">
        <f t="shared" si="80"/>
        <v>#N/A</v>
      </c>
      <c r="AM765">
        <f t="shared" si="84"/>
        <v>4</v>
      </c>
      <c r="AN765" t="e">
        <f t="shared" si="81"/>
        <v>#N/A</v>
      </c>
    </row>
    <row r="766" spans="12:40" x14ac:dyDescent="0.25">
      <c r="L766">
        <v>763</v>
      </c>
      <c r="M766">
        <v>15.89</v>
      </c>
      <c r="N766">
        <v>14.71125</v>
      </c>
      <c r="O766">
        <v>13.553069444444443</v>
      </c>
      <c r="P766">
        <v>13.866694444444443</v>
      </c>
      <c r="AG766">
        <v>1</v>
      </c>
      <c r="AH766" t="e">
        <f t="shared" si="78"/>
        <v>#N/A</v>
      </c>
      <c r="AI766">
        <f t="shared" si="82"/>
        <v>2</v>
      </c>
      <c r="AJ766" t="e">
        <f t="shared" si="79"/>
        <v>#N/A</v>
      </c>
      <c r="AK766">
        <f t="shared" si="83"/>
        <v>3</v>
      </c>
      <c r="AL766" t="e">
        <f t="shared" si="80"/>
        <v>#N/A</v>
      </c>
      <c r="AM766">
        <f t="shared" si="84"/>
        <v>4</v>
      </c>
      <c r="AN766" t="e">
        <f t="shared" si="81"/>
        <v>#N/A</v>
      </c>
    </row>
    <row r="767" spans="12:40" x14ac:dyDescent="0.25">
      <c r="L767">
        <v>764</v>
      </c>
      <c r="M767">
        <v>13.5025</v>
      </c>
      <c r="N767">
        <v>13.755000000000001</v>
      </c>
      <c r="O767">
        <v>14.059833333333334</v>
      </c>
      <c r="P767">
        <v>13.767805555555556</v>
      </c>
      <c r="AG767">
        <v>1</v>
      </c>
      <c r="AH767" t="e">
        <f t="shared" si="78"/>
        <v>#N/A</v>
      </c>
      <c r="AI767">
        <f t="shared" si="82"/>
        <v>2</v>
      </c>
      <c r="AJ767" t="e">
        <f t="shared" si="79"/>
        <v>#N/A</v>
      </c>
      <c r="AK767">
        <f t="shared" si="83"/>
        <v>3</v>
      </c>
      <c r="AL767" t="e">
        <f t="shared" si="80"/>
        <v>#N/A</v>
      </c>
      <c r="AM767">
        <f t="shared" si="84"/>
        <v>4</v>
      </c>
      <c r="AN767" t="e">
        <f t="shared" si="81"/>
        <v>#N/A</v>
      </c>
    </row>
    <row r="768" spans="12:40" x14ac:dyDescent="0.25">
      <c r="L768">
        <v>765</v>
      </c>
      <c r="M768">
        <v>15.67375</v>
      </c>
      <c r="N768">
        <v>14.696875</v>
      </c>
      <c r="O768">
        <v>14.804666666666664</v>
      </c>
      <c r="P768">
        <v>14.806222222222223</v>
      </c>
      <c r="AG768">
        <v>1</v>
      </c>
      <c r="AH768" t="e">
        <f t="shared" si="78"/>
        <v>#N/A</v>
      </c>
      <c r="AI768">
        <f t="shared" si="82"/>
        <v>2</v>
      </c>
      <c r="AJ768" t="e">
        <f t="shared" si="79"/>
        <v>#N/A</v>
      </c>
      <c r="AK768">
        <f t="shared" si="83"/>
        <v>3</v>
      </c>
      <c r="AL768" t="e">
        <f t="shared" si="80"/>
        <v>#N/A</v>
      </c>
      <c r="AM768">
        <f t="shared" si="84"/>
        <v>4</v>
      </c>
      <c r="AN768" t="e">
        <f t="shared" si="81"/>
        <v>#N/A</v>
      </c>
    </row>
    <row r="769" spans="12:40" x14ac:dyDescent="0.25">
      <c r="L769">
        <v>766</v>
      </c>
      <c r="M769">
        <v>14.164999999999999</v>
      </c>
      <c r="N769">
        <v>14.285</v>
      </c>
      <c r="O769">
        <v>14.751430555555554</v>
      </c>
      <c r="P769">
        <v>13.924791666666668</v>
      </c>
      <c r="AG769">
        <v>1</v>
      </c>
      <c r="AH769" t="e">
        <f t="shared" si="78"/>
        <v>#N/A</v>
      </c>
      <c r="AI769">
        <f t="shared" si="82"/>
        <v>2</v>
      </c>
      <c r="AJ769" t="e">
        <f t="shared" si="79"/>
        <v>#N/A</v>
      </c>
      <c r="AK769">
        <f t="shared" si="83"/>
        <v>3</v>
      </c>
      <c r="AL769" t="e">
        <f t="shared" si="80"/>
        <v>#N/A</v>
      </c>
      <c r="AM769">
        <f t="shared" si="84"/>
        <v>4</v>
      </c>
      <c r="AN769" t="e">
        <f t="shared" si="81"/>
        <v>#N/A</v>
      </c>
    </row>
    <row r="770" spans="12:40" x14ac:dyDescent="0.25">
      <c r="L770">
        <v>767</v>
      </c>
      <c r="M770">
        <v>11.94875</v>
      </c>
      <c r="N770">
        <v>13.010624999999999</v>
      </c>
      <c r="O770">
        <v>13.649513888888887</v>
      </c>
      <c r="P770">
        <v>13.576034722222222</v>
      </c>
      <c r="AG770">
        <v>1</v>
      </c>
      <c r="AH770" t="e">
        <f t="shared" si="78"/>
        <v>#N/A</v>
      </c>
      <c r="AI770">
        <f t="shared" si="82"/>
        <v>2</v>
      </c>
      <c r="AJ770" t="e">
        <f t="shared" si="79"/>
        <v>#N/A</v>
      </c>
      <c r="AK770">
        <f t="shared" si="83"/>
        <v>3</v>
      </c>
      <c r="AL770" t="e">
        <f t="shared" si="80"/>
        <v>#N/A</v>
      </c>
      <c r="AM770">
        <f t="shared" si="84"/>
        <v>4</v>
      </c>
      <c r="AN770" t="e">
        <f t="shared" si="81"/>
        <v>#N/A</v>
      </c>
    </row>
    <row r="771" spans="12:40" x14ac:dyDescent="0.25">
      <c r="L771">
        <v>768</v>
      </c>
      <c r="M771">
        <v>15.8775</v>
      </c>
      <c r="N771">
        <v>15.713125</v>
      </c>
      <c r="O771">
        <v>14.433375000000002</v>
      </c>
      <c r="P771">
        <v>14.110895833333334</v>
      </c>
      <c r="AG771">
        <v>1</v>
      </c>
      <c r="AH771" t="e">
        <f t="shared" si="78"/>
        <v>#N/A</v>
      </c>
      <c r="AI771">
        <f t="shared" si="82"/>
        <v>2</v>
      </c>
      <c r="AJ771" t="e">
        <f t="shared" si="79"/>
        <v>#N/A</v>
      </c>
      <c r="AK771">
        <f t="shared" si="83"/>
        <v>3</v>
      </c>
      <c r="AL771" t="e">
        <f t="shared" si="80"/>
        <v>#N/A</v>
      </c>
      <c r="AM771">
        <f t="shared" si="84"/>
        <v>4</v>
      </c>
      <c r="AN771" t="e">
        <f t="shared" si="81"/>
        <v>#N/A</v>
      </c>
    </row>
    <row r="772" spans="12:40" x14ac:dyDescent="0.25">
      <c r="L772">
        <v>769</v>
      </c>
      <c r="M772">
        <v>15.414999999999999</v>
      </c>
      <c r="N772">
        <v>16.094999999999999</v>
      </c>
      <c r="O772">
        <v>14.605444444444442</v>
      </c>
      <c r="P772">
        <v>14.266493055555557</v>
      </c>
      <c r="AG772">
        <v>1</v>
      </c>
      <c r="AH772" t="e">
        <f t="shared" ref="AH772:AH835" si="85">IF(OR(M772&lt;S$3,M772&gt;S$7),M772,#N/A)</f>
        <v>#N/A</v>
      </c>
      <c r="AI772">
        <f t="shared" si="82"/>
        <v>2</v>
      </c>
      <c r="AJ772">
        <f t="shared" ref="AJ772:AJ835" si="86">IF(OR(N772&lt;T$3,N772&gt;T$7),N772,#N/A)</f>
        <v>16.094999999999999</v>
      </c>
      <c r="AK772">
        <f t="shared" si="83"/>
        <v>3</v>
      </c>
      <c r="AL772" t="e">
        <f t="shared" ref="AL772:AL835" si="87">IF(OR(O772&lt;U$3,O772&gt;U$7),O772,#N/A)</f>
        <v>#N/A</v>
      </c>
      <c r="AM772">
        <f t="shared" si="84"/>
        <v>4</v>
      </c>
      <c r="AN772" t="e">
        <f t="shared" ref="AN772:AN835" si="88">IF(OR(P772&lt;V$3,P772&gt;V$7),P772,#N/A)</f>
        <v>#N/A</v>
      </c>
    </row>
    <row r="773" spans="12:40" x14ac:dyDescent="0.25">
      <c r="L773">
        <v>770</v>
      </c>
      <c r="M773">
        <v>17.09375</v>
      </c>
      <c r="N773">
        <v>15.423125000000001</v>
      </c>
      <c r="O773">
        <v>13.499263888888885</v>
      </c>
      <c r="P773">
        <v>13.939618055555556</v>
      </c>
      <c r="AG773">
        <v>1</v>
      </c>
      <c r="AH773">
        <f t="shared" si="85"/>
        <v>17.09375</v>
      </c>
      <c r="AI773">
        <f t="shared" ref="AI773:AI836" si="89">AG773+1</f>
        <v>2</v>
      </c>
      <c r="AJ773" t="e">
        <f t="shared" si="86"/>
        <v>#N/A</v>
      </c>
      <c r="AK773">
        <f t="shared" ref="AK773:AK836" si="90">AI773+1</f>
        <v>3</v>
      </c>
      <c r="AL773" t="e">
        <f t="shared" si="87"/>
        <v>#N/A</v>
      </c>
      <c r="AM773">
        <f t="shared" ref="AM773:AM836" si="91">AK773+1</f>
        <v>4</v>
      </c>
      <c r="AN773" t="e">
        <f t="shared" si="88"/>
        <v>#N/A</v>
      </c>
    </row>
    <row r="774" spans="12:40" x14ac:dyDescent="0.25">
      <c r="L774">
        <v>771</v>
      </c>
      <c r="M774">
        <v>15.69</v>
      </c>
      <c r="N774">
        <v>16.140625</v>
      </c>
      <c r="O774">
        <v>14.740833333333333</v>
      </c>
      <c r="P774">
        <v>14.045520833333335</v>
      </c>
      <c r="AG774">
        <v>1</v>
      </c>
      <c r="AH774" t="e">
        <f t="shared" si="85"/>
        <v>#N/A</v>
      </c>
      <c r="AI774">
        <f t="shared" si="89"/>
        <v>2</v>
      </c>
      <c r="AJ774">
        <f t="shared" si="86"/>
        <v>16.140625</v>
      </c>
      <c r="AK774">
        <f t="shared" si="90"/>
        <v>3</v>
      </c>
      <c r="AL774" t="e">
        <f t="shared" si="87"/>
        <v>#N/A</v>
      </c>
      <c r="AM774">
        <f t="shared" si="91"/>
        <v>4</v>
      </c>
      <c r="AN774" t="e">
        <f t="shared" si="88"/>
        <v>#N/A</v>
      </c>
    </row>
    <row r="775" spans="12:40" x14ac:dyDescent="0.25">
      <c r="L775">
        <v>772</v>
      </c>
      <c r="M775">
        <v>13.1425</v>
      </c>
      <c r="N775">
        <v>13.19</v>
      </c>
      <c r="O775">
        <v>13.333125000000001</v>
      </c>
      <c r="P775">
        <v>13.477215277777777</v>
      </c>
      <c r="AG775">
        <v>1</v>
      </c>
      <c r="AH775" t="e">
        <f t="shared" si="85"/>
        <v>#N/A</v>
      </c>
      <c r="AI775">
        <f t="shared" si="89"/>
        <v>2</v>
      </c>
      <c r="AJ775" t="e">
        <f t="shared" si="86"/>
        <v>#N/A</v>
      </c>
      <c r="AK775">
        <f t="shared" si="90"/>
        <v>3</v>
      </c>
      <c r="AL775" t="e">
        <f t="shared" si="87"/>
        <v>#N/A</v>
      </c>
      <c r="AM775">
        <f t="shared" si="91"/>
        <v>4</v>
      </c>
      <c r="AN775" t="e">
        <f t="shared" si="88"/>
        <v>#N/A</v>
      </c>
    </row>
    <row r="776" spans="12:40" x14ac:dyDescent="0.25">
      <c r="L776">
        <v>773</v>
      </c>
      <c r="M776">
        <v>15.09375</v>
      </c>
      <c r="N776">
        <v>14.5025</v>
      </c>
      <c r="O776">
        <v>14.843986111111112</v>
      </c>
      <c r="P776">
        <v>14.494131944444444</v>
      </c>
      <c r="AG776">
        <v>1</v>
      </c>
      <c r="AH776" t="e">
        <f t="shared" si="85"/>
        <v>#N/A</v>
      </c>
      <c r="AI776">
        <f t="shared" si="89"/>
        <v>2</v>
      </c>
      <c r="AJ776" t="e">
        <f t="shared" si="86"/>
        <v>#N/A</v>
      </c>
      <c r="AK776">
        <f t="shared" si="90"/>
        <v>3</v>
      </c>
      <c r="AL776" t="e">
        <f t="shared" si="87"/>
        <v>#N/A</v>
      </c>
      <c r="AM776">
        <f t="shared" si="91"/>
        <v>4</v>
      </c>
      <c r="AN776" t="e">
        <f t="shared" si="88"/>
        <v>#N/A</v>
      </c>
    </row>
    <row r="777" spans="12:40" x14ac:dyDescent="0.25">
      <c r="L777">
        <v>774</v>
      </c>
      <c r="M777">
        <v>13.046250000000001</v>
      </c>
      <c r="N777">
        <v>13.356875</v>
      </c>
      <c r="O777">
        <v>13.447805555555556</v>
      </c>
      <c r="P777">
        <v>14.136631944444444</v>
      </c>
      <c r="AG777">
        <v>1</v>
      </c>
      <c r="AH777" t="e">
        <f t="shared" si="85"/>
        <v>#N/A</v>
      </c>
      <c r="AI777">
        <f t="shared" si="89"/>
        <v>2</v>
      </c>
      <c r="AJ777" t="e">
        <f t="shared" si="86"/>
        <v>#N/A</v>
      </c>
      <c r="AK777">
        <f t="shared" si="90"/>
        <v>3</v>
      </c>
      <c r="AL777" t="e">
        <f t="shared" si="87"/>
        <v>#N/A</v>
      </c>
      <c r="AM777">
        <f t="shared" si="91"/>
        <v>4</v>
      </c>
      <c r="AN777" t="e">
        <f t="shared" si="88"/>
        <v>#N/A</v>
      </c>
    </row>
    <row r="778" spans="12:40" x14ac:dyDescent="0.25">
      <c r="L778">
        <v>775</v>
      </c>
      <c r="M778">
        <v>14.373749999999999</v>
      </c>
      <c r="N778">
        <v>15.039375</v>
      </c>
      <c r="O778">
        <v>14.036694444444445</v>
      </c>
      <c r="P778">
        <v>13.667048611111108</v>
      </c>
      <c r="AG778">
        <v>1</v>
      </c>
      <c r="AH778" t="e">
        <f t="shared" si="85"/>
        <v>#N/A</v>
      </c>
      <c r="AI778">
        <f t="shared" si="89"/>
        <v>2</v>
      </c>
      <c r="AJ778" t="e">
        <f t="shared" si="86"/>
        <v>#N/A</v>
      </c>
      <c r="AK778">
        <f t="shared" si="90"/>
        <v>3</v>
      </c>
      <c r="AL778" t="e">
        <f t="shared" si="87"/>
        <v>#N/A</v>
      </c>
      <c r="AM778">
        <f t="shared" si="91"/>
        <v>4</v>
      </c>
      <c r="AN778" t="e">
        <f t="shared" si="88"/>
        <v>#N/A</v>
      </c>
    </row>
    <row r="779" spans="12:40" x14ac:dyDescent="0.25">
      <c r="L779">
        <v>776</v>
      </c>
      <c r="M779">
        <v>14.635</v>
      </c>
      <c r="N779">
        <v>15.772500000000001</v>
      </c>
      <c r="O779">
        <v>14.714333333333334</v>
      </c>
      <c r="P779">
        <v>14.316125</v>
      </c>
      <c r="AG779">
        <v>1</v>
      </c>
      <c r="AH779" t="e">
        <f t="shared" si="85"/>
        <v>#N/A</v>
      </c>
      <c r="AI779">
        <f t="shared" si="89"/>
        <v>2</v>
      </c>
      <c r="AJ779" t="e">
        <f t="shared" si="86"/>
        <v>#N/A</v>
      </c>
      <c r="AK779">
        <f t="shared" si="90"/>
        <v>3</v>
      </c>
      <c r="AL779" t="e">
        <f t="shared" si="87"/>
        <v>#N/A</v>
      </c>
      <c r="AM779">
        <f t="shared" si="91"/>
        <v>4</v>
      </c>
      <c r="AN779" t="e">
        <f t="shared" si="88"/>
        <v>#N/A</v>
      </c>
    </row>
    <row r="780" spans="12:40" x14ac:dyDescent="0.25">
      <c r="L780">
        <v>777</v>
      </c>
      <c r="M780">
        <v>12.928750000000001</v>
      </c>
      <c r="N780">
        <v>13.04125</v>
      </c>
      <c r="O780">
        <v>13.450277777777778</v>
      </c>
      <c r="P780">
        <v>13.519173611111109</v>
      </c>
      <c r="AG780">
        <v>1</v>
      </c>
      <c r="AH780" t="e">
        <f t="shared" si="85"/>
        <v>#N/A</v>
      </c>
      <c r="AI780">
        <f t="shared" si="89"/>
        <v>2</v>
      </c>
      <c r="AJ780" t="e">
        <f t="shared" si="86"/>
        <v>#N/A</v>
      </c>
      <c r="AK780">
        <f t="shared" si="90"/>
        <v>3</v>
      </c>
      <c r="AL780" t="e">
        <f t="shared" si="87"/>
        <v>#N/A</v>
      </c>
      <c r="AM780">
        <f t="shared" si="91"/>
        <v>4</v>
      </c>
      <c r="AN780" t="e">
        <f t="shared" si="88"/>
        <v>#N/A</v>
      </c>
    </row>
    <row r="781" spans="12:40" x14ac:dyDescent="0.25">
      <c r="L781">
        <v>778</v>
      </c>
      <c r="M781">
        <v>15.1275</v>
      </c>
      <c r="N781">
        <v>15.028124999999999</v>
      </c>
      <c r="O781">
        <v>14.694069444444445</v>
      </c>
      <c r="P781">
        <v>14.480541666666666</v>
      </c>
      <c r="AG781">
        <v>1</v>
      </c>
      <c r="AH781" t="e">
        <f t="shared" si="85"/>
        <v>#N/A</v>
      </c>
      <c r="AI781">
        <f t="shared" si="89"/>
        <v>2</v>
      </c>
      <c r="AJ781" t="e">
        <f t="shared" si="86"/>
        <v>#N/A</v>
      </c>
      <c r="AK781">
        <f t="shared" si="90"/>
        <v>3</v>
      </c>
      <c r="AL781" t="e">
        <f t="shared" si="87"/>
        <v>#N/A</v>
      </c>
      <c r="AM781">
        <f t="shared" si="91"/>
        <v>4</v>
      </c>
      <c r="AN781" t="e">
        <f t="shared" si="88"/>
        <v>#N/A</v>
      </c>
    </row>
    <row r="782" spans="12:40" x14ac:dyDescent="0.25">
      <c r="L782">
        <v>779</v>
      </c>
      <c r="M782">
        <v>12.824999999999999</v>
      </c>
      <c r="N782">
        <v>13.801875000000001</v>
      </c>
      <c r="O782">
        <v>13.49209722222222</v>
      </c>
      <c r="P782">
        <v>13.26963888888889</v>
      </c>
      <c r="AG782">
        <v>1</v>
      </c>
      <c r="AH782" t="e">
        <f t="shared" si="85"/>
        <v>#N/A</v>
      </c>
      <c r="AI782">
        <f t="shared" si="89"/>
        <v>2</v>
      </c>
      <c r="AJ782" t="e">
        <f t="shared" si="86"/>
        <v>#N/A</v>
      </c>
      <c r="AK782">
        <f t="shared" si="90"/>
        <v>3</v>
      </c>
      <c r="AL782" t="e">
        <f t="shared" si="87"/>
        <v>#N/A</v>
      </c>
      <c r="AM782">
        <f t="shared" si="91"/>
        <v>4</v>
      </c>
      <c r="AN782" t="e">
        <f t="shared" si="88"/>
        <v>#N/A</v>
      </c>
    </row>
    <row r="783" spans="12:40" x14ac:dyDescent="0.25">
      <c r="L783">
        <v>780</v>
      </c>
      <c r="M783">
        <v>14.87</v>
      </c>
      <c r="N783">
        <v>14.1525</v>
      </c>
      <c r="O783">
        <v>13.4735</v>
      </c>
      <c r="P783">
        <v>13.67867361111111</v>
      </c>
      <c r="AG783">
        <v>1</v>
      </c>
      <c r="AH783" t="e">
        <f t="shared" si="85"/>
        <v>#N/A</v>
      </c>
      <c r="AI783">
        <f t="shared" si="89"/>
        <v>2</v>
      </c>
      <c r="AJ783" t="e">
        <f t="shared" si="86"/>
        <v>#N/A</v>
      </c>
      <c r="AK783">
        <f t="shared" si="90"/>
        <v>3</v>
      </c>
      <c r="AL783" t="e">
        <f t="shared" si="87"/>
        <v>#N/A</v>
      </c>
      <c r="AM783">
        <f t="shared" si="91"/>
        <v>4</v>
      </c>
      <c r="AN783" t="e">
        <f t="shared" si="88"/>
        <v>#N/A</v>
      </c>
    </row>
    <row r="784" spans="12:40" x14ac:dyDescent="0.25">
      <c r="L784">
        <v>781</v>
      </c>
      <c r="M784">
        <v>13.78375</v>
      </c>
      <c r="N784">
        <v>14.733124999999999</v>
      </c>
      <c r="O784">
        <v>14.519694444444447</v>
      </c>
      <c r="P784">
        <v>14.334881944444444</v>
      </c>
      <c r="AG784">
        <v>1</v>
      </c>
      <c r="AH784" t="e">
        <f t="shared" si="85"/>
        <v>#N/A</v>
      </c>
      <c r="AI784">
        <f t="shared" si="89"/>
        <v>2</v>
      </c>
      <c r="AJ784" t="e">
        <f t="shared" si="86"/>
        <v>#N/A</v>
      </c>
      <c r="AK784">
        <f t="shared" si="90"/>
        <v>3</v>
      </c>
      <c r="AL784" t="e">
        <f t="shared" si="87"/>
        <v>#N/A</v>
      </c>
      <c r="AM784">
        <f t="shared" si="91"/>
        <v>4</v>
      </c>
      <c r="AN784" t="e">
        <f t="shared" si="88"/>
        <v>#N/A</v>
      </c>
    </row>
    <row r="785" spans="12:40" x14ac:dyDescent="0.25">
      <c r="L785">
        <v>782</v>
      </c>
      <c r="M785">
        <v>15.15625</v>
      </c>
      <c r="N785">
        <v>14.268125</v>
      </c>
      <c r="O785">
        <v>14.312402777777779</v>
      </c>
      <c r="P785">
        <v>14.477902777777778</v>
      </c>
      <c r="AG785">
        <v>1</v>
      </c>
      <c r="AH785" t="e">
        <f t="shared" si="85"/>
        <v>#N/A</v>
      </c>
      <c r="AI785">
        <f t="shared" si="89"/>
        <v>2</v>
      </c>
      <c r="AJ785" t="e">
        <f t="shared" si="86"/>
        <v>#N/A</v>
      </c>
      <c r="AK785">
        <f t="shared" si="90"/>
        <v>3</v>
      </c>
      <c r="AL785" t="e">
        <f t="shared" si="87"/>
        <v>#N/A</v>
      </c>
      <c r="AM785">
        <f t="shared" si="91"/>
        <v>4</v>
      </c>
      <c r="AN785" t="e">
        <f t="shared" si="88"/>
        <v>#N/A</v>
      </c>
    </row>
    <row r="786" spans="12:40" x14ac:dyDescent="0.25">
      <c r="L786">
        <v>783</v>
      </c>
      <c r="M786">
        <v>14.03125</v>
      </c>
      <c r="N786">
        <v>13.55</v>
      </c>
      <c r="O786">
        <v>14.516958333333335</v>
      </c>
      <c r="P786">
        <v>13.818208333333333</v>
      </c>
      <c r="AG786">
        <v>1</v>
      </c>
      <c r="AH786" t="e">
        <f t="shared" si="85"/>
        <v>#N/A</v>
      </c>
      <c r="AI786">
        <f t="shared" si="89"/>
        <v>2</v>
      </c>
      <c r="AJ786" t="e">
        <f t="shared" si="86"/>
        <v>#N/A</v>
      </c>
      <c r="AK786">
        <f t="shared" si="90"/>
        <v>3</v>
      </c>
      <c r="AL786" t="e">
        <f t="shared" si="87"/>
        <v>#N/A</v>
      </c>
      <c r="AM786">
        <f t="shared" si="91"/>
        <v>4</v>
      </c>
      <c r="AN786" t="e">
        <f t="shared" si="88"/>
        <v>#N/A</v>
      </c>
    </row>
    <row r="787" spans="12:40" x14ac:dyDescent="0.25">
      <c r="L787">
        <v>784</v>
      </c>
      <c r="M787">
        <v>13.2475</v>
      </c>
      <c r="N787">
        <v>13.233750000000001</v>
      </c>
      <c r="O787">
        <v>12.852208333333335</v>
      </c>
      <c r="P787">
        <v>13.717409722222222</v>
      </c>
      <c r="AG787">
        <v>1</v>
      </c>
      <c r="AH787" t="e">
        <f t="shared" si="85"/>
        <v>#N/A</v>
      </c>
      <c r="AI787">
        <f t="shared" si="89"/>
        <v>2</v>
      </c>
      <c r="AJ787" t="e">
        <f t="shared" si="86"/>
        <v>#N/A</v>
      </c>
      <c r="AK787">
        <f t="shared" si="90"/>
        <v>3</v>
      </c>
      <c r="AL787" t="e">
        <f t="shared" si="87"/>
        <v>#N/A</v>
      </c>
      <c r="AM787">
        <f t="shared" si="91"/>
        <v>4</v>
      </c>
      <c r="AN787" t="e">
        <f t="shared" si="88"/>
        <v>#N/A</v>
      </c>
    </row>
    <row r="788" spans="12:40" x14ac:dyDescent="0.25">
      <c r="L788">
        <v>785</v>
      </c>
      <c r="M788">
        <v>14.098750000000001</v>
      </c>
      <c r="N788">
        <v>14.016249999999999</v>
      </c>
      <c r="O788">
        <v>14.411</v>
      </c>
      <c r="P788">
        <v>14.230395833333333</v>
      </c>
      <c r="AG788">
        <v>1</v>
      </c>
      <c r="AH788" t="e">
        <f t="shared" si="85"/>
        <v>#N/A</v>
      </c>
      <c r="AI788">
        <f t="shared" si="89"/>
        <v>2</v>
      </c>
      <c r="AJ788" t="e">
        <f t="shared" si="86"/>
        <v>#N/A</v>
      </c>
      <c r="AK788">
        <f t="shared" si="90"/>
        <v>3</v>
      </c>
      <c r="AL788" t="e">
        <f t="shared" si="87"/>
        <v>#N/A</v>
      </c>
      <c r="AM788">
        <f t="shared" si="91"/>
        <v>4</v>
      </c>
      <c r="AN788" t="e">
        <f t="shared" si="88"/>
        <v>#N/A</v>
      </c>
    </row>
    <row r="789" spans="12:40" x14ac:dyDescent="0.25">
      <c r="L789">
        <v>786</v>
      </c>
      <c r="M789">
        <v>14.6075</v>
      </c>
      <c r="N789">
        <v>13.5625</v>
      </c>
      <c r="O789">
        <v>14.129875</v>
      </c>
      <c r="P789">
        <v>13.662402777777778</v>
      </c>
      <c r="AG789">
        <v>1</v>
      </c>
      <c r="AH789" t="e">
        <f t="shared" si="85"/>
        <v>#N/A</v>
      </c>
      <c r="AI789">
        <f t="shared" si="89"/>
        <v>2</v>
      </c>
      <c r="AJ789" t="e">
        <f t="shared" si="86"/>
        <v>#N/A</v>
      </c>
      <c r="AK789">
        <f t="shared" si="90"/>
        <v>3</v>
      </c>
      <c r="AL789" t="e">
        <f t="shared" si="87"/>
        <v>#N/A</v>
      </c>
      <c r="AM789">
        <f t="shared" si="91"/>
        <v>4</v>
      </c>
      <c r="AN789" t="e">
        <f t="shared" si="88"/>
        <v>#N/A</v>
      </c>
    </row>
    <row r="790" spans="12:40" x14ac:dyDescent="0.25">
      <c r="L790">
        <v>787</v>
      </c>
      <c r="M790">
        <v>14.01</v>
      </c>
      <c r="N790">
        <v>13.52875</v>
      </c>
      <c r="O790">
        <v>14.055569444444442</v>
      </c>
      <c r="P790">
        <v>13.800076388888888</v>
      </c>
      <c r="AG790">
        <v>1</v>
      </c>
      <c r="AH790" t="e">
        <f t="shared" si="85"/>
        <v>#N/A</v>
      </c>
      <c r="AI790">
        <f t="shared" si="89"/>
        <v>2</v>
      </c>
      <c r="AJ790" t="e">
        <f t="shared" si="86"/>
        <v>#N/A</v>
      </c>
      <c r="AK790">
        <f t="shared" si="90"/>
        <v>3</v>
      </c>
      <c r="AL790" t="e">
        <f t="shared" si="87"/>
        <v>#N/A</v>
      </c>
      <c r="AM790">
        <f t="shared" si="91"/>
        <v>4</v>
      </c>
      <c r="AN790" t="e">
        <f t="shared" si="88"/>
        <v>#N/A</v>
      </c>
    </row>
    <row r="791" spans="12:40" x14ac:dyDescent="0.25">
      <c r="L791">
        <v>788</v>
      </c>
      <c r="M791">
        <v>13.186249999999999</v>
      </c>
      <c r="N791">
        <v>13.476875</v>
      </c>
      <c r="O791">
        <v>13.926500000000001</v>
      </c>
      <c r="P791">
        <v>14.031930555555556</v>
      </c>
      <c r="AG791">
        <v>1</v>
      </c>
      <c r="AH791" t="e">
        <f t="shared" si="85"/>
        <v>#N/A</v>
      </c>
      <c r="AI791">
        <f t="shared" si="89"/>
        <v>2</v>
      </c>
      <c r="AJ791" t="e">
        <f t="shared" si="86"/>
        <v>#N/A</v>
      </c>
      <c r="AK791">
        <f t="shared" si="90"/>
        <v>3</v>
      </c>
      <c r="AL791" t="e">
        <f t="shared" si="87"/>
        <v>#N/A</v>
      </c>
      <c r="AM791">
        <f t="shared" si="91"/>
        <v>4</v>
      </c>
      <c r="AN791" t="e">
        <f t="shared" si="88"/>
        <v>#N/A</v>
      </c>
    </row>
    <row r="792" spans="12:40" x14ac:dyDescent="0.25">
      <c r="L792">
        <v>789</v>
      </c>
      <c r="M792">
        <v>13.57625</v>
      </c>
      <c r="N792">
        <v>13.839375</v>
      </c>
      <c r="O792">
        <v>13.097888888888887</v>
      </c>
      <c r="P792">
        <v>13.388861111111114</v>
      </c>
      <c r="AG792">
        <v>1</v>
      </c>
      <c r="AH792" t="e">
        <f t="shared" si="85"/>
        <v>#N/A</v>
      </c>
      <c r="AI792">
        <f t="shared" si="89"/>
        <v>2</v>
      </c>
      <c r="AJ792" t="e">
        <f t="shared" si="86"/>
        <v>#N/A</v>
      </c>
      <c r="AK792">
        <f t="shared" si="90"/>
        <v>3</v>
      </c>
      <c r="AL792" t="e">
        <f t="shared" si="87"/>
        <v>#N/A</v>
      </c>
      <c r="AM792">
        <f t="shared" si="91"/>
        <v>4</v>
      </c>
      <c r="AN792" t="e">
        <f t="shared" si="88"/>
        <v>#N/A</v>
      </c>
    </row>
    <row r="793" spans="12:40" x14ac:dyDescent="0.25">
      <c r="L793">
        <v>790</v>
      </c>
      <c r="M793">
        <v>15.465</v>
      </c>
      <c r="N793">
        <v>14.385624999999999</v>
      </c>
      <c r="O793">
        <v>13.764152777777779</v>
      </c>
      <c r="P793">
        <v>13.826402777777778</v>
      </c>
      <c r="AG793">
        <v>1</v>
      </c>
      <c r="AH793" t="e">
        <f t="shared" si="85"/>
        <v>#N/A</v>
      </c>
      <c r="AI793">
        <f t="shared" si="89"/>
        <v>2</v>
      </c>
      <c r="AJ793" t="e">
        <f t="shared" si="86"/>
        <v>#N/A</v>
      </c>
      <c r="AK793">
        <f t="shared" si="90"/>
        <v>3</v>
      </c>
      <c r="AL793" t="e">
        <f t="shared" si="87"/>
        <v>#N/A</v>
      </c>
      <c r="AM793">
        <f t="shared" si="91"/>
        <v>4</v>
      </c>
      <c r="AN793" t="e">
        <f t="shared" si="88"/>
        <v>#N/A</v>
      </c>
    </row>
    <row r="794" spans="12:40" x14ac:dyDescent="0.25">
      <c r="L794">
        <v>791</v>
      </c>
      <c r="M794">
        <v>12.6175</v>
      </c>
      <c r="N794">
        <v>13.59125</v>
      </c>
      <c r="O794">
        <v>13.862013888888887</v>
      </c>
      <c r="P794">
        <v>13.975111111111111</v>
      </c>
      <c r="AG794">
        <v>1</v>
      </c>
      <c r="AH794" t="e">
        <f t="shared" si="85"/>
        <v>#N/A</v>
      </c>
      <c r="AI794">
        <f t="shared" si="89"/>
        <v>2</v>
      </c>
      <c r="AJ794" t="e">
        <f t="shared" si="86"/>
        <v>#N/A</v>
      </c>
      <c r="AK794">
        <f t="shared" si="90"/>
        <v>3</v>
      </c>
      <c r="AL794" t="e">
        <f t="shared" si="87"/>
        <v>#N/A</v>
      </c>
      <c r="AM794">
        <f t="shared" si="91"/>
        <v>4</v>
      </c>
      <c r="AN794" t="e">
        <f t="shared" si="88"/>
        <v>#N/A</v>
      </c>
    </row>
    <row r="795" spans="12:40" x14ac:dyDescent="0.25">
      <c r="L795">
        <v>792</v>
      </c>
      <c r="M795">
        <v>12.641249999999999</v>
      </c>
      <c r="N795">
        <v>13.987500000000001</v>
      </c>
      <c r="O795">
        <v>13.615222222222222</v>
      </c>
      <c r="P795">
        <v>13.9496875</v>
      </c>
      <c r="AG795">
        <v>1</v>
      </c>
      <c r="AH795" t="e">
        <f t="shared" si="85"/>
        <v>#N/A</v>
      </c>
      <c r="AI795">
        <f t="shared" si="89"/>
        <v>2</v>
      </c>
      <c r="AJ795" t="e">
        <f t="shared" si="86"/>
        <v>#N/A</v>
      </c>
      <c r="AK795">
        <f t="shared" si="90"/>
        <v>3</v>
      </c>
      <c r="AL795" t="e">
        <f t="shared" si="87"/>
        <v>#N/A</v>
      </c>
      <c r="AM795">
        <f t="shared" si="91"/>
        <v>4</v>
      </c>
      <c r="AN795" t="e">
        <f t="shared" si="88"/>
        <v>#N/A</v>
      </c>
    </row>
    <row r="796" spans="12:40" x14ac:dyDescent="0.25">
      <c r="L796">
        <v>793</v>
      </c>
      <c r="M796">
        <v>13.717499999999999</v>
      </c>
      <c r="N796">
        <v>14.503125000000001</v>
      </c>
      <c r="O796">
        <v>14.256708333333336</v>
      </c>
      <c r="P796">
        <v>14.140541666666667</v>
      </c>
      <c r="AG796">
        <v>1</v>
      </c>
      <c r="AH796" t="e">
        <f t="shared" si="85"/>
        <v>#N/A</v>
      </c>
      <c r="AI796">
        <f t="shared" si="89"/>
        <v>2</v>
      </c>
      <c r="AJ796" t="e">
        <f t="shared" si="86"/>
        <v>#N/A</v>
      </c>
      <c r="AK796">
        <f t="shared" si="90"/>
        <v>3</v>
      </c>
      <c r="AL796" t="e">
        <f t="shared" si="87"/>
        <v>#N/A</v>
      </c>
      <c r="AM796">
        <f t="shared" si="91"/>
        <v>4</v>
      </c>
      <c r="AN796" t="e">
        <f t="shared" si="88"/>
        <v>#N/A</v>
      </c>
    </row>
    <row r="797" spans="12:40" x14ac:dyDescent="0.25">
      <c r="L797">
        <v>794</v>
      </c>
      <c r="M797">
        <v>14.102499999999999</v>
      </c>
      <c r="N797">
        <v>13.893750000000001</v>
      </c>
      <c r="O797">
        <v>13.848861111111113</v>
      </c>
      <c r="P797">
        <v>13.938215277777779</v>
      </c>
      <c r="AG797">
        <v>1</v>
      </c>
      <c r="AH797" t="e">
        <f t="shared" si="85"/>
        <v>#N/A</v>
      </c>
      <c r="AI797">
        <f t="shared" si="89"/>
        <v>2</v>
      </c>
      <c r="AJ797" t="e">
        <f t="shared" si="86"/>
        <v>#N/A</v>
      </c>
      <c r="AK797">
        <f t="shared" si="90"/>
        <v>3</v>
      </c>
      <c r="AL797" t="e">
        <f t="shared" si="87"/>
        <v>#N/A</v>
      </c>
      <c r="AM797">
        <f t="shared" si="91"/>
        <v>4</v>
      </c>
      <c r="AN797" t="e">
        <f t="shared" si="88"/>
        <v>#N/A</v>
      </c>
    </row>
    <row r="798" spans="12:40" x14ac:dyDescent="0.25">
      <c r="L798">
        <v>795</v>
      </c>
      <c r="M798">
        <v>12.571249999999999</v>
      </c>
      <c r="N798">
        <v>13.254375</v>
      </c>
      <c r="O798">
        <v>14.24551388888889</v>
      </c>
      <c r="P798">
        <v>14.109874999999999</v>
      </c>
      <c r="AG798">
        <v>1</v>
      </c>
      <c r="AH798" t="e">
        <f t="shared" si="85"/>
        <v>#N/A</v>
      </c>
      <c r="AI798">
        <f t="shared" si="89"/>
        <v>2</v>
      </c>
      <c r="AJ798" t="e">
        <f t="shared" si="86"/>
        <v>#N/A</v>
      </c>
      <c r="AK798">
        <f t="shared" si="90"/>
        <v>3</v>
      </c>
      <c r="AL798" t="e">
        <f t="shared" si="87"/>
        <v>#N/A</v>
      </c>
      <c r="AM798">
        <f t="shared" si="91"/>
        <v>4</v>
      </c>
      <c r="AN798" t="e">
        <f t="shared" si="88"/>
        <v>#N/A</v>
      </c>
    </row>
    <row r="799" spans="12:40" x14ac:dyDescent="0.25">
      <c r="L799">
        <v>796</v>
      </c>
      <c r="M799">
        <v>12.182499999999999</v>
      </c>
      <c r="N799">
        <v>13.603125</v>
      </c>
      <c r="O799">
        <v>13.51401388888889</v>
      </c>
      <c r="P799">
        <v>13.736083333333333</v>
      </c>
      <c r="AG799">
        <v>1</v>
      </c>
      <c r="AH799" t="e">
        <f t="shared" si="85"/>
        <v>#N/A</v>
      </c>
      <c r="AI799">
        <f t="shared" si="89"/>
        <v>2</v>
      </c>
      <c r="AJ799" t="e">
        <f t="shared" si="86"/>
        <v>#N/A</v>
      </c>
      <c r="AK799">
        <f t="shared" si="90"/>
        <v>3</v>
      </c>
      <c r="AL799" t="e">
        <f t="shared" si="87"/>
        <v>#N/A</v>
      </c>
      <c r="AM799">
        <f t="shared" si="91"/>
        <v>4</v>
      </c>
      <c r="AN799" t="e">
        <f t="shared" si="88"/>
        <v>#N/A</v>
      </c>
    </row>
    <row r="800" spans="12:40" x14ac:dyDescent="0.25">
      <c r="L800">
        <v>797</v>
      </c>
      <c r="M800">
        <v>13.393750000000001</v>
      </c>
      <c r="N800">
        <v>13.810625</v>
      </c>
      <c r="O800">
        <v>14.449888888888886</v>
      </c>
      <c r="P800">
        <v>14.514854166666666</v>
      </c>
      <c r="AG800">
        <v>1</v>
      </c>
      <c r="AH800" t="e">
        <f t="shared" si="85"/>
        <v>#N/A</v>
      </c>
      <c r="AI800">
        <f t="shared" si="89"/>
        <v>2</v>
      </c>
      <c r="AJ800" t="e">
        <f t="shared" si="86"/>
        <v>#N/A</v>
      </c>
      <c r="AK800">
        <f t="shared" si="90"/>
        <v>3</v>
      </c>
      <c r="AL800" t="e">
        <f t="shared" si="87"/>
        <v>#N/A</v>
      </c>
      <c r="AM800">
        <f t="shared" si="91"/>
        <v>4</v>
      </c>
      <c r="AN800" t="e">
        <f t="shared" si="88"/>
        <v>#N/A</v>
      </c>
    </row>
    <row r="801" spans="12:40" x14ac:dyDescent="0.25">
      <c r="L801">
        <v>798</v>
      </c>
      <c r="M801">
        <v>13.161250000000001</v>
      </c>
      <c r="N801">
        <v>13.6875</v>
      </c>
      <c r="O801">
        <v>13.903652777777779</v>
      </c>
      <c r="P801">
        <v>14.347965277777778</v>
      </c>
      <c r="AG801">
        <v>1</v>
      </c>
      <c r="AH801" t="e">
        <f t="shared" si="85"/>
        <v>#N/A</v>
      </c>
      <c r="AI801">
        <f t="shared" si="89"/>
        <v>2</v>
      </c>
      <c r="AJ801" t="e">
        <f t="shared" si="86"/>
        <v>#N/A</v>
      </c>
      <c r="AK801">
        <f t="shared" si="90"/>
        <v>3</v>
      </c>
      <c r="AL801" t="e">
        <f t="shared" si="87"/>
        <v>#N/A</v>
      </c>
      <c r="AM801">
        <f t="shared" si="91"/>
        <v>4</v>
      </c>
      <c r="AN801" t="e">
        <f t="shared" si="88"/>
        <v>#N/A</v>
      </c>
    </row>
    <row r="802" spans="12:40" x14ac:dyDescent="0.25">
      <c r="L802">
        <v>799</v>
      </c>
      <c r="M802">
        <v>13.803750000000001</v>
      </c>
      <c r="N802">
        <v>13.7525</v>
      </c>
      <c r="O802">
        <v>13.310763888888891</v>
      </c>
      <c r="P802">
        <v>13.557180555555554</v>
      </c>
      <c r="AG802">
        <v>1</v>
      </c>
      <c r="AH802" t="e">
        <f t="shared" si="85"/>
        <v>#N/A</v>
      </c>
      <c r="AI802">
        <f t="shared" si="89"/>
        <v>2</v>
      </c>
      <c r="AJ802" t="e">
        <f t="shared" si="86"/>
        <v>#N/A</v>
      </c>
      <c r="AK802">
        <f t="shared" si="90"/>
        <v>3</v>
      </c>
      <c r="AL802" t="e">
        <f t="shared" si="87"/>
        <v>#N/A</v>
      </c>
      <c r="AM802">
        <f t="shared" si="91"/>
        <v>4</v>
      </c>
      <c r="AN802" t="e">
        <f t="shared" si="88"/>
        <v>#N/A</v>
      </c>
    </row>
    <row r="803" spans="12:40" x14ac:dyDescent="0.25">
      <c r="L803">
        <v>800</v>
      </c>
      <c r="M803">
        <v>15.328749999999999</v>
      </c>
      <c r="N803">
        <v>14.854374999999999</v>
      </c>
      <c r="O803">
        <v>14.207930555555556</v>
      </c>
      <c r="P803">
        <v>13.773236111111112</v>
      </c>
      <c r="AG803">
        <v>1</v>
      </c>
      <c r="AH803" t="e">
        <f t="shared" si="85"/>
        <v>#N/A</v>
      </c>
      <c r="AI803">
        <f t="shared" si="89"/>
        <v>2</v>
      </c>
      <c r="AJ803" t="e">
        <f t="shared" si="86"/>
        <v>#N/A</v>
      </c>
      <c r="AK803">
        <f t="shared" si="90"/>
        <v>3</v>
      </c>
      <c r="AL803" t="e">
        <f t="shared" si="87"/>
        <v>#N/A</v>
      </c>
      <c r="AM803">
        <f t="shared" si="91"/>
        <v>4</v>
      </c>
      <c r="AN803" t="e">
        <f t="shared" si="88"/>
        <v>#N/A</v>
      </c>
    </row>
    <row r="804" spans="12:40" x14ac:dyDescent="0.25">
      <c r="L804">
        <v>801</v>
      </c>
      <c r="M804">
        <v>14.51375</v>
      </c>
      <c r="N804">
        <v>14.305624999999999</v>
      </c>
      <c r="O804">
        <v>14.567874999999999</v>
      </c>
      <c r="P804">
        <v>14.526020833333334</v>
      </c>
      <c r="AG804">
        <v>1</v>
      </c>
      <c r="AH804" t="e">
        <f t="shared" si="85"/>
        <v>#N/A</v>
      </c>
      <c r="AI804">
        <f t="shared" si="89"/>
        <v>2</v>
      </c>
      <c r="AJ804" t="e">
        <f t="shared" si="86"/>
        <v>#N/A</v>
      </c>
      <c r="AK804">
        <f t="shared" si="90"/>
        <v>3</v>
      </c>
      <c r="AL804" t="e">
        <f t="shared" si="87"/>
        <v>#N/A</v>
      </c>
      <c r="AM804">
        <f t="shared" si="91"/>
        <v>4</v>
      </c>
      <c r="AN804" t="e">
        <f t="shared" si="88"/>
        <v>#N/A</v>
      </c>
    </row>
    <row r="805" spans="12:40" x14ac:dyDescent="0.25">
      <c r="L805">
        <v>802</v>
      </c>
      <c r="M805">
        <v>12.9025</v>
      </c>
      <c r="N805">
        <v>13.814375</v>
      </c>
      <c r="O805">
        <v>13.884083333333335</v>
      </c>
      <c r="P805">
        <v>14.364972222222223</v>
      </c>
      <c r="AG805">
        <v>1</v>
      </c>
      <c r="AH805" t="e">
        <f t="shared" si="85"/>
        <v>#N/A</v>
      </c>
      <c r="AI805">
        <f t="shared" si="89"/>
        <v>2</v>
      </c>
      <c r="AJ805" t="e">
        <f t="shared" si="86"/>
        <v>#N/A</v>
      </c>
      <c r="AK805">
        <f t="shared" si="90"/>
        <v>3</v>
      </c>
      <c r="AL805" t="e">
        <f t="shared" si="87"/>
        <v>#N/A</v>
      </c>
      <c r="AM805">
        <f t="shared" si="91"/>
        <v>4</v>
      </c>
      <c r="AN805" t="e">
        <f t="shared" si="88"/>
        <v>#N/A</v>
      </c>
    </row>
    <row r="806" spans="12:40" x14ac:dyDescent="0.25">
      <c r="L806">
        <v>803</v>
      </c>
      <c r="M806">
        <v>13.071249999999999</v>
      </c>
      <c r="N806">
        <v>13.180624999999999</v>
      </c>
      <c r="O806">
        <v>13.967333333333334</v>
      </c>
      <c r="P806">
        <v>13.894312500000002</v>
      </c>
      <c r="AG806">
        <v>1</v>
      </c>
      <c r="AH806" t="e">
        <f t="shared" si="85"/>
        <v>#N/A</v>
      </c>
      <c r="AI806">
        <f t="shared" si="89"/>
        <v>2</v>
      </c>
      <c r="AJ806" t="e">
        <f t="shared" si="86"/>
        <v>#N/A</v>
      </c>
      <c r="AK806">
        <f t="shared" si="90"/>
        <v>3</v>
      </c>
      <c r="AL806" t="e">
        <f t="shared" si="87"/>
        <v>#N/A</v>
      </c>
      <c r="AM806">
        <f t="shared" si="91"/>
        <v>4</v>
      </c>
      <c r="AN806" t="e">
        <f t="shared" si="88"/>
        <v>#N/A</v>
      </c>
    </row>
    <row r="807" spans="12:40" x14ac:dyDescent="0.25">
      <c r="L807">
        <v>804</v>
      </c>
      <c r="M807">
        <v>12.895</v>
      </c>
      <c r="N807">
        <v>13.147500000000001</v>
      </c>
      <c r="O807">
        <v>13.401944444444444</v>
      </c>
      <c r="P807">
        <v>13.433076388888892</v>
      </c>
      <c r="AG807">
        <v>1</v>
      </c>
      <c r="AH807" t="e">
        <f t="shared" si="85"/>
        <v>#N/A</v>
      </c>
      <c r="AI807">
        <f t="shared" si="89"/>
        <v>2</v>
      </c>
      <c r="AJ807" t="e">
        <f t="shared" si="86"/>
        <v>#N/A</v>
      </c>
      <c r="AK807">
        <f t="shared" si="90"/>
        <v>3</v>
      </c>
      <c r="AL807" t="e">
        <f t="shared" si="87"/>
        <v>#N/A</v>
      </c>
      <c r="AM807">
        <f t="shared" si="91"/>
        <v>4</v>
      </c>
      <c r="AN807" t="e">
        <f t="shared" si="88"/>
        <v>#N/A</v>
      </c>
    </row>
    <row r="808" spans="12:40" x14ac:dyDescent="0.25">
      <c r="L808">
        <v>805</v>
      </c>
      <c r="M808">
        <v>12.89625</v>
      </c>
      <c r="N808">
        <v>14.22125</v>
      </c>
      <c r="O808">
        <v>14.205319444444445</v>
      </c>
      <c r="P808">
        <v>13.917902777777778</v>
      </c>
      <c r="AG808">
        <v>1</v>
      </c>
      <c r="AH808" t="e">
        <f t="shared" si="85"/>
        <v>#N/A</v>
      </c>
      <c r="AI808">
        <f t="shared" si="89"/>
        <v>2</v>
      </c>
      <c r="AJ808" t="e">
        <f t="shared" si="86"/>
        <v>#N/A</v>
      </c>
      <c r="AK808">
        <f t="shared" si="90"/>
        <v>3</v>
      </c>
      <c r="AL808" t="e">
        <f t="shared" si="87"/>
        <v>#N/A</v>
      </c>
      <c r="AM808">
        <f t="shared" si="91"/>
        <v>4</v>
      </c>
      <c r="AN808" t="e">
        <f t="shared" si="88"/>
        <v>#N/A</v>
      </c>
    </row>
    <row r="809" spans="12:40" x14ac:dyDescent="0.25">
      <c r="L809">
        <v>806</v>
      </c>
      <c r="M809">
        <v>15.06875</v>
      </c>
      <c r="N809">
        <v>15.41375</v>
      </c>
      <c r="O809">
        <v>14.091375000000001</v>
      </c>
      <c r="P809">
        <v>14.009770833333334</v>
      </c>
      <c r="AG809">
        <v>1</v>
      </c>
      <c r="AH809" t="e">
        <f t="shared" si="85"/>
        <v>#N/A</v>
      </c>
      <c r="AI809">
        <f t="shared" si="89"/>
        <v>2</v>
      </c>
      <c r="AJ809" t="e">
        <f t="shared" si="86"/>
        <v>#N/A</v>
      </c>
      <c r="AK809">
        <f t="shared" si="90"/>
        <v>3</v>
      </c>
      <c r="AL809" t="e">
        <f t="shared" si="87"/>
        <v>#N/A</v>
      </c>
      <c r="AM809">
        <f t="shared" si="91"/>
        <v>4</v>
      </c>
      <c r="AN809" t="e">
        <f t="shared" si="88"/>
        <v>#N/A</v>
      </c>
    </row>
    <row r="810" spans="12:40" x14ac:dyDescent="0.25">
      <c r="L810">
        <v>807</v>
      </c>
      <c r="M810">
        <v>15.182499999999999</v>
      </c>
      <c r="N810">
        <v>14.4825</v>
      </c>
      <c r="O810">
        <v>14.526430555555557</v>
      </c>
      <c r="P810">
        <v>14.410013888888887</v>
      </c>
      <c r="AG810">
        <v>1</v>
      </c>
      <c r="AH810" t="e">
        <f t="shared" si="85"/>
        <v>#N/A</v>
      </c>
      <c r="AI810">
        <f t="shared" si="89"/>
        <v>2</v>
      </c>
      <c r="AJ810" t="e">
        <f t="shared" si="86"/>
        <v>#N/A</v>
      </c>
      <c r="AK810">
        <f t="shared" si="90"/>
        <v>3</v>
      </c>
      <c r="AL810" t="e">
        <f t="shared" si="87"/>
        <v>#N/A</v>
      </c>
      <c r="AM810">
        <f t="shared" si="91"/>
        <v>4</v>
      </c>
      <c r="AN810" t="e">
        <f t="shared" si="88"/>
        <v>#N/A</v>
      </c>
    </row>
    <row r="811" spans="12:40" x14ac:dyDescent="0.25">
      <c r="L811">
        <v>808</v>
      </c>
      <c r="M811">
        <v>14.28</v>
      </c>
      <c r="N811">
        <v>13.951874999999999</v>
      </c>
      <c r="O811">
        <v>14.219458333333334</v>
      </c>
      <c r="P811">
        <v>13.909618055555557</v>
      </c>
      <c r="AG811">
        <v>1</v>
      </c>
      <c r="AH811" t="e">
        <f t="shared" si="85"/>
        <v>#N/A</v>
      </c>
      <c r="AI811">
        <f t="shared" si="89"/>
        <v>2</v>
      </c>
      <c r="AJ811" t="e">
        <f t="shared" si="86"/>
        <v>#N/A</v>
      </c>
      <c r="AK811">
        <f t="shared" si="90"/>
        <v>3</v>
      </c>
      <c r="AL811" t="e">
        <f t="shared" si="87"/>
        <v>#N/A</v>
      </c>
      <c r="AM811">
        <f t="shared" si="91"/>
        <v>4</v>
      </c>
      <c r="AN811" t="e">
        <f t="shared" si="88"/>
        <v>#N/A</v>
      </c>
    </row>
    <row r="812" spans="12:40" x14ac:dyDescent="0.25">
      <c r="L812">
        <v>809</v>
      </c>
      <c r="M812">
        <v>14.545</v>
      </c>
      <c r="N812">
        <v>14.155625000000001</v>
      </c>
      <c r="O812">
        <v>14.541736111111112</v>
      </c>
      <c r="P812">
        <v>14.029791666666668</v>
      </c>
      <c r="AG812">
        <v>1</v>
      </c>
      <c r="AH812" t="e">
        <f t="shared" si="85"/>
        <v>#N/A</v>
      </c>
      <c r="AI812">
        <f t="shared" si="89"/>
        <v>2</v>
      </c>
      <c r="AJ812" t="e">
        <f t="shared" si="86"/>
        <v>#N/A</v>
      </c>
      <c r="AK812">
        <f t="shared" si="90"/>
        <v>3</v>
      </c>
      <c r="AL812" t="e">
        <f t="shared" si="87"/>
        <v>#N/A</v>
      </c>
      <c r="AM812">
        <f t="shared" si="91"/>
        <v>4</v>
      </c>
      <c r="AN812" t="e">
        <f t="shared" si="88"/>
        <v>#N/A</v>
      </c>
    </row>
    <row r="813" spans="12:40" x14ac:dyDescent="0.25">
      <c r="L813">
        <v>810</v>
      </c>
      <c r="M813">
        <v>12.895</v>
      </c>
      <c r="N813">
        <v>13.04875</v>
      </c>
      <c r="O813">
        <v>13.793083333333334</v>
      </c>
      <c r="P813">
        <v>13.535229166666666</v>
      </c>
      <c r="AG813">
        <v>1</v>
      </c>
      <c r="AH813" t="e">
        <f t="shared" si="85"/>
        <v>#N/A</v>
      </c>
      <c r="AI813">
        <f t="shared" si="89"/>
        <v>2</v>
      </c>
      <c r="AJ813" t="e">
        <f t="shared" si="86"/>
        <v>#N/A</v>
      </c>
      <c r="AK813">
        <f t="shared" si="90"/>
        <v>3</v>
      </c>
      <c r="AL813" t="e">
        <f t="shared" si="87"/>
        <v>#N/A</v>
      </c>
      <c r="AM813">
        <f t="shared" si="91"/>
        <v>4</v>
      </c>
      <c r="AN813" t="e">
        <f t="shared" si="88"/>
        <v>#N/A</v>
      </c>
    </row>
    <row r="814" spans="12:40" x14ac:dyDescent="0.25">
      <c r="L814">
        <v>811</v>
      </c>
      <c r="M814">
        <v>14.307499999999999</v>
      </c>
      <c r="N814">
        <v>14.089375</v>
      </c>
      <c r="O814">
        <v>14.477666666666666</v>
      </c>
      <c r="P814">
        <v>14.193395833333334</v>
      </c>
      <c r="AG814">
        <v>1</v>
      </c>
      <c r="AH814" t="e">
        <f t="shared" si="85"/>
        <v>#N/A</v>
      </c>
      <c r="AI814">
        <f t="shared" si="89"/>
        <v>2</v>
      </c>
      <c r="AJ814" t="e">
        <f t="shared" si="86"/>
        <v>#N/A</v>
      </c>
      <c r="AK814">
        <f t="shared" si="90"/>
        <v>3</v>
      </c>
      <c r="AL814" t="e">
        <f t="shared" si="87"/>
        <v>#N/A</v>
      </c>
      <c r="AM814">
        <f t="shared" si="91"/>
        <v>4</v>
      </c>
      <c r="AN814" t="e">
        <f t="shared" si="88"/>
        <v>#N/A</v>
      </c>
    </row>
    <row r="815" spans="12:40" x14ac:dyDescent="0.25">
      <c r="L815">
        <v>812</v>
      </c>
      <c r="M815">
        <v>15.285</v>
      </c>
      <c r="N815">
        <v>15.558125</v>
      </c>
      <c r="O815">
        <v>14.286944444444444</v>
      </c>
      <c r="P815">
        <v>14.159000000000001</v>
      </c>
      <c r="AG815">
        <v>1</v>
      </c>
      <c r="AH815" t="e">
        <f t="shared" si="85"/>
        <v>#N/A</v>
      </c>
      <c r="AI815">
        <f t="shared" si="89"/>
        <v>2</v>
      </c>
      <c r="AJ815" t="e">
        <f t="shared" si="86"/>
        <v>#N/A</v>
      </c>
      <c r="AK815">
        <f t="shared" si="90"/>
        <v>3</v>
      </c>
      <c r="AL815" t="e">
        <f t="shared" si="87"/>
        <v>#N/A</v>
      </c>
      <c r="AM815">
        <f t="shared" si="91"/>
        <v>4</v>
      </c>
      <c r="AN815" t="e">
        <f t="shared" si="88"/>
        <v>#N/A</v>
      </c>
    </row>
    <row r="816" spans="12:40" x14ac:dyDescent="0.25">
      <c r="L816">
        <v>813</v>
      </c>
      <c r="M816">
        <v>13.456250000000001</v>
      </c>
      <c r="N816">
        <v>14.1875</v>
      </c>
      <c r="O816">
        <v>14.111847222222222</v>
      </c>
      <c r="P816">
        <v>13.947604166666668</v>
      </c>
      <c r="AG816">
        <v>1</v>
      </c>
      <c r="AH816" t="e">
        <f t="shared" si="85"/>
        <v>#N/A</v>
      </c>
      <c r="AI816">
        <f t="shared" si="89"/>
        <v>2</v>
      </c>
      <c r="AJ816" t="e">
        <f t="shared" si="86"/>
        <v>#N/A</v>
      </c>
      <c r="AK816">
        <f t="shared" si="90"/>
        <v>3</v>
      </c>
      <c r="AL816" t="e">
        <f t="shared" si="87"/>
        <v>#N/A</v>
      </c>
      <c r="AM816">
        <f t="shared" si="91"/>
        <v>4</v>
      </c>
      <c r="AN816" t="e">
        <f t="shared" si="88"/>
        <v>#N/A</v>
      </c>
    </row>
    <row r="817" spans="12:40" x14ac:dyDescent="0.25">
      <c r="L817">
        <v>814</v>
      </c>
      <c r="M817">
        <v>12.605</v>
      </c>
      <c r="N817">
        <v>13.571875</v>
      </c>
      <c r="O817">
        <v>14.456763888888887</v>
      </c>
      <c r="P817">
        <v>14.205618055555554</v>
      </c>
      <c r="AG817">
        <v>1</v>
      </c>
      <c r="AH817" t="e">
        <f t="shared" si="85"/>
        <v>#N/A</v>
      </c>
      <c r="AI817">
        <f t="shared" si="89"/>
        <v>2</v>
      </c>
      <c r="AJ817" t="e">
        <f t="shared" si="86"/>
        <v>#N/A</v>
      </c>
      <c r="AK817">
        <f t="shared" si="90"/>
        <v>3</v>
      </c>
      <c r="AL817" t="e">
        <f t="shared" si="87"/>
        <v>#N/A</v>
      </c>
      <c r="AM817">
        <f t="shared" si="91"/>
        <v>4</v>
      </c>
      <c r="AN817" t="e">
        <f t="shared" si="88"/>
        <v>#N/A</v>
      </c>
    </row>
    <row r="818" spans="12:40" x14ac:dyDescent="0.25">
      <c r="L818">
        <v>815</v>
      </c>
      <c r="M818">
        <v>13.42375</v>
      </c>
      <c r="N818">
        <v>14.161875</v>
      </c>
      <c r="O818">
        <v>14.048777777777778</v>
      </c>
      <c r="P818">
        <v>14.520118055555557</v>
      </c>
      <c r="AG818">
        <v>1</v>
      </c>
      <c r="AH818" t="e">
        <f t="shared" si="85"/>
        <v>#N/A</v>
      </c>
      <c r="AI818">
        <f t="shared" si="89"/>
        <v>2</v>
      </c>
      <c r="AJ818" t="e">
        <f t="shared" si="86"/>
        <v>#N/A</v>
      </c>
      <c r="AK818">
        <f t="shared" si="90"/>
        <v>3</v>
      </c>
      <c r="AL818" t="e">
        <f t="shared" si="87"/>
        <v>#N/A</v>
      </c>
      <c r="AM818">
        <f t="shared" si="91"/>
        <v>4</v>
      </c>
      <c r="AN818" t="e">
        <f t="shared" si="88"/>
        <v>#N/A</v>
      </c>
    </row>
    <row r="819" spans="12:40" x14ac:dyDescent="0.25">
      <c r="L819">
        <v>816</v>
      </c>
      <c r="M819">
        <v>13.9725</v>
      </c>
      <c r="N819">
        <v>13.750624999999999</v>
      </c>
      <c r="O819">
        <v>14.415055555555558</v>
      </c>
      <c r="P819">
        <v>14.016652777777779</v>
      </c>
      <c r="AG819">
        <v>1</v>
      </c>
      <c r="AH819" t="e">
        <f t="shared" si="85"/>
        <v>#N/A</v>
      </c>
      <c r="AI819">
        <f t="shared" si="89"/>
        <v>2</v>
      </c>
      <c r="AJ819" t="e">
        <f t="shared" si="86"/>
        <v>#N/A</v>
      </c>
      <c r="AK819">
        <f t="shared" si="90"/>
        <v>3</v>
      </c>
      <c r="AL819" t="e">
        <f t="shared" si="87"/>
        <v>#N/A</v>
      </c>
      <c r="AM819">
        <f t="shared" si="91"/>
        <v>4</v>
      </c>
      <c r="AN819" t="e">
        <f t="shared" si="88"/>
        <v>#N/A</v>
      </c>
    </row>
    <row r="820" spans="12:40" x14ac:dyDescent="0.25">
      <c r="L820">
        <v>817</v>
      </c>
      <c r="M820">
        <v>13.05875</v>
      </c>
      <c r="N820">
        <v>13.369375</v>
      </c>
      <c r="O820">
        <v>13.769958333333333</v>
      </c>
      <c r="P820">
        <v>13.276590277777778</v>
      </c>
      <c r="AG820">
        <v>1</v>
      </c>
      <c r="AH820" t="e">
        <f t="shared" si="85"/>
        <v>#N/A</v>
      </c>
      <c r="AI820">
        <f t="shared" si="89"/>
        <v>2</v>
      </c>
      <c r="AJ820" t="e">
        <f t="shared" si="86"/>
        <v>#N/A</v>
      </c>
      <c r="AK820">
        <f t="shared" si="90"/>
        <v>3</v>
      </c>
      <c r="AL820" t="e">
        <f t="shared" si="87"/>
        <v>#N/A</v>
      </c>
      <c r="AM820">
        <f t="shared" si="91"/>
        <v>4</v>
      </c>
      <c r="AN820" t="e">
        <f t="shared" si="88"/>
        <v>#N/A</v>
      </c>
    </row>
    <row r="821" spans="12:40" x14ac:dyDescent="0.25">
      <c r="L821">
        <v>818</v>
      </c>
      <c r="M821">
        <v>14.32375</v>
      </c>
      <c r="N821">
        <v>13.366875</v>
      </c>
      <c r="O821">
        <v>14.327750000000002</v>
      </c>
      <c r="P821">
        <v>14.653798611111108</v>
      </c>
      <c r="AG821">
        <v>1</v>
      </c>
      <c r="AH821" t="e">
        <f t="shared" si="85"/>
        <v>#N/A</v>
      </c>
      <c r="AI821">
        <f t="shared" si="89"/>
        <v>2</v>
      </c>
      <c r="AJ821" t="e">
        <f t="shared" si="86"/>
        <v>#N/A</v>
      </c>
      <c r="AK821">
        <f t="shared" si="90"/>
        <v>3</v>
      </c>
      <c r="AL821" t="e">
        <f t="shared" si="87"/>
        <v>#N/A</v>
      </c>
      <c r="AM821">
        <f t="shared" si="91"/>
        <v>4</v>
      </c>
      <c r="AN821" t="e">
        <f t="shared" si="88"/>
        <v>#N/A</v>
      </c>
    </row>
    <row r="822" spans="12:40" x14ac:dyDescent="0.25">
      <c r="L822">
        <v>819</v>
      </c>
      <c r="M822">
        <v>13.69375</v>
      </c>
      <c r="N822">
        <v>13.0725</v>
      </c>
      <c r="O822">
        <v>13.396222222222223</v>
      </c>
      <c r="P822">
        <v>13.839930555555556</v>
      </c>
      <c r="AG822">
        <v>1</v>
      </c>
      <c r="AH822" t="e">
        <f t="shared" si="85"/>
        <v>#N/A</v>
      </c>
      <c r="AI822">
        <f t="shared" si="89"/>
        <v>2</v>
      </c>
      <c r="AJ822" t="e">
        <f t="shared" si="86"/>
        <v>#N/A</v>
      </c>
      <c r="AK822">
        <f t="shared" si="90"/>
        <v>3</v>
      </c>
      <c r="AL822" t="e">
        <f t="shared" si="87"/>
        <v>#N/A</v>
      </c>
      <c r="AM822">
        <f t="shared" si="91"/>
        <v>4</v>
      </c>
      <c r="AN822" t="e">
        <f t="shared" si="88"/>
        <v>#N/A</v>
      </c>
    </row>
    <row r="823" spans="12:40" x14ac:dyDescent="0.25">
      <c r="L823">
        <v>820</v>
      </c>
      <c r="M823">
        <v>15.7575</v>
      </c>
      <c r="N823">
        <v>14.179375</v>
      </c>
      <c r="O823">
        <v>14.680138888888889</v>
      </c>
      <c r="P823">
        <v>14.477506944444444</v>
      </c>
      <c r="AG823">
        <v>1</v>
      </c>
      <c r="AH823" t="e">
        <f t="shared" si="85"/>
        <v>#N/A</v>
      </c>
      <c r="AI823">
        <f t="shared" si="89"/>
        <v>2</v>
      </c>
      <c r="AJ823" t="e">
        <f t="shared" si="86"/>
        <v>#N/A</v>
      </c>
      <c r="AK823">
        <f t="shared" si="90"/>
        <v>3</v>
      </c>
      <c r="AL823" t="e">
        <f t="shared" si="87"/>
        <v>#N/A</v>
      </c>
      <c r="AM823">
        <f t="shared" si="91"/>
        <v>4</v>
      </c>
      <c r="AN823" t="e">
        <f t="shared" si="88"/>
        <v>#N/A</v>
      </c>
    </row>
    <row r="824" spans="12:40" x14ac:dyDescent="0.25">
      <c r="L824">
        <v>821</v>
      </c>
      <c r="M824">
        <v>13.7325</v>
      </c>
      <c r="N824">
        <v>14.487500000000001</v>
      </c>
      <c r="O824">
        <v>14.265402777777778</v>
      </c>
      <c r="P824">
        <v>14.141694444444445</v>
      </c>
      <c r="AG824">
        <v>1</v>
      </c>
      <c r="AH824" t="e">
        <f t="shared" si="85"/>
        <v>#N/A</v>
      </c>
      <c r="AI824">
        <f t="shared" si="89"/>
        <v>2</v>
      </c>
      <c r="AJ824" t="e">
        <f t="shared" si="86"/>
        <v>#N/A</v>
      </c>
      <c r="AK824">
        <f t="shared" si="90"/>
        <v>3</v>
      </c>
      <c r="AL824" t="e">
        <f t="shared" si="87"/>
        <v>#N/A</v>
      </c>
      <c r="AM824">
        <f t="shared" si="91"/>
        <v>4</v>
      </c>
      <c r="AN824" t="e">
        <f t="shared" si="88"/>
        <v>#N/A</v>
      </c>
    </row>
    <row r="825" spans="12:40" x14ac:dyDescent="0.25">
      <c r="L825">
        <v>822</v>
      </c>
      <c r="M825">
        <v>15.2075</v>
      </c>
      <c r="N825">
        <v>15.04</v>
      </c>
      <c r="O825">
        <v>14.032180555555556</v>
      </c>
      <c r="P825">
        <v>14.338298611111114</v>
      </c>
      <c r="AG825">
        <v>1</v>
      </c>
      <c r="AH825" t="e">
        <f t="shared" si="85"/>
        <v>#N/A</v>
      </c>
      <c r="AI825">
        <f t="shared" si="89"/>
        <v>2</v>
      </c>
      <c r="AJ825" t="e">
        <f t="shared" si="86"/>
        <v>#N/A</v>
      </c>
      <c r="AK825">
        <f t="shared" si="90"/>
        <v>3</v>
      </c>
      <c r="AL825" t="e">
        <f t="shared" si="87"/>
        <v>#N/A</v>
      </c>
      <c r="AM825">
        <f t="shared" si="91"/>
        <v>4</v>
      </c>
      <c r="AN825" t="e">
        <f t="shared" si="88"/>
        <v>#N/A</v>
      </c>
    </row>
    <row r="826" spans="12:40" x14ac:dyDescent="0.25">
      <c r="L826">
        <v>823</v>
      </c>
      <c r="M826">
        <v>13.005000000000001</v>
      </c>
      <c r="N826">
        <v>14.186875000000001</v>
      </c>
      <c r="O826">
        <v>13.641319444444443</v>
      </c>
      <c r="P826">
        <v>14.163944444444445</v>
      </c>
      <c r="AG826">
        <v>1</v>
      </c>
      <c r="AH826" t="e">
        <f t="shared" si="85"/>
        <v>#N/A</v>
      </c>
      <c r="AI826">
        <f t="shared" si="89"/>
        <v>2</v>
      </c>
      <c r="AJ826" t="e">
        <f t="shared" si="86"/>
        <v>#N/A</v>
      </c>
      <c r="AK826">
        <f t="shared" si="90"/>
        <v>3</v>
      </c>
      <c r="AL826" t="e">
        <f t="shared" si="87"/>
        <v>#N/A</v>
      </c>
      <c r="AM826">
        <f t="shared" si="91"/>
        <v>4</v>
      </c>
      <c r="AN826" t="e">
        <f t="shared" si="88"/>
        <v>#N/A</v>
      </c>
    </row>
    <row r="827" spans="12:40" x14ac:dyDescent="0.25">
      <c r="L827">
        <v>824</v>
      </c>
      <c r="M827">
        <v>12.5075</v>
      </c>
      <c r="N827">
        <v>12.571875</v>
      </c>
      <c r="O827">
        <v>12.609097222222221</v>
      </c>
      <c r="P827">
        <v>13.215166666666667</v>
      </c>
      <c r="AG827">
        <v>1</v>
      </c>
      <c r="AH827" t="e">
        <f t="shared" si="85"/>
        <v>#N/A</v>
      </c>
      <c r="AI827">
        <f t="shared" si="89"/>
        <v>2</v>
      </c>
      <c r="AJ827" t="e">
        <f t="shared" si="86"/>
        <v>#N/A</v>
      </c>
      <c r="AK827">
        <f t="shared" si="90"/>
        <v>3</v>
      </c>
      <c r="AL827" t="e">
        <f t="shared" si="87"/>
        <v>#N/A</v>
      </c>
      <c r="AM827">
        <f t="shared" si="91"/>
        <v>4</v>
      </c>
      <c r="AN827" t="e">
        <f t="shared" si="88"/>
        <v>#N/A</v>
      </c>
    </row>
    <row r="828" spans="12:40" x14ac:dyDescent="0.25">
      <c r="L828">
        <v>825</v>
      </c>
      <c r="M828">
        <v>14.84125</v>
      </c>
      <c r="N828">
        <v>14.79</v>
      </c>
      <c r="O828">
        <v>14.350680555555558</v>
      </c>
      <c r="P828">
        <v>14.162055555555558</v>
      </c>
      <c r="AG828">
        <v>1</v>
      </c>
      <c r="AH828" t="e">
        <f t="shared" si="85"/>
        <v>#N/A</v>
      </c>
      <c r="AI828">
        <f t="shared" si="89"/>
        <v>2</v>
      </c>
      <c r="AJ828" t="e">
        <f t="shared" si="86"/>
        <v>#N/A</v>
      </c>
      <c r="AK828">
        <f t="shared" si="90"/>
        <v>3</v>
      </c>
      <c r="AL828" t="e">
        <f t="shared" si="87"/>
        <v>#N/A</v>
      </c>
      <c r="AM828">
        <f t="shared" si="91"/>
        <v>4</v>
      </c>
      <c r="AN828" t="e">
        <f t="shared" si="88"/>
        <v>#N/A</v>
      </c>
    </row>
    <row r="829" spans="12:40" x14ac:dyDescent="0.25">
      <c r="L829">
        <v>826</v>
      </c>
      <c r="M829">
        <v>13.68</v>
      </c>
      <c r="N829">
        <v>13.959375</v>
      </c>
      <c r="O829">
        <v>13.567013888888889</v>
      </c>
      <c r="P829">
        <v>13.434986111111112</v>
      </c>
      <c r="AG829">
        <v>1</v>
      </c>
      <c r="AH829" t="e">
        <f t="shared" si="85"/>
        <v>#N/A</v>
      </c>
      <c r="AI829">
        <f t="shared" si="89"/>
        <v>2</v>
      </c>
      <c r="AJ829" t="e">
        <f t="shared" si="86"/>
        <v>#N/A</v>
      </c>
      <c r="AK829">
        <f t="shared" si="90"/>
        <v>3</v>
      </c>
      <c r="AL829" t="e">
        <f t="shared" si="87"/>
        <v>#N/A</v>
      </c>
      <c r="AM829">
        <f t="shared" si="91"/>
        <v>4</v>
      </c>
      <c r="AN829" t="e">
        <f t="shared" si="88"/>
        <v>#N/A</v>
      </c>
    </row>
    <row r="830" spans="12:40" x14ac:dyDescent="0.25">
      <c r="L830">
        <v>827</v>
      </c>
      <c r="M830">
        <v>12.47</v>
      </c>
      <c r="N830">
        <v>13.204375000000001</v>
      </c>
      <c r="O830">
        <v>13.66490277777778</v>
      </c>
      <c r="P830">
        <v>13.875784722222223</v>
      </c>
      <c r="AG830">
        <v>1</v>
      </c>
      <c r="AH830" t="e">
        <f t="shared" si="85"/>
        <v>#N/A</v>
      </c>
      <c r="AI830">
        <f t="shared" si="89"/>
        <v>2</v>
      </c>
      <c r="AJ830" t="e">
        <f t="shared" si="86"/>
        <v>#N/A</v>
      </c>
      <c r="AK830">
        <f t="shared" si="90"/>
        <v>3</v>
      </c>
      <c r="AL830" t="e">
        <f t="shared" si="87"/>
        <v>#N/A</v>
      </c>
      <c r="AM830">
        <f t="shared" si="91"/>
        <v>4</v>
      </c>
      <c r="AN830" t="e">
        <f t="shared" si="88"/>
        <v>#N/A</v>
      </c>
    </row>
    <row r="831" spans="12:40" x14ac:dyDescent="0.25">
      <c r="L831">
        <v>828</v>
      </c>
      <c r="M831">
        <v>13.67625</v>
      </c>
      <c r="N831">
        <v>13.69375</v>
      </c>
      <c r="O831">
        <v>14.699305555555556</v>
      </c>
      <c r="P831">
        <v>14.389986111111114</v>
      </c>
      <c r="AG831">
        <v>1</v>
      </c>
      <c r="AH831" t="e">
        <f t="shared" si="85"/>
        <v>#N/A</v>
      </c>
      <c r="AI831">
        <f t="shared" si="89"/>
        <v>2</v>
      </c>
      <c r="AJ831" t="e">
        <f t="shared" si="86"/>
        <v>#N/A</v>
      </c>
      <c r="AK831">
        <f t="shared" si="90"/>
        <v>3</v>
      </c>
      <c r="AL831" t="e">
        <f t="shared" si="87"/>
        <v>#N/A</v>
      </c>
      <c r="AM831">
        <f t="shared" si="91"/>
        <v>4</v>
      </c>
      <c r="AN831" t="e">
        <f t="shared" si="88"/>
        <v>#N/A</v>
      </c>
    </row>
    <row r="832" spans="12:40" x14ac:dyDescent="0.25">
      <c r="L832">
        <v>829</v>
      </c>
      <c r="M832">
        <v>13.30625</v>
      </c>
      <c r="N832">
        <v>13.801875000000001</v>
      </c>
      <c r="O832">
        <v>13.98925</v>
      </c>
      <c r="P832">
        <v>14.30336111111111</v>
      </c>
      <c r="AG832">
        <v>1</v>
      </c>
      <c r="AH832" t="e">
        <f t="shared" si="85"/>
        <v>#N/A</v>
      </c>
      <c r="AI832">
        <f t="shared" si="89"/>
        <v>2</v>
      </c>
      <c r="AJ832" t="e">
        <f t="shared" si="86"/>
        <v>#N/A</v>
      </c>
      <c r="AK832">
        <f t="shared" si="90"/>
        <v>3</v>
      </c>
      <c r="AL832" t="e">
        <f t="shared" si="87"/>
        <v>#N/A</v>
      </c>
      <c r="AM832">
        <f t="shared" si="91"/>
        <v>4</v>
      </c>
      <c r="AN832" t="e">
        <f t="shared" si="88"/>
        <v>#N/A</v>
      </c>
    </row>
    <row r="833" spans="12:40" x14ac:dyDescent="0.25">
      <c r="L833">
        <v>830</v>
      </c>
      <c r="M833">
        <v>14.27</v>
      </c>
      <c r="N833">
        <v>14.710625</v>
      </c>
      <c r="O833">
        <v>14.379055555555556</v>
      </c>
      <c r="P833">
        <v>13.935354166666668</v>
      </c>
      <c r="AG833">
        <v>1</v>
      </c>
      <c r="AH833" t="e">
        <f t="shared" si="85"/>
        <v>#N/A</v>
      </c>
      <c r="AI833">
        <f t="shared" si="89"/>
        <v>2</v>
      </c>
      <c r="AJ833" t="e">
        <f t="shared" si="86"/>
        <v>#N/A</v>
      </c>
      <c r="AK833">
        <f t="shared" si="90"/>
        <v>3</v>
      </c>
      <c r="AL833" t="e">
        <f t="shared" si="87"/>
        <v>#N/A</v>
      </c>
      <c r="AM833">
        <f t="shared" si="91"/>
        <v>4</v>
      </c>
      <c r="AN833" t="e">
        <f t="shared" si="88"/>
        <v>#N/A</v>
      </c>
    </row>
    <row r="834" spans="12:40" x14ac:dyDescent="0.25">
      <c r="L834">
        <v>831</v>
      </c>
      <c r="M834">
        <v>12.285</v>
      </c>
      <c r="N834">
        <v>13.59625</v>
      </c>
      <c r="O834">
        <v>13.197180555555555</v>
      </c>
      <c r="P834">
        <v>13.217513888888886</v>
      </c>
      <c r="AG834">
        <v>1</v>
      </c>
      <c r="AH834" t="e">
        <f t="shared" si="85"/>
        <v>#N/A</v>
      </c>
      <c r="AI834">
        <f t="shared" si="89"/>
        <v>2</v>
      </c>
      <c r="AJ834" t="e">
        <f t="shared" si="86"/>
        <v>#N/A</v>
      </c>
      <c r="AK834">
        <f t="shared" si="90"/>
        <v>3</v>
      </c>
      <c r="AL834" t="e">
        <f t="shared" si="87"/>
        <v>#N/A</v>
      </c>
      <c r="AM834">
        <f t="shared" si="91"/>
        <v>4</v>
      </c>
      <c r="AN834" t="e">
        <f t="shared" si="88"/>
        <v>#N/A</v>
      </c>
    </row>
    <row r="835" spans="12:40" x14ac:dyDescent="0.25">
      <c r="L835">
        <v>832</v>
      </c>
      <c r="M835">
        <v>15.15875</v>
      </c>
      <c r="N835">
        <v>14.96</v>
      </c>
      <c r="O835">
        <v>14.238527777777779</v>
      </c>
      <c r="P835">
        <v>13.973909722222222</v>
      </c>
      <c r="AG835">
        <v>1</v>
      </c>
      <c r="AH835" t="e">
        <f t="shared" si="85"/>
        <v>#N/A</v>
      </c>
      <c r="AI835">
        <f t="shared" si="89"/>
        <v>2</v>
      </c>
      <c r="AJ835" t="e">
        <f t="shared" si="86"/>
        <v>#N/A</v>
      </c>
      <c r="AK835">
        <f t="shared" si="90"/>
        <v>3</v>
      </c>
      <c r="AL835" t="e">
        <f t="shared" si="87"/>
        <v>#N/A</v>
      </c>
      <c r="AM835">
        <f t="shared" si="91"/>
        <v>4</v>
      </c>
      <c r="AN835" t="e">
        <f t="shared" si="88"/>
        <v>#N/A</v>
      </c>
    </row>
    <row r="836" spans="12:40" x14ac:dyDescent="0.25">
      <c r="L836">
        <v>833</v>
      </c>
      <c r="M836">
        <v>12.574999999999999</v>
      </c>
      <c r="N836">
        <v>12.571875</v>
      </c>
      <c r="O836">
        <v>12.991875</v>
      </c>
      <c r="P836">
        <v>14.010826388888889</v>
      </c>
      <c r="AG836">
        <v>1</v>
      </c>
      <c r="AH836" t="e">
        <f t="shared" ref="AH836:AH899" si="92">IF(OR(M836&lt;S$3,M836&gt;S$7),M836,#N/A)</f>
        <v>#N/A</v>
      </c>
      <c r="AI836">
        <f t="shared" si="89"/>
        <v>2</v>
      </c>
      <c r="AJ836" t="e">
        <f t="shared" ref="AJ836:AJ899" si="93">IF(OR(N836&lt;T$3,N836&gt;T$7),N836,#N/A)</f>
        <v>#N/A</v>
      </c>
      <c r="AK836">
        <f t="shared" si="90"/>
        <v>3</v>
      </c>
      <c r="AL836" t="e">
        <f t="shared" ref="AL836:AL899" si="94">IF(OR(O836&lt;U$3,O836&gt;U$7),O836,#N/A)</f>
        <v>#N/A</v>
      </c>
      <c r="AM836">
        <f t="shared" si="91"/>
        <v>4</v>
      </c>
      <c r="AN836" t="e">
        <f t="shared" ref="AN836:AN899" si="95">IF(OR(P836&lt;V$3,P836&gt;V$7),P836,#N/A)</f>
        <v>#N/A</v>
      </c>
    </row>
    <row r="837" spans="12:40" x14ac:dyDescent="0.25">
      <c r="L837">
        <v>834</v>
      </c>
      <c r="M837">
        <v>13.2125</v>
      </c>
      <c r="N837">
        <v>13.341875</v>
      </c>
      <c r="O837">
        <v>14.237402777777779</v>
      </c>
      <c r="P837">
        <v>14.036506944444444</v>
      </c>
      <c r="AG837">
        <v>1</v>
      </c>
      <c r="AH837" t="e">
        <f t="shared" si="92"/>
        <v>#N/A</v>
      </c>
      <c r="AI837">
        <f t="shared" ref="AI837:AI900" si="96">AG837+1</f>
        <v>2</v>
      </c>
      <c r="AJ837" t="e">
        <f t="shared" si="93"/>
        <v>#N/A</v>
      </c>
      <c r="AK837">
        <f t="shared" ref="AK837:AK900" si="97">AI837+1</f>
        <v>3</v>
      </c>
      <c r="AL837" t="e">
        <f t="shared" si="94"/>
        <v>#N/A</v>
      </c>
      <c r="AM837">
        <f t="shared" ref="AM837:AM900" si="98">AK837+1</f>
        <v>4</v>
      </c>
      <c r="AN837" t="e">
        <f t="shared" si="95"/>
        <v>#N/A</v>
      </c>
    </row>
    <row r="838" spans="12:40" x14ac:dyDescent="0.25">
      <c r="L838">
        <v>835</v>
      </c>
      <c r="M838">
        <v>12.9475</v>
      </c>
      <c r="N838">
        <v>13.579375000000001</v>
      </c>
      <c r="O838">
        <v>13.734472222222221</v>
      </c>
      <c r="P838">
        <v>13.741673611111112</v>
      </c>
      <c r="AG838">
        <v>1</v>
      </c>
      <c r="AH838" t="e">
        <f t="shared" si="92"/>
        <v>#N/A</v>
      </c>
      <c r="AI838">
        <f t="shared" si="96"/>
        <v>2</v>
      </c>
      <c r="AJ838" t="e">
        <f t="shared" si="93"/>
        <v>#N/A</v>
      </c>
      <c r="AK838">
        <f t="shared" si="97"/>
        <v>3</v>
      </c>
      <c r="AL838" t="e">
        <f t="shared" si="94"/>
        <v>#N/A</v>
      </c>
      <c r="AM838">
        <f t="shared" si="98"/>
        <v>4</v>
      </c>
      <c r="AN838" t="e">
        <f t="shared" si="95"/>
        <v>#N/A</v>
      </c>
    </row>
    <row r="839" spans="12:40" x14ac:dyDescent="0.25">
      <c r="L839">
        <v>836</v>
      </c>
      <c r="M839">
        <v>14.58375</v>
      </c>
      <c r="N839">
        <v>13.340624999999999</v>
      </c>
      <c r="O839">
        <v>14.305944444444446</v>
      </c>
      <c r="P839">
        <v>14.397201388888888</v>
      </c>
      <c r="AG839">
        <v>1</v>
      </c>
      <c r="AH839" t="e">
        <f t="shared" si="92"/>
        <v>#N/A</v>
      </c>
      <c r="AI839">
        <f t="shared" si="96"/>
        <v>2</v>
      </c>
      <c r="AJ839" t="e">
        <f t="shared" si="93"/>
        <v>#N/A</v>
      </c>
      <c r="AK839">
        <f t="shared" si="97"/>
        <v>3</v>
      </c>
      <c r="AL839" t="e">
        <f t="shared" si="94"/>
        <v>#N/A</v>
      </c>
      <c r="AM839">
        <f t="shared" si="98"/>
        <v>4</v>
      </c>
      <c r="AN839" t="e">
        <f t="shared" si="95"/>
        <v>#N/A</v>
      </c>
    </row>
    <row r="840" spans="12:40" x14ac:dyDescent="0.25">
      <c r="L840">
        <v>837</v>
      </c>
      <c r="M840">
        <v>13.24375</v>
      </c>
      <c r="N840">
        <v>13.199375</v>
      </c>
      <c r="O840">
        <v>14.244375</v>
      </c>
      <c r="P840">
        <v>13.763729166666664</v>
      </c>
      <c r="AG840">
        <v>1</v>
      </c>
      <c r="AH840" t="e">
        <f t="shared" si="92"/>
        <v>#N/A</v>
      </c>
      <c r="AI840">
        <f t="shared" si="96"/>
        <v>2</v>
      </c>
      <c r="AJ840" t="e">
        <f t="shared" si="93"/>
        <v>#N/A</v>
      </c>
      <c r="AK840">
        <f t="shared" si="97"/>
        <v>3</v>
      </c>
      <c r="AL840" t="e">
        <f t="shared" si="94"/>
        <v>#N/A</v>
      </c>
      <c r="AM840">
        <f t="shared" si="98"/>
        <v>4</v>
      </c>
      <c r="AN840" t="e">
        <f t="shared" si="95"/>
        <v>#N/A</v>
      </c>
    </row>
    <row r="841" spans="12:40" x14ac:dyDescent="0.25">
      <c r="L841">
        <v>838</v>
      </c>
      <c r="M841">
        <v>14.49625</v>
      </c>
      <c r="N841">
        <v>14.376875</v>
      </c>
      <c r="O841">
        <v>13.70825</v>
      </c>
      <c r="P841">
        <v>14.167819444444444</v>
      </c>
      <c r="AG841">
        <v>1</v>
      </c>
      <c r="AH841" t="e">
        <f t="shared" si="92"/>
        <v>#N/A</v>
      </c>
      <c r="AI841">
        <f t="shared" si="96"/>
        <v>2</v>
      </c>
      <c r="AJ841" t="e">
        <f t="shared" si="93"/>
        <v>#N/A</v>
      </c>
      <c r="AK841">
        <f t="shared" si="97"/>
        <v>3</v>
      </c>
      <c r="AL841" t="e">
        <f t="shared" si="94"/>
        <v>#N/A</v>
      </c>
      <c r="AM841">
        <f t="shared" si="98"/>
        <v>4</v>
      </c>
      <c r="AN841" t="e">
        <f t="shared" si="95"/>
        <v>#N/A</v>
      </c>
    </row>
    <row r="842" spans="12:40" x14ac:dyDescent="0.25">
      <c r="L842">
        <v>839</v>
      </c>
      <c r="M842">
        <v>14.1325</v>
      </c>
      <c r="N842">
        <v>14.316875</v>
      </c>
      <c r="O842">
        <v>14.165791666666669</v>
      </c>
      <c r="P842">
        <v>14.096354166666664</v>
      </c>
      <c r="AG842">
        <v>1</v>
      </c>
      <c r="AH842" t="e">
        <f t="shared" si="92"/>
        <v>#N/A</v>
      </c>
      <c r="AI842">
        <f t="shared" si="96"/>
        <v>2</v>
      </c>
      <c r="AJ842" t="e">
        <f t="shared" si="93"/>
        <v>#N/A</v>
      </c>
      <c r="AK842">
        <f t="shared" si="97"/>
        <v>3</v>
      </c>
      <c r="AL842" t="e">
        <f t="shared" si="94"/>
        <v>#N/A</v>
      </c>
      <c r="AM842">
        <f t="shared" si="98"/>
        <v>4</v>
      </c>
      <c r="AN842" t="e">
        <f t="shared" si="95"/>
        <v>#N/A</v>
      </c>
    </row>
    <row r="843" spans="12:40" x14ac:dyDescent="0.25">
      <c r="L843">
        <v>840</v>
      </c>
      <c r="M843">
        <v>14.31</v>
      </c>
      <c r="N843">
        <v>14.262499999999999</v>
      </c>
      <c r="O843">
        <v>14.478430555555553</v>
      </c>
      <c r="P843">
        <v>14.224138888888893</v>
      </c>
      <c r="AG843">
        <v>1</v>
      </c>
      <c r="AH843" t="e">
        <f t="shared" si="92"/>
        <v>#N/A</v>
      </c>
      <c r="AI843">
        <f t="shared" si="96"/>
        <v>2</v>
      </c>
      <c r="AJ843" t="e">
        <f t="shared" si="93"/>
        <v>#N/A</v>
      </c>
      <c r="AK843">
        <f t="shared" si="97"/>
        <v>3</v>
      </c>
      <c r="AL843" t="e">
        <f t="shared" si="94"/>
        <v>#N/A</v>
      </c>
      <c r="AM843">
        <f t="shared" si="98"/>
        <v>4</v>
      </c>
      <c r="AN843" t="e">
        <f t="shared" si="95"/>
        <v>#N/A</v>
      </c>
    </row>
    <row r="844" spans="12:40" x14ac:dyDescent="0.25">
      <c r="L844">
        <v>841</v>
      </c>
      <c r="M844">
        <v>15.6075</v>
      </c>
      <c r="N844">
        <v>14.360625000000001</v>
      </c>
      <c r="O844">
        <v>14.166236111111109</v>
      </c>
      <c r="P844">
        <v>14.039708333333335</v>
      </c>
      <c r="AG844">
        <v>1</v>
      </c>
      <c r="AH844" t="e">
        <f t="shared" si="92"/>
        <v>#N/A</v>
      </c>
      <c r="AI844">
        <f t="shared" si="96"/>
        <v>2</v>
      </c>
      <c r="AJ844" t="e">
        <f t="shared" si="93"/>
        <v>#N/A</v>
      </c>
      <c r="AK844">
        <f t="shared" si="97"/>
        <v>3</v>
      </c>
      <c r="AL844" t="e">
        <f t="shared" si="94"/>
        <v>#N/A</v>
      </c>
      <c r="AM844">
        <f t="shared" si="98"/>
        <v>4</v>
      </c>
      <c r="AN844" t="e">
        <f t="shared" si="95"/>
        <v>#N/A</v>
      </c>
    </row>
    <row r="845" spans="12:40" x14ac:dyDescent="0.25">
      <c r="L845">
        <v>842</v>
      </c>
      <c r="M845">
        <v>13.65875</v>
      </c>
      <c r="N845">
        <v>13.559374999999999</v>
      </c>
      <c r="O845">
        <v>13.436138888888888</v>
      </c>
      <c r="P845">
        <v>13.295895833333335</v>
      </c>
      <c r="AG845">
        <v>1</v>
      </c>
      <c r="AH845" t="e">
        <f t="shared" si="92"/>
        <v>#N/A</v>
      </c>
      <c r="AI845">
        <f t="shared" si="96"/>
        <v>2</v>
      </c>
      <c r="AJ845" t="e">
        <f t="shared" si="93"/>
        <v>#N/A</v>
      </c>
      <c r="AK845">
        <f t="shared" si="97"/>
        <v>3</v>
      </c>
      <c r="AL845" t="e">
        <f t="shared" si="94"/>
        <v>#N/A</v>
      </c>
      <c r="AM845">
        <f t="shared" si="98"/>
        <v>4</v>
      </c>
      <c r="AN845" t="e">
        <f t="shared" si="95"/>
        <v>#N/A</v>
      </c>
    </row>
    <row r="846" spans="12:40" x14ac:dyDescent="0.25">
      <c r="L846">
        <v>843</v>
      </c>
      <c r="M846">
        <v>13.32375</v>
      </c>
      <c r="N846">
        <v>13.10125</v>
      </c>
      <c r="O846">
        <v>13.66476388888889</v>
      </c>
      <c r="P846">
        <v>13.95836111111111</v>
      </c>
      <c r="AG846">
        <v>1</v>
      </c>
      <c r="AH846" t="e">
        <f t="shared" si="92"/>
        <v>#N/A</v>
      </c>
      <c r="AI846">
        <f t="shared" si="96"/>
        <v>2</v>
      </c>
      <c r="AJ846" t="e">
        <f t="shared" si="93"/>
        <v>#N/A</v>
      </c>
      <c r="AK846">
        <f t="shared" si="97"/>
        <v>3</v>
      </c>
      <c r="AL846" t="e">
        <f t="shared" si="94"/>
        <v>#N/A</v>
      </c>
      <c r="AM846">
        <f t="shared" si="98"/>
        <v>4</v>
      </c>
      <c r="AN846" t="e">
        <f t="shared" si="95"/>
        <v>#N/A</v>
      </c>
    </row>
    <row r="847" spans="12:40" x14ac:dyDescent="0.25">
      <c r="L847">
        <v>844</v>
      </c>
      <c r="M847">
        <v>13.43375</v>
      </c>
      <c r="N847">
        <v>14.185</v>
      </c>
      <c r="O847">
        <v>14.141930555555557</v>
      </c>
      <c r="P847">
        <v>14.304124999999999</v>
      </c>
      <c r="AG847">
        <v>1</v>
      </c>
      <c r="AH847" t="e">
        <f t="shared" si="92"/>
        <v>#N/A</v>
      </c>
      <c r="AI847">
        <f t="shared" si="96"/>
        <v>2</v>
      </c>
      <c r="AJ847" t="e">
        <f t="shared" si="93"/>
        <v>#N/A</v>
      </c>
      <c r="AK847">
        <f t="shared" si="97"/>
        <v>3</v>
      </c>
      <c r="AL847" t="e">
        <f t="shared" si="94"/>
        <v>#N/A</v>
      </c>
      <c r="AM847">
        <f t="shared" si="98"/>
        <v>4</v>
      </c>
      <c r="AN847" t="e">
        <f t="shared" si="95"/>
        <v>#N/A</v>
      </c>
    </row>
    <row r="848" spans="12:40" x14ac:dyDescent="0.25">
      <c r="L848">
        <v>845</v>
      </c>
      <c r="M848">
        <v>12.06875</v>
      </c>
      <c r="N848">
        <v>13.066875</v>
      </c>
      <c r="O848">
        <v>13.541611111111111</v>
      </c>
      <c r="P848">
        <v>13.619861111111112</v>
      </c>
      <c r="AG848">
        <v>1</v>
      </c>
      <c r="AH848" t="e">
        <f t="shared" si="92"/>
        <v>#N/A</v>
      </c>
      <c r="AI848">
        <f t="shared" si="96"/>
        <v>2</v>
      </c>
      <c r="AJ848" t="e">
        <f t="shared" si="93"/>
        <v>#N/A</v>
      </c>
      <c r="AK848">
        <f t="shared" si="97"/>
        <v>3</v>
      </c>
      <c r="AL848" t="e">
        <f t="shared" si="94"/>
        <v>#N/A</v>
      </c>
      <c r="AM848">
        <f t="shared" si="98"/>
        <v>4</v>
      </c>
      <c r="AN848" t="e">
        <f t="shared" si="95"/>
        <v>#N/A</v>
      </c>
    </row>
    <row r="849" spans="12:40" x14ac:dyDescent="0.25">
      <c r="L849">
        <v>846</v>
      </c>
      <c r="M849">
        <v>13.84125</v>
      </c>
      <c r="N849">
        <v>14.384375</v>
      </c>
      <c r="O849">
        <v>14.866805555555556</v>
      </c>
      <c r="P849">
        <v>14.343277777777779</v>
      </c>
      <c r="AG849">
        <v>1</v>
      </c>
      <c r="AH849" t="e">
        <f t="shared" si="92"/>
        <v>#N/A</v>
      </c>
      <c r="AI849">
        <f t="shared" si="96"/>
        <v>2</v>
      </c>
      <c r="AJ849" t="e">
        <f t="shared" si="93"/>
        <v>#N/A</v>
      </c>
      <c r="AK849">
        <f t="shared" si="97"/>
        <v>3</v>
      </c>
      <c r="AL849" t="e">
        <f t="shared" si="94"/>
        <v>#N/A</v>
      </c>
      <c r="AM849">
        <f t="shared" si="98"/>
        <v>4</v>
      </c>
      <c r="AN849" t="e">
        <f t="shared" si="95"/>
        <v>#N/A</v>
      </c>
    </row>
    <row r="850" spans="12:40" x14ac:dyDescent="0.25">
      <c r="L850">
        <v>847</v>
      </c>
      <c r="M850">
        <v>15.83</v>
      </c>
      <c r="N850">
        <v>15.040625</v>
      </c>
      <c r="O850">
        <v>14.898555555555554</v>
      </c>
      <c r="P850">
        <v>14.26021527777778</v>
      </c>
      <c r="AG850">
        <v>1</v>
      </c>
      <c r="AH850" t="e">
        <f t="shared" si="92"/>
        <v>#N/A</v>
      </c>
      <c r="AI850">
        <f t="shared" si="96"/>
        <v>2</v>
      </c>
      <c r="AJ850" t="e">
        <f t="shared" si="93"/>
        <v>#N/A</v>
      </c>
      <c r="AK850">
        <f t="shared" si="97"/>
        <v>3</v>
      </c>
      <c r="AL850" t="e">
        <f t="shared" si="94"/>
        <v>#N/A</v>
      </c>
      <c r="AM850">
        <f t="shared" si="98"/>
        <v>4</v>
      </c>
      <c r="AN850" t="e">
        <f t="shared" si="95"/>
        <v>#N/A</v>
      </c>
    </row>
    <row r="851" spans="12:40" x14ac:dyDescent="0.25">
      <c r="L851">
        <v>848</v>
      </c>
      <c r="M851">
        <v>13.95125</v>
      </c>
      <c r="N851">
        <v>13.561875000000001</v>
      </c>
      <c r="O851">
        <v>13.289736111111111</v>
      </c>
      <c r="P851">
        <v>13.568881944444442</v>
      </c>
      <c r="AG851">
        <v>1</v>
      </c>
      <c r="AH851" t="e">
        <f t="shared" si="92"/>
        <v>#N/A</v>
      </c>
      <c r="AI851">
        <f t="shared" si="96"/>
        <v>2</v>
      </c>
      <c r="AJ851" t="e">
        <f t="shared" si="93"/>
        <v>#N/A</v>
      </c>
      <c r="AK851">
        <f t="shared" si="97"/>
        <v>3</v>
      </c>
      <c r="AL851" t="e">
        <f t="shared" si="94"/>
        <v>#N/A</v>
      </c>
      <c r="AM851">
        <f t="shared" si="98"/>
        <v>4</v>
      </c>
      <c r="AN851" t="e">
        <f t="shared" si="95"/>
        <v>#N/A</v>
      </c>
    </row>
    <row r="852" spans="12:40" x14ac:dyDescent="0.25">
      <c r="L852">
        <v>849</v>
      </c>
      <c r="M852">
        <v>13.272500000000001</v>
      </c>
      <c r="N852">
        <v>13.883749999999999</v>
      </c>
      <c r="O852">
        <v>13.394888888888888</v>
      </c>
      <c r="P852">
        <v>14.0270625</v>
      </c>
      <c r="AG852">
        <v>1</v>
      </c>
      <c r="AH852" t="e">
        <f t="shared" si="92"/>
        <v>#N/A</v>
      </c>
      <c r="AI852">
        <f t="shared" si="96"/>
        <v>2</v>
      </c>
      <c r="AJ852" t="e">
        <f t="shared" si="93"/>
        <v>#N/A</v>
      </c>
      <c r="AK852">
        <f t="shared" si="97"/>
        <v>3</v>
      </c>
      <c r="AL852" t="e">
        <f t="shared" si="94"/>
        <v>#N/A</v>
      </c>
      <c r="AM852">
        <f t="shared" si="98"/>
        <v>4</v>
      </c>
      <c r="AN852" t="e">
        <f t="shared" si="95"/>
        <v>#N/A</v>
      </c>
    </row>
    <row r="853" spans="12:40" x14ac:dyDescent="0.25">
      <c r="L853">
        <v>850</v>
      </c>
      <c r="M853">
        <v>15.067500000000001</v>
      </c>
      <c r="N853">
        <v>14.743124999999999</v>
      </c>
      <c r="O853">
        <v>14.049736111111109</v>
      </c>
      <c r="P853">
        <v>14.210652777777778</v>
      </c>
      <c r="AG853">
        <v>1</v>
      </c>
      <c r="AH853" t="e">
        <f t="shared" si="92"/>
        <v>#N/A</v>
      </c>
      <c r="AI853">
        <f t="shared" si="96"/>
        <v>2</v>
      </c>
      <c r="AJ853" t="e">
        <f t="shared" si="93"/>
        <v>#N/A</v>
      </c>
      <c r="AK853">
        <f t="shared" si="97"/>
        <v>3</v>
      </c>
      <c r="AL853" t="e">
        <f t="shared" si="94"/>
        <v>#N/A</v>
      </c>
      <c r="AM853">
        <f t="shared" si="98"/>
        <v>4</v>
      </c>
      <c r="AN853" t="e">
        <f t="shared" si="95"/>
        <v>#N/A</v>
      </c>
    </row>
    <row r="854" spans="12:40" x14ac:dyDescent="0.25">
      <c r="L854">
        <v>851</v>
      </c>
      <c r="M854">
        <v>13.73</v>
      </c>
      <c r="N854">
        <v>13.429375</v>
      </c>
      <c r="O854">
        <v>13.841041666666666</v>
      </c>
      <c r="P854">
        <v>13.94615277777778</v>
      </c>
      <c r="AG854">
        <v>1</v>
      </c>
      <c r="AH854" t="e">
        <f t="shared" si="92"/>
        <v>#N/A</v>
      </c>
      <c r="AI854">
        <f t="shared" si="96"/>
        <v>2</v>
      </c>
      <c r="AJ854" t="e">
        <f t="shared" si="93"/>
        <v>#N/A</v>
      </c>
      <c r="AK854">
        <f t="shared" si="97"/>
        <v>3</v>
      </c>
      <c r="AL854" t="e">
        <f t="shared" si="94"/>
        <v>#N/A</v>
      </c>
      <c r="AM854">
        <f t="shared" si="98"/>
        <v>4</v>
      </c>
      <c r="AN854" t="e">
        <f t="shared" si="95"/>
        <v>#N/A</v>
      </c>
    </row>
    <row r="855" spans="12:40" x14ac:dyDescent="0.25">
      <c r="L855">
        <v>852</v>
      </c>
      <c r="M855">
        <v>14.55875</v>
      </c>
      <c r="N855">
        <v>14.476875</v>
      </c>
      <c r="O855">
        <v>14.480791666666669</v>
      </c>
      <c r="P855">
        <v>14.676076388888887</v>
      </c>
      <c r="AG855">
        <v>1</v>
      </c>
      <c r="AH855" t="e">
        <f t="shared" si="92"/>
        <v>#N/A</v>
      </c>
      <c r="AI855">
        <f t="shared" si="96"/>
        <v>2</v>
      </c>
      <c r="AJ855" t="e">
        <f t="shared" si="93"/>
        <v>#N/A</v>
      </c>
      <c r="AK855">
        <f t="shared" si="97"/>
        <v>3</v>
      </c>
      <c r="AL855" t="e">
        <f t="shared" si="94"/>
        <v>#N/A</v>
      </c>
      <c r="AM855">
        <f t="shared" si="98"/>
        <v>4</v>
      </c>
      <c r="AN855" t="e">
        <f t="shared" si="95"/>
        <v>#N/A</v>
      </c>
    </row>
    <row r="856" spans="12:40" x14ac:dyDescent="0.25">
      <c r="L856">
        <v>853</v>
      </c>
      <c r="M856">
        <v>14.27375</v>
      </c>
      <c r="N856">
        <v>13.508749999999999</v>
      </c>
      <c r="O856">
        <v>13.204680555555555</v>
      </c>
      <c r="P856">
        <v>13.839340277777778</v>
      </c>
      <c r="AG856">
        <v>1</v>
      </c>
      <c r="AH856" t="e">
        <f t="shared" si="92"/>
        <v>#N/A</v>
      </c>
      <c r="AI856">
        <f t="shared" si="96"/>
        <v>2</v>
      </c>
      <c r="AJ856" t="e">
        <f t="shared" si="93"/>
        <v>#N/A</v>
      </c>
      <c r="AK856">
        <f t="shared" si="97"/>
        <v>3</v>
      </c>
      <c r="AL856" t="e">
        <f t="shared" si="94"/>
        <v>#N/A</v>
      </c>
      <c r="AM856">
        <f t="shared" si="98"/>
        <v>4</v>
      </c>
      <c r="AN856" t="e">
        <f t="shared" si="95"/>
        <v>#N/A</v>
      </c>
    </row>
    <row r="857" spans="12:40" x14ac:dyDescent="0.25">
      <c r="L857">
        <v>854</v>
      </c>
      <c r="M857">
        <v>14.862500000000001</v>
      </c>
      <c r="N857">
        <v>14.254375</v>
      </c>
      <c r="O857">
        <v>14.108375000000001</v>
      </c>
      <c r="P857">
        <v>14.220381944444444</v>
      </c>
      <c r="AG857">
        <v>1</v>
      </c>
      <c r="AH857" t="e">
        <f t="shared" si="92"/>
        <v>#N/A</v>
      </c>
      <c r="AI857">
        <f t="shared" si="96"/>
        <v>2</v>
      </c>
      <c r="AJ857" t="e">
        <f t="shared" si="93"/>
        <v>#N/A</v>
      </c>
      <c r="AK857">
        <f t="shared" si="97"/>
        <v>3</v>
      </c>
      <c r="AL857" t="e">
        <f t="shared" si="94"/>
        <v>#N/A</v>
      </c>
      <c r="AM857">
        <f t="shared" si="98"/>
        <v>4</v>
      </c>
      <c r="AN857" t="e">
        <f t="shared" si="95"/>
        <v>#N/A</v>
      </c>
    </row>
    <row r="858" spans="12:40" x14ac:dyDescent="0.25">
      <c r="L858">
        <v>855</v>
      </c>
      <c r="M858">
        <v>13.14875</v>
      </c>
      <c r="N858">
        <v>14.521875</v>
      </c>
      <c r="O858">
        <v>14.013472222222221</v>
      </c>
      <c r="P858">
        <v>13.920680555555556</v>
      </c>
      <c r="AG858">
        <v>1</v>
      </c>
      <c r="AH858" t="e">
        <f t="shared" si="92"/>
        <v>#N/A</v>
      </c>
      <c r="AI858">
        <f t="shared" si="96"/>
        <v>2</v>
      </c>
      <c r="AJ858" t="e">
        <f t="shared" si="93"/>
        <v>#N/A</v>
      </c>
      <c r="AK858">
        <f t="shared" si="97"/>
        <v>3</v>
      </c>
      <c r="AL858" t="e">
        <f t="shared" si="94"/>
        <v>#N/A</v>
      </c>
      <c r="AM858">
        <f t="shared" si="98"/>
        <v>4</v>
      </c>
      <c r="AN858" t="e">
        <f t="shared" si="95"/>
        <v>#N/A</v>
      </c>
    </row>
    <row r="859" spans="12:40" x14ac:dyDescent="0.25">
      <c r="L859">
        <v>856</v>
      </c>
      <c r="M859">
        <v>15.5875</v>
      </c>
      <c r="N859">
        <v>14.111875</v>
      </c>
      <c r="O859">
        <v>13.876250000000001</v>
      </c>
      <c r="P859">
        <v>13.271500000000001</v>
      </c>
      <c r="AG859">
        <v>1</v>
      </c>
      <c r="AH859" t="e">
        <f t="shared" si="92"/>
        <v>#N/A</v>
      </c>
      <c r="AI859">
        <f t="shared" si="96"/>
        <v>2</v>
      </c>
      <c r="AJ859" t="e">
        <f t="shared" si="93"/>
        <v>#N/A</v>
      </c>
      <c r="AK859">
        <f t="shared" si="97"/>
        <v>3</v>
      </c>
      <c r="AL859" t="e">
        <f t="shared" si="94"/>
        <v>#N/A</v>
      </c>
      <c r="AM859">
        <f t="shared" si="98"/>
        <v>4</v>
      </c>
      <c r="AN859" t="e">
        <f t="shared" si="95"/>
        <v>#N/A</v>
      </c>
    </row>
    <row r="860" spans="12:40" x14ac:dyDescent="0.25">
      <c r="L860">
        <v>857</v>
      </c>
      <c r="M860">
        <v>13.89875</v>
      </c>
      <c r="N860">
        <v>14.182499999999999</v>
      </c>
      <c r="O860">
        <v>14.253499999999999</v>
      </c>
      <c r="P860">
        <v>14.033402777777779</v>
      </c>
      <c r="AG860">
        <v>1</v>
      </c>
      <c r="AH860" t="e">
        <f t="shared" si="92"/>
        <v>#N/A</v>
      </c>
      <c r="AI860">
        <f t="shared" si="96"/>
        <v>2</v>
      </c>
      <c r="AJ860" t="e">
        <f t="shared" si="93"/>
        <v>#N/A</v>
      </c>
      <c r="AK860">
        <f t="shared" si="97"/>
        <v>3</v>
      </c>
      <c r="AL860" t="e">
        <f t="shared" si="94"/>
        <v>#N/A</v>
      </c>
      <c r="AM860">
        <f t="shared" si="98"/>
        <v>4</v>
      </c>
      <c r="AN860" t="e">
        <f t="shared" si="95"/>
        <v>#N/A</v>
      </c>
    </row>
    <row r="861" spans="12:40" x14ac:dyDescent="0.25">
      <c r="L861">
        <v>858</v>
      </c>
      <c r="M861">
        <v>12.97875</v>
      </c>
      <c r="N861">
        <v>13.963125</v>
      </c>
      <c r="O861">
        <v>13.459694444444445</v>
      </c>
      <c r="P861">
        <v>13.30197222222222</v>
      </c>
      <c r="AG861">
        <v>1</v>
      </c>
      <c r="AH861" t="e">
        <f t="shared" si="92"/>
        <v>#N/A</v>
      </c>
      <c r="AI861">
        <f t="shared" si="96"/>
        <v>2</v>
      </c>
      <c r="AJ861" t="e">
        <f t="shared" si="93"/>
        <v>#N/A</v>
      </c>
      <c r="AK861">
        <f t="shared" si="97"/>
        <v>3</v>
      </c>
      <c r="AL861" t="e">
        <f t="shared" si="94"/>
        <v>#N/A</v>
      </c>
      <c r="AM861">
        <f t="shared" si="98"/>
        <v>4</v>
      </c>
      <c r="AN861" t="e">
        <f t="shared" si="95"/>
        <v>#N/A</v>
      </c>
    </row>
    <row r="862" spans="12:40" x14ac:dyDescent="0.25">
      <c r="L862">
        <v>859</v>
      </c>
      <c r="M862">
        <v>14.1175</v>
      </c>
      <c r="N862">
        <v>14.44875</v>
      </c>
      <c r="O862">
        <v>14.250569444444444</v>
      </c>
      <c r="P862">
        <v>14.011937499999998</v>
      </c>
      <c r="AG862">
        <v>1</v>
      </c>
      <c r="AH862" t="e">
        <f t="shared" si="92"/>
        <v>#N/A</v>
      </c>
      <c r="AI862">
        <f t="shared" si="96"/>
        <v>2</v>
      </c>
      <c r="AJ862" t="e">
        <f t="shared" si="93"/>
        <v>#N/A</v>
      </c>
      <c r="AK862">
        <f t="shared" si="97"/>
        <v>3</v>
      </c>
      <c r="AL862" t="e">
        <f t="shared" si="94"/>
        <v>#N/A</v>
      </c>
      <c r="AM862">
        <f t="shared" si="98"/>
        <v>4</v>
      </c>
      <c r="AN862" t="e">
        <f t="shared" si="95"/>
        <v>#N/A</v>
      </c>
    </row>
    <row r="863" spans="12:40" x14ac:dyDescent="0.25">
      <c r="L863">
        <v>860</v>
      </c>
      <c r="M863">
        <v>14.356249999999999</v>
      </c>
      <c r="N863">
        <v>13.983750000000001</v>
      </c>
      <c r="O863">
        <v>13.939305555555556</v>
      </c>
      <c r="P863">
        <v>14.128791666666666</v>
      </c>
      <c r="AG863">
        <v>1</v>
      </c>
      <c r="AH863" t="e">
        <f t="shared" si="92"/>
        <v>#N/A</v>
      </c>
      <c r="AI863">
        <f t="shared" si="96"/>
        <v>2</v>
      </c>
      <c r="AJ863" t="e">
        <f t="shared" si="93"/>
        <v>#N/A</v>
      </c>
      <c r="AK863">
        <f t="shared" si="97"/>
        <v>3</v>
      </c>
      <c r="AL863" t="e">
        <f t="shared" si="94"/>
        <v>#N/A</v>
      </c>
      <c r="AM863">
        <f t="shared" si="98"/>
        <v>4</v>
      </c>
      <c r="AN863" t="e">
        <f t="shared" si="95"/>
        <v>#N/A</v>
      </c>
    </row>
    <row r="864" spans="12:40" x14ac:dyDescent="0.25">
      <c r="L864">
        <v>861</v>
      </c>
      <c r="M864">
        <v>13.78125</v>
      </c>
      <c r="N864">
        <v>13.053750000000001</v>
      </c>
      <c r="O864">
        <v>13.57625</v>
      </c>
      <c r="P864">
        <v>13.816368055555555</v>
      </c>
      <c r="AG864">
        <v>1</v>
      </c>
      <c r="AH864" t="e">
        <f t="shared" si="92"/>
        <v>#N/A</v>
      </c>
      <c r="AI864">
        <f t="shared" si="96"/>
        <v>2</v>
      </c>
      <c r="AJ864" t="e">
        <f t="shared" si="93"/>
        <v>#N/A</v>
      </c>
      <c r="AK864">
        <f t="shared" si="97"/>
        <v>3</v>
      </c>
      <c r="AL864" t="e">
        <f t="shared" si="94"/>
        <v>#N/A</v>
      </c>
      <c r="AM864">
        <f t="shared" si="98"/>
        <v>4</v>
      </c>
      <c r="AN864" t="e">
        <f t="shared" si="95"/>
        <v>#N/A</v>
      </c>
    </row>
    <row r="865" spans="12:40" x14ac:dyDescent="0.25">
      <c r="L865">
        <v>862</v>
      </c>
      <c r="M865">
        <v>14.883749999999999</v>
      </c>
      <c r="N865">
        <v>13.729374999999999</v>
      </c>
      <c r="O865">
        <v>13.892930555555557</v>
      </c>
      <c r="P865">
        <v>14.073513888888888</v>
      </c>
      <c r="AG865">
        <v>1</v>
      </c>
      <c r="AH865" t="e">
        <f t="shared" si="92"/>
        <v>#N/A</v>
      </c>
      <c r="AI865">
        <f t="shared" si="96"/>
        <v>2</v>
      </c>
      <c r="AJ865" t="e">
        <f t="shared" si="93"/>
        <v>#N/A</v>
      </c>
      <c r="AK865">
        <f t="shared" si="97"/>
        <v>3</v>
      </c>
      <c r="AL865" t="e">
        <f t="shared" si="94"/>
        <v>#N/A</v>
      </c>
      <c r="AM865">
        <f t="shared" si="98"/>
        <v>4</v>
      </c>
      <c r="AN865" t="e">
        <f t="shared" si="95"/>
        <v>#N/A</v>
      </c>
    </row>
    <row r="866" spans="12:40" x14ac:dyDescent="0.25">
      <c r="L866">
        <v>863</v>
      </c>
      <c r="M866">
        <v>14.5625</v>
      </c>
      <c r="N866">
        <v>14.22125</v>
      </c>
      <c r="O866">
        <v>14.548888888888889</v>
      </c>
      <c r="P866">
        <v>14.5153125</v>
      </c>
      <c r="AG866">
        <v>1</v>
      </c>
      <c r="AH866" t="e">
        <f t="shared" si="92"/>
        <v>#N/A</v>
      </c>
      <c r="AI866">
        <f t="shared" si="96"/>
        <v>2</v>
      </c>
      <c r="AJ866" t="e">
        <f t="shared" si="93"/>
        <v>#N/A</v>
      </c>
      <c r="AK866">
        <f t="shared" si="97"/>
        <v>3</v>
      </c>
      <c r="AL866" t="e">
        <f t="shared" si="94"/>
        <v>#N/A</v>
      </c>
      <c r="AM866">
        <f t="shared" si="98"/>
        <v>4</v>
      </c>
      <c r="AN866" t="e">
        <f t="shared" si="95"/>
        <v>#N/A</v>
      </c>
    </row>
    <row r="867" spans="12:40" x14ac:dyDescent="0.25">
      <c r="L867">
        <v>864</v>
      </c>
      <c r="M867">
        <v>12.547499999999999</v>
      </c>
      <c r="N867">
        <v>12.558125</v>
      </c>
      <c r="O867">
        <v>13.022555555555558</v>
      </c>
      <c r="P867">
        <v>13.290826388888886</v>
      </c>
      <c r="AG867">
        <v>1</v>
      </c>
      <c r="AH867" t="e">
        <f t="shared" si="92"/>
        <v>#N/A</v>
      </c>
      <c r="AI867">
        <f t="shared" si="96"/>
        <v>2</v>
      </c>
      <c r="AJ867" t="e">
        <f t="shared" si="93"/>
        <v>#N/A</v>
      </c>
      <c r="AK867">
        <f t="shared" si="97"/>
        <v>3</v>
      </c>
      <c r="AL867" t="e">
        <f t="shared" si="94"/>
        <v>#N/A</v>
      </c>
      <c r="AM867">
        <f t="shared" si="98"/>
        <v>4</v>
      </c>
      <c r="AN867" t="e">
        <f t="shared" si="95"/>
        <v>#N/A</v>
      </c>
    </row>
    <row r="868" spans="12:40" x14ac:dyDescent="0.25">
      <c r="L868">
        <v>865</v>
      </c>
      <c r="M868">
        <v>14.52125</v>
      </c>
      <c r="N868">
        <v>13.831250000000001</v>
      </c>
      <c r="O868">
        <v>14.159666666666666</v>
      </c>
      <c r="P868">
        <v>14.240659722222222</v>
      </c>
      <c r="AG868">
        <v>1</v>
      </c>
      <c r="AH868" t="e">
        <f t="shared" si="92"/>
        <v>#N/A</v>
      </c>
      <c r="AI868">
        <f t="shared" si="96"/>
        <v>2</v>
      </c>
      <c r="AJ868" t="e">
        <f t="shared" si="93"/>
        <v>#N/A</v>
      </c>
      <c r="AK868">
        <f t="shared" si="97"/>
        <v>3</v>
      </c>
      <c r="AL868" t="e">
        <f t="shared" si="94"/>
        <v>#N/A</v>
      </c>
      <c r="AM868">
        <f t="shared" si="98"/>
        <v>4</v>
      </c>
      <c r="AN868" t="e">
        <f t="shared" si="95"/>
        <v>#N/A</v>
      </c>
    </row>
    <row r="869" spans="12:40" x14ac:dyDescent="0.25">
      <c r="L869">
        <v>866</v>
      </c>
      <c r="M869">
        <v>14.022500000000001</v>
      </c>
      <c r="N869">
        <v>14.135</v>
      </c>
      <c r="O869">
        <v>13.592319444444447</v>
      </c>
      <c r="P869">
        <v>13.82336111111111</v>
      </c>
      <c r="AG869">
        <v>1</v>
      </c>
      <c r="AH869" t="e">
        <f t="shared" si="92"/>
        <v>#N/A</v>
      </c>
      <c r="AI869">
        <f t="shared" si="96"/>
        <v>2</v>
      </c>
      <c r="AJ869" t="e">
        <f t="shared" si="93"/>
        <v>#N/A</v>
      </c>
      <c r="AK869">
        <f t="shared" si="97"/>
        <v>3</v>
      </c>
      <c r="AL869" t="e">
        <f t="shared" si="94"/>
        <v>#N/A</v>
      </c>
      <c r="AM869">
        <f t="shared" si="98"/>
        <v>4</v>
      </c>
      <c r="AN869" t="e">
        <f t="shared" si="95"/>
        <v>#N/A</v>
      </c>
    </row>
    <row r="870" spans="12:40" x14ac:dyDescent="0.25">
      <c r="L870">
        <v>867</v>
      </c>
      <c r="M870">
        <v>13.116250000000001</v>
      </c>
      <c r="N870">
        <v>13.440625000000001</v>
      </c>
      <c r="O870">
        <v>13.875583333333333</v>
      </c>
      <c r="P870">
        <v>14.349465277777778</v>
      </c>
      <c r="AG870">
        <v>1</v>
      </c>
      <c r="AH870" t="e">
        <f t="shared" si="92"/>
        <v>#N/A</v>
      </c>
      <c r="AI870">
        <f t="shared" si="96"/>
        <v>2</v>
      </c>
      <c r="AJ870" t="e">
        <f t="shared" si="93"/>
        <v>#N/A</v>
      </c>
      <c r="AK870">
        <f t="shared" si="97"/>
        <v>3</v>
      </c>
      <c r="AL870" t="e">
        <f t="shared" si="94"/>
        <v>#N/A</v>
      </c>
      <c r="AM870">
        <f t="shared" si="98"/>
        <v>4</v>
      </c>
      <c r="AN870" t="e">
        <f t="shared" si="95"/>
        <v>#N/A</v>
      </c>
    </row>
    <row r="871" spans="12:40" x14ac:dyDescent="0.25">
      <c r="L871">
        <v>868</v>
      </c>
      <c r="M871">
        <v>13.605</v>
      </c>
      <c r="N871">
        <v>13.362500000000001</v>
      </c>
      <c r="O871">
        <v>13.549222222222221</v>
      </c>
      <c r="P871">
        <v>14.118902777777778</v>
      </c>
      <c r="AG871">
        <v>1</v>
      </c>
      <c r="AH871" t="e">
        <f t="shared" si="92"/>
        <v>#N/A</v>
      </c>
      <c r="AI871">
        <f t="shared" si="96"/>
        <v>2</v>
      </c>
      <c r="AJ871" t="e">
        <f t="shared" si="93"/>
        <v>#N/A</v>
      </c>
      <c r="AK871">
        <f t="shared" si="97"/>
        <v>3</v>
      </c>
      <c r="AL871" t="e">
        <f t="shared" si="94"/>
        <v>#N/A</v>
      </c>
      <c r="AM871">
        <f t="shared" si="98"/>
        <v>4</v>
      </c>
      <c r="AN871" t="e">
        <f t="shared" si="95"/>
        <v>#N/A</v>
      </c>
    </row>
    <row r="872" spans="12:40" x14ac:dyDescent="0.25">
      <c r="L872">
        <v>869</v>
      </c>
      <c r="M872">
        <v>13.05625</v>
      </c>
      <c r="N872">
        <v>13.565625000000001</v>
      </c>
      <c r="O872">
        <v>13.61259722222222</v>
      </c>
      <c r="P872">
        <v>13.777819444444445</v>
      </c>
      <c r="AG872">
        <v>1</v>
      </c>
      <c r="AH872" t="e">
        <f t="shared" si="92"/>
        <v>#N/A</v>
      </c>
      <c r="AI872">
        <f t="shared" si="96"/>
        <v>2</v>
      </c>
      <c r="AJ872" t="e">
        <f t="shared" si="93"/>
        <v>#N/A</v>
      </c>
      <c r="AK872">
        <f t="shared" si="97"/>
        <v>3</v>
      </c>
      <c r="AL872" t="e">
        <f t="shared" si="94"/>
        <v>#N/A</v>
      </c>
      <c r="AM872">
        <f t="shared" si="98"/>
        <v>4</v>
      </c>
      <c r="AN872" t="e">
        <f t="shared" si="95"/>
        <v>#N/A</v>
      </c>
    </row>
    <row r="873" spans="12:40" x14ac:dyDescent="0.25">
      <c r="L873">
        <v>870</v>
      </c>
      <c r="M873">
        <v>13.43375</v>
      </c>
      <c r="N873">
        <v>14.601875</v>
      </c>
      <c r="O873">
        <v>14.419555555555558</v>
      </c>
      <c r="P873">
        <v>13.9684375</v>
      </c>
      <c r="AG873">
        <v>1</v>
      </c>
      <c r="AH873" t="e">
        <f t="shared" si="92"/>
        <v>#N/A</v>
      </c>
      <c r="AI873">
        <f t="shared" si="96"/>
        <v>2</v>
      </c>
      <c r="AJ873" t="e">
        <f t="shared" si="93"/>
        <v>#N/A</v>
      </c>
      <c r="AK873">
        <f t="shared" si="97"/>
        <v>3</v>
      </c>
      <c r="AL873" t="e">
        <f t="shared" si="94"/>
        <v>#N/A</v>
      </c>
      <c r="AM873">
        <f t="shared" si="98"/>
        <v>4</v>
      </c>
      <c r="AN873" t="e">
        <f t="shared" si="95"/>
        <v>#N/A</v>
      </c>
    </row>
    <row r="874" spans="12:40" x14ac:dyDescent="0.25">
      <c r="L874">
        <v>871</v>
      </c>
      <c r="M874">
        <v>14.9375</v>
      </c>
      <c r="N874">
        <v>13.871874999999999</v>
      </c>
      <c r="O874">
        <v>13.889291666666665</v>
      </c>
      <c r="P874">
        <v>13.873250000000001</v>
      </c>
      <c r="AG874">
        <v>1</v>
      </c>
      <c r="AH874" t="e">
        <f t="shared" si="92"/>
        <v>#N/A</v>
      </c>
      <c r="AI874">
        <f t="shared" si="96"/>
        <v>2</v>
      </c>
      <c r="AJ874" t="e">
        <f t="shared" si="93"/>
        <v>#N/A</v>
      </c>
      <c r="AK874">
        <f t="shared" si="97"/>
        <v>3</v>
      </c>
      <c r="AL874" t="e">
        <f t="shared" si="94"/>
        <v>#N/A</v>
      </c>
      <c r="AM874">
        <f t="shared" si="98"/>
        <v>4</v>
      </c>
      <c r="AN874" t="e">
        <f t="shared" si="95"/>
        <v>#N/A</v>
      </c>
    </row>
    <row r="875" spans="12:40" x14ac:dyDescent="0.25">
      <c r="L875">
        <v>872</v>
      </c>
      <c r="M875">
        <v>13.53375</v>
      </c>
      <c r="N875">
        <v>13.23625</v>
      </c>
      <c r="O875">
        <v>13.458680555555556</v>
      </c>
      <c r="P875">
        <v>13.997756944444445</v>
      </c>
      <c r="AG875">
        <v>1</v>
      </c>
      <c r="AH875" t="e">
        <f t="shared" si="92"/>
        <v>#N/A</v>
      </c>
      <c r="AI875">
        <f t="shared" si="96"/>
        <v>2</v>
      </c>
      <c r="AJ875" t="e">
        <f t="shared" si="93"/>
        <v>#N/A</v>
      </c>
      <c r="AK875">
        <f t="shared" si="97"/>
        <v>3</v>
      </c>
      <c r="AL875" t="e">
        <f t="shared" si="94"/>
        <v>#N/A</v>
      </c>
      <c r="AM875">
        <f t="shared" si="98"/>
        <v>4</v>
      </c>
      <c r="AN875" t="e">
        <f t="shared" si="95"/>
        <v>#N/A</v>
      </c>
    </row>
    <row r="876" spans="12:40" x14ac:dyDescent="0.25">
      <c r="L876">
        <v>873</v>
      </c>
      <c r="M876">
        <v>15.98875</v>
      </c>
      <c r="N876">
        <v>14.916874999999999</v>
      </c>
      <c r="O876">
        <v>14.047097222222222</v>
      </c>
      <c r="P876">
        <v>13.840708333333334</v>
      </c>
      <c r="AG876">
        <v>1</v>
      </c>
      <c r="AH876" t="e">
        <f t="shared" si="92"/>
        <v>#N/A</v>
      </c>
      <c r="AI876">
        <f t="shared" si="96"/>
        <v>2</v>
      </c>
      <c r="AJ876" t="e">
        <f t="shared" si="93"/>
        <v>#N/A</v>
      </c>
      <c r="AK876">
        <f t="shared" si="97"/>
        <v>3</v>
      </c>
      <c r="AL876" t="e">
        <f t="shared" si="94"/>
        <v>#N/A</v>
      </c>
      <c r="AM876">
        <f t="shared" si="98"/>
        <v>4</v>
      </c>
      <c r="AN876" t="e">
        <f t="shared" si="95"/>
        <v>#N/A</v>
      </c>
    </row>
    <row r="877" spans="12:40" x14ac:dyDescent="0.25">
      <c r="L877">
        <v>874</v>
      </c>
      <c r="M877">
        <v>14.391249999999999</v>
      </c>
      <c r="N877">
        <v>14.88</v>
      </c>
      <c r="O877">
        <v>14.655902777777778</v>
      </c>
      <c r="P877">
        <v>14.697861111111111</v>
      </c>
      <c r="AG877">
        <v>1</v>
      </c>
      <c r="AH877" t="e">
        <f t="shared" si="92"/>
        <v>#N/A</v>
      </c>
      <c r="AI877">
        <f t="shared" si="96"/>
        <v>2</v>
      </c>
      <c r="AJ877" t="e">
        <f t="shared" si="93"/>
        <v>#N/A</v>
      </c>
      <c r="AK877">
        <f t="shared" si="97"/>
        <v>3</v>
      </c>
      <c r="AL877" t="e">
        <f t="shared" si="94"/>
        <v>#N/A</v>
      </c>
      <c r="AM877">
        <f t="shared" si="98"/>
        <v>4</v>
      </c>
      <c r="AN877" t="e">
        <f t="shared" si="95"/>
        <v>#N/A</v>
      </c>
    </row>
    <row r="878" spans="12:40" x14ac:dyDescent="0.25">
      <c r="L878">
        <v>875</v>
      </c>
      <c r="M878">
        <v>13.845000000000001</v>
      </c>
      <c r="N878">
        <v>13.770625000000001</v>
      </c>
      <c r="O878">
        <v>14.422958333333336</v>
      </c>
      <c r="P878">
        <v>14.747652777777779</v>
      </c>
      <c r="AG878">
        <v>1</v>
      </c>
      <c r="AH878" t="e">
        <f t="shared" si="92"/>
        <v>#N/A</v>
      </c>
      <c r="AI878">
        <f t="shared" si="96"/>
        <v>2</v>
      </c>
      <c r="AJ878" t="e">
        <f t="shared" si="93"/>
        <v>#N/A</v>
      </c>
      <c r="AK878">
        <f t="shared" si="97"/>
        <v>3</v>
      </c>
      <c r="AL878" t="e">
        <f t="shared" si="94"/>
        <v>#N/A</v>
      </c>
      <c r="AM878">
        <f t="shared" si="98"/>
        <v>4</v>
      </c>
      <c r="AN878" t="e">
        <f t="shared" si="95"/>
        <v>#N/A</v>
      </c>
    </row>
    <row r="879" spans="12:40" x14ac:dyDescent="0.25">
      <c r="L879">
        <v>876</v>
      </c>
      <c r="M879">
        <v>13.08</v>
      </c>
      <c r="N879">
        <v>13.106875</v>
      </c>
      <c r="O879">
        <v>13.765125000000001</v>
      </c>
      <c r="P879">
        <v>13.449104166666666</v>
      </c>
      <c r="AG879">
        <v>1</v>
      </c>
      <c r="AH879" t="e">
        <f t="shared" si="92"/>
        <v>#N/A</v>
      </c>
      <c r="AI879">
        <f t="shared" si="96"/>
        <v>2</v>
      </c>
      <c r="AJ879" t="e">
        <f t="shared" si="93"/>
        <v>#N/A</v>
      </c>
      <c r="AK879">
        <f t="shared" si="97"/>
        <v>3</v>
      </c>
      <c r="AL879" t="e">
        <f t="shared" si="94"/>
        <v>#N/A</v>
      </c>
      <c r="AM879">
        <f t="shared" si="98"/>
        <v>4</v>
      </c>
      <c r="AN879" t="e">
        <f t="shared" si="95"/>
        <v>#N/A</v>
      </c>
    </row>
    <row r="880" spans="12:40" x14ac:dyDescent="0.25">
      <c r="L880">
        <v>877</v>
      </c>
      <c r="M880">
        <v>13.411250000000001</v>
      </c>
      <c r="N880">
        <v>13.602499999999999</v>
      </c>
      <c r="O880">
        <v>13.173305555555554</v>
      </c>
      <c r="P880">
        <v>14.19011111111111</v>
      </c>
      <c r="AG880">
        <v>1</v>
      </c>
      <c r="AH880" t="e">
        <f t="shared" si="92"/>
        <v>#N/A</v>
      </c>
      <c r="AI880">
        <f t="shared" si="96"/>
        <v>2</v>
      </c>
      <c r="AJ880" t="e">
        <f t="shared" si="93"/>
        <v>#N/A</v>
      </c>
      <c r="AK880">
        <f t="shared" si="97"/>
        <v>3</v>
      </c>
      <c r="AL880" t="e">
        <f t="shared" si="94"/>
        <v>#N/A</v>
      </c>
      <c r="AM880">
        <f t="shared" si="98"/>
        <v>4</v>
      </c>
      <c r="AN880" t="e">
        <f t="shared" si="95"/>
        <v>#N/A</v>
      </c>
    </row>
    <row r="881" spans="12:40" x14ac:dyDescent="0.25">
      <c r="L881">
        <v>878</v>
      </c>
      <c r="M881">
        <v>12.217499999999999</v>
      </c>
      <c r="N881">
        <v>12.630625</v>
      </c>
      <c r="O881">
        <v>12.656541666666667</v>
      </c>
      <c r="P881">
        <v>13.49982638888889</v>
      </c>
      <c r="AG881">
        <v>1</v>
      </c>
      <c r="AH881" t="e">
        <f t="shared" si="92"/>
        <v>#N/A</v>
      </c>
      <c r="AI881">
        <f t="shared" si="96"/>
        <v>2</v>
      </c>
      <c r="AJ881" t="e">
        <f t="shared" si="93"/>
        <v>#N/A</v>
      </c>
      <c r="AK881">
        <f t="shared" si="97"/>
        <v>3</v>
      </c>
      <c r="AL881" t="e">
        <f t="shared" si="94"/>
        <v>#N/A</v>
      </c>
      <c r="AM881">
        <f t="shared" si="98"/>
        <v>4</v>
      </c>
      <c r="AN881" t="e">
        <f t="shared" si="95"/>
        <v>#N/A</v>
      </c>
    </row>
    <row r="882" spans="12:40" x14ac:dyDescent="0.25">
      <c r="L882">
        <v>879</v>
      </c>
      <c r="M882">
        <v>14.0625</v>
      </c>
      <c r="N882">
        <v>13.659375000000001</v>
      </c>
      <c r="O882">
        <v>13.545833333333333</v>
      </c>
      <c r="P882">
        <v>14.021208333333334</v>
      </c>
      <c r="AG882">
        <v>1</v>
      </c>
      <c r="AH882" t="e">
        <f t="shared" si="92"/>
        <v>#N/A</v>
      </c>
      <c r="AI882">
        <f t="shared" si="96"/>
        <v>2</v>
      </c>
      <c r="AJ882" t="e">
        <f t="shared" si="93"/>
        <v>#N/A</v>
      </c>
      <c r="AK882">
        <f t="shared" si="97"/>
        <v>3</v>
      </c>
      <c r="AL882" t="e">
        <f t="shared" si="94"/>
        <v>#N/A</v>
      </c>
      <c r="AM882">
        <f t="shared" si="98"/>
        <v>4</v>
      </c>
      <c r="AN882" t="e">
        <f t="shared" si="95"/>
        <v>#N/A</v>
      </c>
    </row>
    <row r="883" spans="12:40" x14ac:dyDescent="0.25">
      <c r="L883">
        <v>880</v>
      </c>
      <c r="M883">
        <v>14.5</v>
      </c>
      <c r="N883">
        <v>13.998125</v>
      </c>
      <c r="O883">
        <v>14.261305555555557</v>
      </c>
      <c r="P883">
        <v>14.368520833333335</v>
      </c>
      <c r="AG883">
        <v>1</v>
      </c>
      <c r="AH883" t="e">
        <f t="shared" si="92"/>
        <v>#N/A</v>
      </c>
      <c r="AI883">
        <f t="shared" si="96"/>
        <v>2</v>
      </c>
      <c r="AJ883" t="e">
        <f t="shared" si="93"/>
        <v>#N/A</v>
      </c>
      <c r="AK883">
        <f t="shared" si="97"/>
        <v>3</v>
      </c>
      <c r="AL883" t="e">
        <f t="shared" si="94"/>
        <v>#N/A</v>
      </c>
      <c r="AM883">
        <f t="shared" si="98"/>
        <v>4</v>
      </c>
      <c r="AN883" t="e">
        <f t="shared" si="95"/>
        <v>#N/A</v>
      </c>
    </row>
    <row r="884" spans="12:40" x14ac:dyDescent="0.25">
      <c r="L884">
        <v>881</v>
      </c>
      <c r="M884">
        <v>13.065</v>
      </c>
      <c r="N884">
        <v>13.522500000000001</v>
      </c>
      <c r="O884">
        <v>13.853458333333336</v>
      </c>
      <c r="P884">
        <v>13.687840277777777</v>
      </c>
      <c r="AG884">
        <v>1</v>
      </c>
      <c r="AH884" t="e">
        <f t="shared" si="92"/>
        <v>#N/A</v>
      </c>
      <c r="AI884">
        <f t="shared" si="96"/>
        <v>2</v>
      </c>
      <c r="AJ884" t="e">
        <f t="shared" si="93"/>
        <v>#N/A</v>
      </c>
      <c r="AK884">
        <f t="shared" si="97"/>
        <v>3</v>
      </c>
      <c r="AL884" t="e">
        <f t="shared" si="94"/>
        <v>#N/A</v>
      </c>
      <c r="AM884">
        <f t="shared" si="98"/>
        <v>4</v>
      </c>
      <c r="AN884" t="e">
        <f t="shared" si="95"/>
        <v>#N/A</v>
      </c>
    </row>
    <row r="885" spans="12:40" x14ac:dyDescent="0.25">
      <c r="L885">
        <v>882</v>
      </c>
      <c r="M885">
        <v>15.9475</v>
      </c>
      <c r="N885">
        <v>14.28125</v>
      </c>
      <c r="O885">
        <v>14.649374999999999</v>
      </c>
      <c r="P885">
        <v>14.206597222222221</v>
      </c>
      <c r="AG885">
        <v>1</v>
      </c>
      <c r="AH885" t="e">
        <f t="shared" si="92"/>
        <v>#N/A</v>
      </c>
      <c r="AI885">
        <f t="shared" si="96"/>
        <v>2</v>
      </c>
      <c r="AJ885" t="e">
        <f t="shared" si="93"/>
        <v>#N/A</v>
      </c>
      <c r="AK885">
        <f t="shared" si="97"/>
        <v>3</v>
      </c>
      <c r="AL885" t="e">
        <f t="shared" si="94"/>
        <v>#N/A</v>
      </c>
      <c r="AM885">
        <f t="shared" si="98"/>
        <v>4</v>
      </c>
      <c r="AN885" t="e">
        <f t="shared" si="95"/>
        <v>#N/A</v>
      </c>
    </row>
    <row r="886" spans="12:40" x14ac:dyDescent="0.25">
      <c r="L886">
        <v>883</v>
      </c>
      <c r="M886">
        <v>12.26125</v>
      </c>
      <c r="N886">
        <v>13.210625</v>
      </c>
      <c r="O886">
        <v>13.642722222222222</v>
      </c>
      <c r="P886">
        <v>13.903243055555556</v>
      </c>
      <c r="AG886">
        <v>1</v>
      </c>
      <c r="AH886" t="e">
        <f t="shared" si="92"/>
        <v>#N/A</v>
      </c>
      <c r="AI886">
        <f t="shared" si="96"/>
        <v>2</v>
      </c>
      <c r="AJ886" t="e">
        <f t="shared" si="93"/>
        <v>#N/A</v>
      </c>
      <c r="AK886">
        <f t="shared" si="97"/>
        <v>3</v>
      </c>
      <c r="AL886" t="e">
        <f t="shared" si="94"/>
        <v>#N/A</v>
      </c>
      <c r="AM886">
        <f t="shared" si="98"/>
        <v>4</v>
      </c>
      <c r="AN886" t="e">
        <f t="shared" si="95"/>
        <v>#N/A</v>
      </c>
    </row>
    <row r="887" spans="12:40" x14ac:dyDescent="0.25">
      <c r="L887">
        <v>884</v>
      </c>
      <c r="M887">
        <v>12.755000000000001</v>
      </c>
      <c r="N887">
        <v>14.565</v>
      </c>
      <c r="O887">
        <v>14.856513888888887</v>
      </c>
      <c r="P887">
        <v>14.796708333333333</v>
      </c>
      <c r="AG887">
        <v>1</v>
      </c>
      <c r="AH887" t="e">
        <f t="shared" si="92"/>
        <v>#N/A</v>
      </c>
      <c r="AI887">
        <f t="shared" si="96"/>
        <v>2</v>
      </c>
      <c r="AJ887" t="e">
        <f t="shared" si="93"/>
        <v>#N/A</v>
      </c>
      <c r="AK887">
        <f t="shared" si="97"/>
        <v>3</v>
      </c>
      <c r="AL887" t="e">
        <f t="shared" si="94"/>
        <v>#N/A</v>
      </c>
      <c r="AM887">
        <f t="shared" si="98"/>
        <v>4</v>
      </c>
      <c r="AN887" t="e">
        <f t="shared" si="95"/>
        <v>#N/A</v>
      </c>
    </row>
    <row r="888" spans="12:40" x14ac:dyDescent="0.25">
      <c r="L888">
        <v>885</v>
      </c>
      <c r="M888">
        <v>15.1175</v>
      </c>
      <c r="N888">
        <v>14.731249999999999</v>
      </c>
      <c r="O888">
        <v>13.936888888888891</v>
      </c>
      <c r="P888">
        <v>13.905347222222222</v>
      </c>
      <c r="AG888">
        <v>1</v>
      </c>
      <c r="AH888" t="e">
        <f t="shared" si="92"/>
        <v>#N/A</v>
      </c>
      <c r="AI888">
        <f t="shared" si="96"/>
        <v>2</v>
      </c>
      <c r="AJ888" t="e">
        <f t="shared" si="93"/>
        <v>#N/A</v>
      </c>
      <c r="AK888">
        <f t="shared" si="97"/>
        <v>3</v>
      </c>
      <c r="AL888" t="e">
        <f t="shared" si="94"/>
        <v>#N/A</v>
      </c>
      <c r="AM888">
        <f t="shared" si="98"/>
        <v>4</v>
      </c>
      <c r="AN888" t="e">
        <f t="shared" si="95"/>
        <v>#N/A</v>
      </c>
    </row>
    <row r="889" spans="12:40" x14ac:dyDescent="0.25">
      <c r="L889">
        <v>886</v>
      </c>
      <c r="M889">
        <v>15.76125</v>
      </c>
      <c r="N889">
        <v>14.89</v>
      </c>
      <c r="O889">
        <v>14.472819444444445</v>
      </c>
      <c r="P889">
        <v>14.013361111111113</v>
      </c>
      <c r="AG889">
        <v>1</v>
      </c>
      <c r="AH889" t="e">
        <f t="shared" si="92"/>
        <v>#N/A</v>
      </c>
      <c r="AI889">
        <f t="shared" si="96"/>
        <v>2</v>
      </c>
      <c r="AJ889" t="e">
        <f t="shared" si="93"/>
        <v>#N/A</v>
      </c>
      <c r="AK889">
        <f t="shared" si="97"/>
        <v>3</v>
      </c>
      <c r="AL889" t="e">
        <f t="shared" si="94"/>
        <v>#N/A</v>
      </c>
      <c r="AM889">
        <f t="shared" si="98"/>
        <v>4</v>
      </c>
      <c r="AN889" t="e">
        <f t="shared" si="95"/>
        <v>#N/A</v>
      </c>
    </row>
    <row r="890" spans="12:40" x14ac:dyDescent="0.25">
      <c r="L890">
        <v>887</v>
      </c>
      <c r="M890">
        <v>12.828749999999999</v>
      </c>
      <c r="N890">
        <v>12.839375</v>
      </c>
      <c r="O890">
        <v>13.957486111111114</v>
      </c>
      <c r="P890">
        <v>13.942152777777778</v>
      </c>
      <c r="AG890">
        <v>1</v>
      </c>
      <c r="AH890" t="e">
        <f t="shared" si="92"/>
        <v>#N/A</v>
      </c>
      <c r="AI890">
        <f t="shared" si="96"/>
        <v>2</v>
      </c>
      <c r="AJ890" t="e">
        <f t="shared" si="93"/>
        <v>#N/A</v>
      </c>
      <c r="AK890">
        <f t="shared" si="97"/>
        <v>3</v>
      </c>
      <c r="AL890" t="e">
        <f t="shared" si="94"/>
        <v>#N/A</v>
      </c>
      <c r="AM890">
        <f t="shared" si="98"/>
        <v>4</v>
      </c>
      <c r="AN890" t="e">
        <f t="shared" si="95"/>
        <v>#N/A</v>
      </c>
    </row>
    <row r="891" spans="12:40" x14ac:dyDescent="0.25">
      <c r="L891">
        <v>888</v>
      </c>
      <c r="M891">
        <v>13.727499999999999</v>
      </c>
      <c r="N891">
        <v>14.338125</v>
      </c>
      <c r="O891">
        <v>14.318347222222222</v>
      </c>
      <c r="P891">
        <v>14.049381944444445</v>
      </c>
      <c r="AG891">
        <v>1</v>
      </c>
      <c r="AH891" t="e">
        <f t="shared" si="92"/>
        <v>#N/A</v>
      </c>
      <c r="AI891">
        <f t="shared" si="96"/>
        <v>2</v>
      </c>
      <c r="AJ891" t="e">
        <f t="shared" si="93"/>
        <v>#N/A</v>
      </c>
      <c r="AK891">
        <f t="shared" si="97"/>
        <v>3</v>
      </c>
      <c r="AL891" t="e">
        <f t="shared" si="94"/>
        <v>#N/A</v>
      </c>
      <c r="AM891">
        <f t="shared" si="98"/>
        <v>4</v>
      </c>
      <c r="AN891" t="e">
        <f t="shared" si="95"/>
        <v>#N/A</v>
      </c>
    </row>
    <row r="892" spans="12:40" x14ac:dyDescent="0.25">
      <c r="L892">
        <v>889</v>
      </c>
      <c r="M892">
        <v>15.518750000000001</v>
      </c>
      <c r="N892">
        <v>14.675000000000001</v>
      </c>
      <c r="O892">
        <v>13.695736111111112</v>
      </c>
      <c r="P892">
        <v>14.218131944444446</v>
      </c>
      <c r="AG892">
        <v>1</v>
      </c>
      <c r="AH892" t="e">
        <f t="shared" si="92"/>
        <v>#N/A</v>
      </c>
      <c r="AI892">
        <f t="shared" si="96"/>
        <v>2</v>
      </c>
      <c r="AJ892" t="e">
        <f t="shared" si="93"/>
        <v>#N/A</v>
      </c>
      <c r="AK892">
        <f t="shared" si="97"/>
        <v>3</v>
      </c>
      <c r="AL892" t="e">
        <f t="shared" si="94"/>
        <v>#N/A</v>
      </c>
      <c r="AM892">
        <f t="shared" si="98"/>
        <v>4</v>
      </c>
      <c r="AN892" t="e">
        <f t="shared" si="95"/>
        <v>#N/A</v>
      </c>
    </row>
    <row r="893" spans="12:40" x14ac:dyDescent="0.25">
      <c r="L893">
        <v>890</v>
      </c>
      <c r="M893">
        <v>14.3675</v>
      </c>
      <c r="N893">
        <v>14.98875</v>
      </c>
      <c r="O893">
        <v>13.995944444444444</v>
      </c>
      <c r="P893">
        <v>13.789020833333332</v>
      </c>
      <c r="AG893">
        <v>1</v>
      </c>
      <c r="AH893" t="e">
        <f t="shared" si="92"/>
        <v>#N/A</v>
      </c>
      <c r="AI893">
        <f t="shared" si="96"/>
        <v>2</v>
      </c>
      <c r="AJ893" t="e">
        <f t="shared" si="93"/>
        <v>#N/A</v>
      </c>
      <c r="AK893">
        <f t="shared" si="97"/>
        <v>3</v>
      </c>
      <c r="AL893" t="e">
        <f t="shared" si="94"/>
        <v>#N/A</v>
      </c>
      <c r="AM893">
        <f t="shared" si="98"/>
        <v>4</v>
      </c>
      <c r="AN893" t="e">
        <f t="shared" si="95"/>
        <v>#N/A</v>
      </c>
    </row>
    <row r="894" spans="12:40" x14ac:dyDescent="0.25">
      <c r="L894">
        <v>891</v>
      </c>
      <c r="M894">
        <v>13.553750000000001</v>
      </c>
      <c r="N894">
        <v>13.724375</v>
      </c>
      <c r="O894">
        <v>13.821944444444444</v>
      </c>
      <c r="P894">
        <v>13.600020833333334</v>
      </c>
      <c r="AG894">
        <v>1</v>
      </c>
      <c r="AH894" t="e">
        <f t="shared" si="92"/>
        <v>#N/A</v>
      </c>
      <c r="AI894">
        <f t="shared" si="96"/>
        <v>2</v>
      </c>
      <c r="AJ894" t="e">
        <f t="shared" si="93"/>
        <v>#N/A</v>
      </c>
      <c r="AK894">
        <f t="shared" si="97"/>
        <v>3</v>
      </c>
      <c r="AL894" t="e">
        <f t="shared" si="94"/>
        <v>#N/A</v>
      </c>
      <c r="AM894">
        <f t="shared" si="98"/>
        <v>4</v>
      </c>
      <c r="AN894" t="e">
        <f t="shared" si="95"/>
        <v>#N/A</v>
      </c>
    </row>
    <row r="895" spans="12:40" x14ac:dyDescent="0.25">
      <c r="L895">
        <v>892</v>
      </c>
      <c r="M895">
        <v>14.16625</v>
      </c>
      <c r="N895">
        <v>14.733124999999999</v>
      </c>
      <c r="O895">
        <v>14.521680555555555</v>
      </c>
      <c r="P895">
        <v>14.085083333333335</v>
      </c>
      <c r="AG895">
        <v>1</v>
      </c>
      <c r="AH895" t="e">
        <f t="shared" si="92"/>
        <v>#N/A</v>
      </c>
      <c r="AI895">
        <f t="shared" si="96"/>
        <v>2</v>
      </c>
      <c r="AJ895" t="e">
        <f t="shared" si="93"/>
        <v>#N/A</v>
      </c>
      <c r="AK895">
        <f t="shared" si="97"/>
        <v>3</v>
      </c>
      <c r="AL895" t="e">
        <f t="shared" si="94"/>
        <v>#N/A</v>
      </c>
      <c r="AM895">
        <f t="shared" si="98"/>
        <v>4</v>
      </c>
      <c r="AN895" t="e">
        <f t="shared" si="95"/>
        <v>#N/A</v>
      </c>
    </row>
    <row r="896" spans="12:40" x14ac:dyDescent="0.25">
      <c r="L896">
        <v>893</v>
      </c>
      <c r="M896">
        <v>15.535</v>
      </c>
      <c r="N896">
        <v>14.861875</v>
      </c>
      <c r="O896">
        <v>14.169027777777778</v>
      </c>
      <c r="P896">
        <v>13.939604166666667</v>
      </c>
      <c r="AG896">
        <v>1</v>
      </c>
      <c r="AH896" t="e">
        <f t="shared" si="92"/>
        <v>#N/A</v>
      </c>
      <c r="AI896">
        <f t="shared" si="96"/>
        <v>2</v>
      </c>
      <c r="AJ896" t="e">
        <f t="shared" si="93"/>
        <v>#N/A</v>
      </c>
      <c r="AK896">
        <f t="shared" si="97"/>
        <v>3</v>
      </c>
      <c r="AL896" t="e">
        <f t="shared" si="94"/>
        <v>#N/A</v>
      </c>
      <c r="AM896">
        <f t="shared" si="98"/>
        <v>4</v>
      </c>
      <c r="AN896" t="e">
        <f t="shared" si="95"/>
        <v>#N/A</v>
      </c>
    </row>
    <row r="897" spans="12:40" x14ac:dyDescent="0.25">
      <c r="L897">
        <v>894</v>
      </c>
      <c r="M897">
        <v>15.223750000000001</v>
      </c>
      <c r="N897">
        <v>16.272500000000001</v>
      </c>
      <c r="O897">
        <v>14.410708333333332</v>
      </c>
      <c r="P897">
        <v>13.877000000000001</v>
      </c>
      <c r="AG897">
        <v>1</v>
      </c>
      <c r="AH897" t="e">
        <f t="shared" si="92"/>
        <v>#N/A</v>
      </c>
      <c r="AI897">
        <f t="shared" si="96"/>
        <v>2</v>
      </c>
      <c r="AJ897">
        <f t="shared" si="93"/>
        <v>16.272500000000001</v>
      </c>
      <c r="AK897">
        <f t="shared" si="97"/>
        <v>3</v>
      </c>
      <c r="AL897" t="e">
        <f t="shared" si="94"/>
        <v>#N/A</v>
      </c>
      <c r="AM897">
        <f t="shared" si="98"/>
        <v>4</v>
      </c>
      <c r="AN897" t="e">
        <f t="shared" si="95"/>
        <v>#N/A</v>
      </c>
    </row>
    <row r="898" spans="12:40" x14ac:dyDescent="0.25">
      <c r="L898">
        <v>895</v>
      </c>
      <c r="M898">
        <v>14.088749999999999</v>
      </c>
      <c r="N898">
        <v>13.238125</v>
      </c>
      <c r="O898">
        <v>14.347625000000001</v>
      </c>
      <c r="P898">
        <v>13.913902777777778</v>
      </c>
      <c r="AG898">
        <v>1</v>
      </c>
      <c r="AH898" t="e">
        <f t="shared" si="92"/>
        <v>#N/A</v>
      </c>
      <c r="AI898">
        <f t="shared" si="96"/>
        <v>2</v>
      </c>
      <c r="AJ898" t="e">
        <f t="shared" si="93"/>
        <v>#N/A</v>
      </c>
      <c r="AK898">
        <f t="shared" si="97"/>
        <v>3</v>
      </c>
      <c r="AL898" t="e">
        <f t="shared" si="94"/>
        <v>#N/A</v>
      </c>
      <c r="AM898">
        <f t="shared" si="98"/>
        <v>4</v>
      </c>
      <c r="AN898" t="e">
        <f t="shared" si="95"/>
        <v>#N/A</v>
      </c>
    </row>
    <row r="899" spans="12:40" x14ac:dyDescent="0.25">
      <c r="L899">
        <v>896</v>
      </c>
      <c r="M899">
        <v>13.921250000000001</v>
      </c>
      <c r="N899">
        <v>14.42</v>
      </c>
      <c r="O899">
        <v>14.432513888888888</v>
      </c>
      <c r="P899">
        <v>14.502611111111111</v>
      </c>
      <c r="AG899">
        <v>1</v>
      </c>
      <c r="AH899" t="e">
        <f t="shared" si="92"/>
        <v>#N/A</v>
      </c>
      <c r="AI899">
        <f t="shared" si="96"/>
        <v>2</v>
      </c>
      <c r="AJ899" t="e">
        <f t="shared" si="93"/>
        <v>#N/A</v>
      </c>
      <c r="AK899">
        <f t="shared" si="97"/>
        <v>3</v>
      </c>
      <c r="AL899" t="e">
        <f t="shared" si="94"/>
        <v>#N/A</v>
      </c>
      <c r="AM899">
        <f t="shared" si="98"/>
        <v>4</v>
      </c>
      <c r="AN899" t="e">
        <f t="shared" si="95"/>
        <v>#N/A</v>
      </c>
    </row>
    <row r="900" spans="12:40" x14ac:dyDescent="0.25">
      <c r="L900">
        <v>897</v>
      </c>
      <c r="M900">
        <v>12.49375</v>
      </c>
      <c r="N900">
        <v>12.811249999999999</v>
      </c>
      <c r="O900">
        <v>12.961874999999999</v>
      </c>
      <c r="P900">
        <v>13.760430555555553</v>
      </c>
      <c r="AG900">
        <v>1</v>
      </c>
      <c r="AH900" t="e">
        <f t="shared" ref="AH900:AH963" si="99">IF(OR(M900&lt;S$3,M900&gt;S$7),M900,#N/A)</f>
        <v>#N/A</v>
      </c>
      <c r="AI900">
        <f t="shared" si="96"/>
        <v>2</v>
      </c>
      <c r="AJ900" t="e">
        <f t="shared" ref="AJ900:AJ963" si="100">IF(OR(N900&lt;T$3,N900&gt;T$7),N900,#N/A)</f>
        <v>#N/A</v>
      </c>
      <c r="AK900">
        <f t="shared" si="97"/>
        <v>3</v>
      </c>
      <c r="AL900" t="e">
        <f t="shared" ref="AL900:AL963" si="101">IF(OR(O900&lt;U$3,O900&gt;U$7),O900,#N/A)</f>
        <v>#N/A</v>
      </c>
      <c r="AM900">
        <f t="shared" si="98"/>
        <v>4</v>
      </c>
      <c r="AN900" t="e">
        <f t="shared" ref="AN900:AN963" si="102">IF(OR(P900&lt;V$3,P900&gt;V$7),P900,#N/A)</f>
        <v>#N/A</v>
      </c>
    </row>
    <row r="901" spans="12:40" x14ac:dyDescent="0.25">
      <c r="L901">
        <v>898</v>
      </c>
      <c r="M901">
        <v>13.39625</v>
      </c>
      <c r="N901">
        <v>13.734375</v>
      </c>
      <c r="O901">
        <v>13.538208333333335</v>
      </c>
      <c r="P901">
        <v>13.94526388888889</v>
      </c>
      <c r="AG901">
        <v>1</v>
      </c>
      <c r="AH901" t="e">
        <f t="shared" si="99"/>
        <v>#N/A</v>
      </c>
      <c r="AI901">
        <f t="shared" ref="AI901:AI964" si="103">AG901+1</f>
        <v>2</v>
      </c>
      <c r="AJ901" t="e">
        <f t="shared" si="100"/>
        <v>#N/A</v>
      </c>
      <c r="AK901">
        <f t="shared" ref="AK901:AK964" si="104">AI901+1</f>
        <v>3</v>
      </c>
      <c r="AL901" t="e">
        <f t="shared" si="101"/>
        <v>#N/A</v>
      </c>
      <c r="AM901">
        <f t="shared" ref="AM901:AM964" si="105">AK901+1</f>
        <v>4</v>
      </c>
      <c r="AN901" t="e">
        <f t="shared" si="102"/>
        <v>#N/A</v>
      </c>
    </row>
    <row r="902" spans="12:40" x14ac:dyDescent="0.25">
      <c r="L902">
        <v>899</v>
      </c>
      <c r="M902">
        <v>14.775</v>
      </c>
      <c r="N902">
        <v>14.505000000000001</v>
      </c>
      <c r="O902">
        <v>14.142291666666665</v>
      </c>
      <c r="P902">
        <v>14.059909722222221</v>
      </c>
      <c r="AG902">
        <v>1</v>
      </c>
      <c r="AH902" t="e">
        <f t="shared" si="99"/>
        <v>#N/A</v>
      </c>
      <c r="AI902">
        <f t="shared" si="103"/>
        <v>2</v>
      </c>
      <c r="AJ902" t="e">
        <f t="shared" si="100"/>
        <v>#N/A</v>
      </c>
      <c r="AK902">
        <f t="shared" si="104"/>
        <v>3</v>
      </c>
      <c r="AL902" t="e">
        <f t="shared" si="101"/>
        <v>#N/A</v>
      </c>
      <c r="AM902">
        <f t="shared" si="105"/>
        <v>4</v>
      </c>
      <c r="AN902" t="e">
        <f t="shared" si="102"/>
        <v>#N/A</v>
      </c>
    </row>
    <row r="903" spans="12:40" x14ac:dyDescent="0.25">
      <c r="L903">
        <v>900</v>
      </c>
      <c r="M903">
        <v>14.66</v>
      </c>
      <c r="N903">
        <v>14.976875</v>
      </c>
      <c r="O903">
        <v>14.422027777777778</v>
      </c>
      <c r="P903">
        <v>13.945895833333331</v>
      </c>
      <c r="AG903">
        <v>1</v>
      </c>
      <c r="AH903" t="e">
        <f t="shared" si="99"/>
        <v>#N/A</v>
      </c>
      <c r="AI903">
        <f t="shared" si="103"/>
        <v>2</v>
      </c>
      <c r="AJ903" t="e">
        <f t="shared" si="100"/>
        <v>#N/A</v>
      </c>
      <c r="AK903">
        <f t="shared" si="104"/>
        <v>3</v>
      </c>
      <c r="AL903" t="e">
        <f t="shared" si="101"/>
        <v>#N/A</v>
      </c>
      <c r="AM903">
        <f t="shared" si="105"/>
        <v>4</v>
      </c>
      <c r="AN903" t="e">
        <f t="shared" si="102"/>
        <v>#N/A</v>
      </c>
    </row>
    <row r="904" spans="12:40" x14ac:dyDescent="0.25">
      <c r="L904">
        <v>901</v>
      </c>
      <c r="M904">
        <v>13.203749999999999</v>
      </c>
      <c r="N904">
        <v>13.11875</v>
      </c>
      <c r="O904">
        <v>13.883305555555557</v>
      </c>
      <c r="P904">
        <v>14.246694444444445</v>
      </c>
      <c r="AG904">
        <v>1</v>
      </c>
      <c r="AH904" t="e">
        <f t="shared" si="99"/>
        <v>#N/A</v>
      </c>
      <c r="AI904">
        <f t="shared" si="103"/>
        <v>2</v>
      </c>
      <c r="AJ904" t="e">
        <f t="shared" si="100"/>
        <v>#N/A</v>
      </c>
      <c r="AK904">
        <f t="shared" si="104"/>
        <v>3</v>
      </c>
      <c r="AL904" t="e">
        <f t="shared" si="101"/>
        <v>#N/A</v>
      </c>
      <c r="AM904">
        <f t="shared" si="105"/>
        <v>4</v>
      </c>
      <c r="AN904" t="e">
        <f t="shared" si="102"/>
        <v>#N/A</v>
      </c>
    </row>
    <row r="905" spans="12:40" x14ac:dyDescent="0.25">
      <c r="L905">
        <v>902</v>
      </c>
      <c r="M905">
        <v>13.28375</v>
      </c>
      <c r="N905">
        <v>14.209375</v>
      </c>
      <c r="O905">
        <v>14.610583333333331</v>
      </c>
      <c r="P905">
        <v>14.087784722222223</v>
      </c>
      <c r="AG905">
        <v>1</v>
      </c>
      <c r="AH905" t="e">
        <f t="shared" si="99"/>
        <v>#N/A</v>
      </c>
      <c r="AI905">
        <f t="shared" si="103"/>
        <v>2</v>
      </c>
      <c r="AJ905" t="e">
        <f t="shared" si="100"/>
        <v>#N/A</v>
      </c>
      <c r="AK905">
        <f t="shared" si="104"/>
        <v>3</v>
      </c>
      <c r="AL905" t="e">
        <f t="shared" si="101"/>
        <v>#N/A</v>
      </c>
      <c r="AM905">
        <f t="shared" si="105"/>
        <v>4</v>
      </c>
      <c r="AN905" t="e">
        <f t="shared" si="102"/>
        <v>#N/A</v>
      </c>
    </row>
    <row r="906" spans="12:40" x14ac:dyDescent="0.25">
      <c r="L906">
        <v>903</v>
      </c>
      <c r="M906">
        <v>13.9725</v>
      </c>
      <c r="N906">
        <v>13.713125</v>
      </c>
      <c r="O906">
        <v>14.194236111111113</v>
      </c>
      <c r="P906">
        <v>13.969625000000001</v>
      </c>
      <c r="AG906">
        <v>1</v>
      </c>
      <c r="AH906" t="e">
        <f t="shared" si="99"/>
        <v>#N/A</v>
      </c>
      <c r="AI906">
        <f t="shared" si="103"/>
        <v>2</v>
      </c>
      <c r="AJ906" t="e">
        <f t="shared" si="100"/>
        <v>#N/A</v>
      </c>
      <c r="AK906">
        <f t="shared" si="104"/>
        <v>3</v>
      </c>
      <c r="AL906" t="e">
        <f t="shared" si="101"/>
        <v>#N/A</v>
      </c>
      <c r="AM906">
        <f t="shared" si="105"/>
        <v>4</v>
      </c>
      <c r="AN906" t="e">
        <f t="shared" si="102"/>
        <v>#N/A</v>
      </c>
    </row>
    <row r="907" spans="12:40" x14ac:dyDescent="0.25">
      <c r="L907">
        <v>904</v>
      </c>
      <c r="M907">
        <v>13.543749999999999</v>
      </c>
      <c r="N907">
        <v>12.655625000000001</v>
      </c>
      <c r="O907">
        <v>13.261166666666668</v>
      </c>
      <c r="P907">
        <v>13.960861111111113</v>
      </c>
      <c r="AG907">
        <v>1</v>
      </c>
      <c r="AH907" t="e">
        <f t="shared" si="99"/>
        <v>#N/A</v>
      </c>
      <c r="AI907">
        <f t="shared" si="103"/>
        <v>2</v>
      </c>
      <c r="AJ907" t="e">
        <f t="shared" si="100"/>
        <v>#N/A</v>
      </c>
      <c r="AK907">
        <f t="shared" si="104"/>
        <v>3</v>
      </c>
      <c r="AL907" t="e">
        <f t="shared" si="101"/>
        <v>#N/A</v>
      </c>
      <c r="AM907">
        <f t="shared" si="105"/>
        <v>4</v>
      </c>
      <c r="AN907" t="e">
        <f t="shared" si="102"/>
        <v>#N/A</v>
      </c>
    </row>
    <row r="908" spans="12:40" x14ac:dyDescent="0.25">
      <c r="L908">
        <v>905</v>
      </c>
      <c r="M908">
        <v>13.47125</v>
      </c>
      <c r="N908">
        <v>13.539375</v>
      </c>
      <c r="O908">
        <v>14.026888888888889</v>
      </c>
      <c r="P908">
        <v>13.747236111111109</v>
      </c>
      <c r="AG908">
        <v>1</v>
      </c>
      <c r="AH908" t="e">
        <f t="shared" si="99"/>
        <v>#N/A</v>
      </c>
      <c r="AI908">
        <f t="shared" si="103"/>
        <v>2</v>
      </c>
      <c r="AJ908" t="e">
        <f t="shared" si="100"/>
        <v>#N/A</v>
      </c>
      <c r="AK908">
        <f t="shared" si="104"/>
        <v>3</v>
      </c>
      <c r="AL908" t="e">
        <f t="shared" si="101"/>
        <v>#N/A</v>
      </c>
      <c r="AM908">
        <f t="shared" si="105"/>
        <v>4</v>
      </c>
      <c r="AN908" t="e">
        <f t="shared" si="102"/>
        <v>#N/A</v>
      </c>
    </row>
    <row r="909" spans="12:40" x14ac:dyDescent="0.25">
      <c r="L909">
        <v>906</v>
      </c>
      <c r="M909">
        <v>14.49375</v>
      </c>
      <c r="N909">
        <v>15.385</v>
      </c>
      <c r="O909">
        <v>14.27901388888889</v>
      </c>
      <c r="P909">
        <v>14.137437500000001</v>
      </c>
      <c r="AG909">
        <v>1</v>
      </c>
      <c r="AH909" t="e">
        <f t="shared" si="99"/>
        <v>#N/A</v>
      </c>
      <c r="AI909">
        <f t="shared" si="103"/>
        <v>2</v>
      </c>
      <c r="AJ909" t="e">
        <f t="shared" si="100"/>
        <v>#N/A</v>
      </c>
      <c r="AK909">
        <f t="shared" si="104"/>
        <v>3</v>
      </c>
      <c r="AL909" t="e">
        <f t="shared" si="101"/>
        <v>#N/A</v>
      </c>
      <c r="AM909">
        <f t="shared" si="105"/>
        <v>4</v>
      </c>
      <c r="AN909" t="e">
        <f t="shared" si="102"/>
        <v>#N/A</v>
      </c>
    </row>
    <row r="910" spans="12:40" x14ac:dyDescent="0.25">
      <c r="L910">
        <v>907</v>
      </c>
      <c r="M910">
        <v>14.688750000000001</v>
      </c>
      <c r="N910">
        <v>14.043125</v>
      </c>
      <c r="O910">
        <v>14.337402777777779</v>
      </c>
      <c r="P910">
        <v>14.228590277777778</v>
      </c>
      <c r="AG910">
        <v>1</v>
      </c>
      <c r="AH910" t="e">
        <f t="shared" si="99"/>
        <v>#N/A</v>
      </c>
      <c r="AI910">
        <f t="shared" si="103"/>
        <v>2</v>
      </c>
      <c r="AJ910" t="e">
        <f t="shared" si="100"/>
        <v>#N/A</v>
      </c>
      <c r="AK910">
        <f t="shared" si="104"/>
        <v>3</v>
      </c>
      <c r="AL910" t="e">
        <f t="shared" si="101"/>
        <v>#N/A</v>
      </c>
      <c r="AM910">
        <f t="shared" si="105"/>
        <v>4</v>
      </c>
      <c r="AN910" t="e">
        <f t="shared" si="102"/>
        <v>#N/A</v>
      </c>
    </row>
    <row r="911" spans="12:40" x14ac:dyDescent="0.25">
      <c r="L911">
        <v>908</v>
      </c>
      <c r="M911">
        <v>15.26</v>
      </c>
      <c r="N911">
        <v>14.156874999999999</v>
      </c>
      <c r="O911">
        <v>14.032569444444443</v>
      </c>
      <c r="P911">
        <v>14.064006944444445</v>
      </c>
      <c r="AG911">
        <v>1</v>
      </c>
      <c r="AH911" t="e">
        <f t="shared" si="99"/>
        <v>#N/A</v>
      </c>
      <c r="AI911">
        <f t="shared" si="103"/>
        <v>2</v>
      </c>
      <c r="AJ911" t="e">
        <f t="shared" si="100"/>
        <v>#N/A</v>
      </c>
      <c r="AK911">
        <f t="shared" si="104"/>
        <v>3</v>
      </c>
      <c r="AL911" t="e">
        <f t="shared" si="101"/>
        <v>#N/A</v>
      </c>
      <c r="AM911">
        <f t="shared" si="105"/>
        <v>4</v>
      </c>
      <c r="AN911" t="e">
        <f t="shared" si="102"/>
        <v>#N/A</v>
      </c>
    </row>
    <row r="912" spans="12:40" x14ac:dyDescent="0.25">
      <c r="L912">
        <v>909</v>
      </c>
      <c r="M912">
        <v>13.897500000000001</v>
      </c>
      <c r="N912">
        <v>14.44</v>
      </c>
      <c r="O912">
        <v>14.302888888888887</v>
      </c>
      <c r="P912">
        <v>14.675347222222221</v>
      </c>
      <c r="AG912">
        <v>1</v>
      </c>
      <c r="AH912" t="e">
        <f t="shared" si="99"/>
        <v>#N/A</v>
      </c>
      <c r="AI912">
        <f t="shared" si="103"/>
        <v>2</v>
      </c>
      <c r="AJ912" t="e">
        <f t="shared" si="100"/>
        <v>#N/A</v>
      </c>
      <c r="AK912">
        <f t="shared" si="104"/>
        <v>3</v>
      </c>
      <c r="AL912" t="e">
        <f t="shared" si="101"/>
        <v>#N/A</v>
      </c>
      <c r="AM912">
        <f t="shared" si="105"/>
        <v>4</v>
      </c>
      <c r="AN912" t="e">
        <f t="shared" si="102"/>
        <v>#N/A</v>
      </c>
    </row>
    <row r="913" spans="12:40" x14ac:dyDescent="0.25">
      <c r="L913">
        <v>910</v>
      </c>
      <c r="M913">
        <v>13.37125</v>
      </c>
      <c r="N913">
        <v>14.703125</v>
      </c>
      <c r="O913">
        <v>14.844458333333334</v>
      </c>
      <c r="P913">
        <v>14.568298611111112</v>
      </c>
      <c r="AG913">
        <v>1</v>
      </c>
      <c r="AH913" t="e">
        <f t="shared" si="99"/>
        <v>#N/A</v>
      </c>
      <c r="AI913">
        <f t="shared" si="103"/>
        <v>2</v>
      </c>
      <c r="AJ913" t="e">
        <f t="shared" si="100"/>
        <v>#N/A</v>
      </c>
      <c r="AK913">
        <f t="shared" si="104"/>
        <v>3</v>
      </c>
      <c r="AL913" t="e">
        <f t="shared" si="101"/>
        <v>#N/A</v>
      </c>
      <c r="AM913">
        <f t="shared" si="105"/>
        <v>4</v>
      </c>
      <c r="AN913" t="e">
        <f t="shared" si="102"/>
        <v>#N/A</v>
      </c>
    </row>
    <row r="914" spans="12:40" x14ac:dyDescent="0.25">
      <c r="L914">
        <v>911</v>
      </c>
      <c r="M914">
        <v>14.178750000000001</v>
      </c>
      <c r="N914">
        <v>13.986875</v>
      </c>
      <c r="O914">
        <v>13.487916666666665</v>
      </c>
      <c r="P914">
        <v>13.813097222222222</v>
      </c>
      <c r="AG914">
        <v>1</v>
      </c>
      <c r="AH914" t="e">
        <f t="shared" si="99"/>
        <v>#N/A</v>
      </c>
      <c r="AI914">
        <f t="shared" si="103"/>
        <v>2</v>
      </c>
      <c r="AJ914" t="e">
        <f t="shared" si="100"/>
        <v>#N/A</v>
      </c>
      <c r="AK914">
        <f t="shared" si="104"/>
        <v>3</v>
      </c>
      <c r="AL914" t="e">
        <f t="shared" si="101"/>
        <v>#N/A</v>
      </c>
      <c r="AM914">
        <f t="shared" si="105"/>
        <v>4</v>
      </c>
      <c r="AN914" t="e">
        <f t="shared" si="102"/>
        <v>#N/A</v>
      </c>
    </row>
    <row r="915" spans="12:40" x14ac:dyDescent="0.25">
      <c r="L915">
        <v>912</v>
      </c>
      <c r="M915">
        <v>14.45</v>
      </c>
      <c r="N915">
        <v>15.303750000000001</v>
      </c>
      <c r="O915">
        <v>13.771458333333335</v>
      </c>
      <c r="P915">
        <v>13.90251388888889</v>
      </c>
      <c r="AG915">
        <v>1</v>
      </c>
      <c r="AH915" t="e">
        <f t="shared" si="99"/>
        <v>#N/A</v>
      </c>
      <c r="AI915">
        <f t="shared" si="103"/>
        <v>2</v>
      </c>
      <c r="AJ915" t="e">
        <f t="shared" si="100"/>
        <v>#N/A</v>
      </c>
      <c r="AK915">
        <f t="shared" si="104"/>
        <v>3</v>
      </c>
      <c r="AL915" t="e">
        <f t="shared" si="101"/>
        <v>#N/A</v>
      </c>
      <c r="AM915">
        <f t="shared" si="105"/>
        <v>4</v>
      </c>
      <c r="AN915" t="e">
        <f t="shared" si="102"/>
        <v>#N/A</v>
      </c>
    </row>
    <row r="916" spans="12:40" x14ac:dyDescent="0.25">
      <c r="L916">
        <v>913</v>
      </c>
      <c r="M916">
        <v>13.07</v>
      </c>
      <c r="N916">
        <v>13.473125</v>
      </c>
      <c r="O916">
        <v>13.252875</v>
      </c>
      <c r="P916">
        <v>14.043187499999998</v>
      </c>
      <c r="AG916">
        <v>1</v>
      </c>
      <c r="AH916" t="e">
        <f t="shared" si="99"/>
        <v>#N/A</v>
      </c>
      <c r="AI916">
        <f t="shared" si="103"/>
        <v>2</v>
      </c>
      <c r="AJ916" t="e">
        <f t="shared" si="100"/>
        <v>#N/A</v>
      </c>
      <c r="AK916">
        <f t="shared" si="104"/>
        <v>3</v>
      </c>
      <c r="AL916" t="e">
        <f t="shared" si="101"/>
        <v>#N/A</v>
      </c>
      <c r="AM916">
        <f t="shared" si="105"/>
        <v>4</v>
      </c>
      <c r="AN916" t="e">
        <f t="shared" si="102"/>
        <v>#N/A</v>
      </c>
    </row>
    <row r="917" spans="12:40" x14ac:dyDescent="0.25">
      <c r="L917">
        <v>914</v>
      </c>
      <c r="M917">
        <v>14.522500000000001</v>
      </c>
      <c r="N917">
        <v>14.311249999999999</v>
      </c>
      <c r="O917">
        <v>13.353388888888887</v>
      </c>
      <c r="P917">
        <v>13.813409722222223</v>
      </c>
      <c r="AG917">
        <v>1</v>
      </c>
      <c r="AH917" t="e">
        <f t="shared" si="99"/>
        <v>#N/A</v>
      </c>
      <c r="AI917">
        <f t="shared" si="103"/>
        <v>2</v>
      </c>
      <c r="AJ917" t="e">
        <f t="shared" si="100"/>
        <v>#N/A</v>
      </c>
      <c r="AK917">
        <f t="shared" si="104"/>
        <v>3</v>
      </c>
      <c r="AL917" t="e">
        <f t="shared" si="101"/>
        <v>#N/A</v>
      </c>
      <c r="AM917">
        <f t="shared" si="105"/>
        <v>4</v>
      </c>
      <c r="AN917" t="e">
        <f t="shared" si="102"/>
        <v>#N/A</v>
      </c>
    </row>
    <row r="918" spans="12:40" x14ac:dyDescent="0.25">
      <c r="L918">
        <v>915</v>
      </c>
      <c r="M918">
        <v>15.348750000000001</v>
      </c>
      <c r="N918">
        <v>15.4575</v>
      </c>
      <c r="O918">
        <v>14.568138888888889</v>
      </c>
      <c r="P918">
        <v>14.465145833333331</v>
      </c>
      <c r="AG918">
        <v>1</v>
      </c>
      <c r="AH918" t="e">
        <f t="shared" si="99"/>
        <v>#N/A</v>
      </c>
      <c r="AI918">
        <f t="shared" si="103"/>
        <v>2</v>
      </c>
      <c r="AJ918" t="e">
        <f t="shared" si="100"/>
        <v>#N/A</v>
      </c>
      <c r="AK918">
        <f t="shared" si="104"/>
        <v>3</v>
      </c>
      <c r="AL918" t="e">
        <f t="shared" si="101"/>
        <v>#N/A</v>
      </c>
      <c r="AM918">
        <f t="shared" si="105"/>
        <v>4</v>
      </c>
      <c r="AN918" t="e">
        <f t="shared" si="102"/>
        <v>#N/A</v>
      </c>
    </row>
    <row r="919" spans="12:40" x14ac:dyDescent="0.25">
      <c r="L919">
        <v>916</v>
      </c>
      <c r="M919">
        <v>13.7125</v>
      </c>
      <c r="N919">
        <v>14.283125</v>
      </c>
      <c r="O919">
        <v>14.153861111111112</v>
      </c>
      <c r="P919">
        <v>14.421090277777777</v>
      </c>
      <c r="AG919">
        <v>1</v>
      </c>
      <c r="AH919" t="e">
        <f t="shared" si="99"/>
        <v>#N/A</v>
      </c>
      <c r="AI919">
        <f t="shared" si="103"/>
        <v>2</v>
      </c>
      <c r="AJ919" t="e">
        <f t="shared" si="100"/>
        <v>#N/A</v>
      </c>
      <c r="AK919">
        <f t="shared" si="104"/>
        <v>3</v>
      </c>
      <c r="AL919" t="e">
        <f t="shared" si="101"/>
        <v>#N/A</v>
      </c>
      <c r="AM919">
        <f t="shared" si="105"/>
        <v>4</v>
      </c>
      <c r="AN919" t="e">
        <f t="shared" si="102"/>
        <v>#N/A</v>
      </c>
    </row>
    <row r="920" spans="12:40" x14ac:dyDescent="0.25">
      <c r="L920">
        <v>917</v>
      </c>
      <c r="M920">
        <v>14.83375</v>
      </c>
      <c r="N920">
        <v>14.355625</v>
      </c>
      <c r="O920">
        <v>14.246333333333334</v>
      </c>
      <c r="P920">
        <v>14.401638888888892</v>
      </c>
      <c r="AG920">
        <v>1</v>
      </c>
      <c r="AH920" t="e">
        <f t="shared" si="99"/>
        <v>#N/A</v>
      </c>
      <c r="AI920">
        <f t="shared" si="103"/>
        <v>2</v>
      </c>
      <c r="AJ920" t="e">
        <f t="shared" si="100"/>
        <v>#N/A</v>
      </c>
      <c r="AK920">
        <f t="shared" si="104"/>
        <v>3</v>
      </c>
      <c r="AL920" t="e">
        <f t="shared" si="101"/>
        <v>#N/A</v>
      </c>
      <c r="AM920">
        <f t="shared" si="105"/>
        <v>4</v>
      </c>
      <c r="AN920" t="e">
        <f t="shared" si="102"/>
        <v>#N/A</v>
      </c>
    </row>
    <row r="921" spans="12:40" x14ac:dyDescent="0.25">
      <c r="L921">
        <v>918</v>
      </c>
      <c r="M921">
        <v>14.547499999999999</v>
      </c>
      <c r="N921">
        <v>13.221875000000001</v>
      </c>
      <c r="O921">
        <v>13.21451388888889</v>
      </c>
      <c r="P921">
        <v>14.107055555555558</v>
      </c>
      <c r="AG921">
        <v>1</v>
      </c>
      <c r="AH921" t="e">
        <f t="shared" si="99"/>
        <v>#N/A</v>
      </c>
      <c r="AI921">
        <f t="shared" si="103"/>
        <v>2</v>
      </c>
      <c r="AJ921" t="e">
        <f t="shared" si="100"/>
        <v>#N/A</v>
      </c>
      <c r="AK921">
        <f t="shared" si="104"/>
        <v>3</v>
      </c>
      <c r="AL921" t="e">
        <f t="shared" si="101"/>
        <v>#N/A</v>
      </c>
      <c r="AM921">
        <f t="shared" si="105"/>
        <v>4</v>
      </c>
      <c r="AN921" t="e">
        <f t="shared" si="102"/>
        <v>#N/A</v>
      </c>
    </row>
    <row r="922" spans="12:40" x14ac:dyDescent="0.25">
      <c r="L922">
        <v>919</v>
      </c>
      <c r="M922">
        <v>13.77125</v>
      </c>
      <c r="N922">
        <v>14.929375</v>
      </c>
      <c r="O922">
        <v>15.194444444444443</v>
      </c>
      <c r="P922">
        <v>14.236270833333336</v>
      </c>
      <c r="AG922">
        <v>1</v>
      </c>
      <c r="AH922" t="e">
        <f t="shared" si="99"/>
        <v>#N/A</v>
      </c>
      <c r="AI922">
        <f t="shared" si="103"/>
        <v>2</v>
      </c>
      <c r="AJ922" t="e">
        <f t="shared" si="100"/>
        <v>#N/A</v>
      </c>
      <c r="AK922">
        <f t="shared" si="104"/>
        <v>3</v>
      </c>
      <c r="AL922" t="e">
        <f t="shared" si="101"/>
        <v>#N/A</v>
      </c>
      <c r="AM922">
        <f t="shared" si="105"/>
        <v>4</v>
      </c>
      <c r="AN922" t="e">
        <f t="shared" si="102"/>
        <v>#N/A</v>
      </c>
    </row>
    <row r="923" spans="12:40" x14ac:dyDescent="0.25">
      <c r="L923">
        <v>920</v>
      </c>
      <c r="M923">
        <v>13.49375</v>
      </c>
      <c r="N923">
        <v>14.255625</v>
      </c>
      <c r="O923">
        <v>14.085861111111113</v>
      </c>
      <c r="P923">
        <v>14.560770833333336</v>
      </c>
      <c r="AG923">
        <v>1</v>
      </c>
      <c r="AH923" t="e">
        <f t="shared" si="99"/>
        <v>#N/A</v>
      </c>
      <c r="AI923">
        <f t="shared" si="103"/>
        <v>2</v>
      </c>
      <c r="AJ923" t="e">
        <f t="shared" si="100"/>
        <v>#N/A</v>
      </c>
      <c r="AK923">
        <f t="shared" si="104"/>
        <v>3</v>
      </c>
      <c r="AL923" t="e">
        <f t="shared" si="101"/>
        <v>#N/A</v>
      </c>
      <c r="AM923">
        <f t="shared" si="105"/>
        <v>4</v>
      </c>
      <c r="AN923" t="e">
        <f t="shared" si="102"/>
        <v>#N/A</v>
      </c>
    </row>
    <row r="924" spans="12:40" x14ac:dyDescent="0.25">
      <c r="L924">
        <v>921</v>
      </c>
      <c r="M924">
        <v>13.55875</v>
      </c>
      <c r="N924">
        <v>14.344374999999999</v>
      </c>
      <c r="O924">
        <v>14.532055555555553</v>
      </c>
      <c r="P924">
        <v>14.040013888888891</v>
      </c>
      <c r="AG924">
        <v>1</v>
      </c>
      <c r="AH924" t="e">
        <f t="shared" si="99"/>
        <v>#N/A</v>
      </c>
      <c r="AI924">
        <f t="shared" si="103"/>
        <v>2</v>
      </c>
      <c r="AJ924" t="e">
        <f t="shared" si="100"/>
        <v>#N/A</v>
      </c>
      <c r="AK924">
        <f t="shared" si="104"/>
        <v>3</v>
      </c>
      <c r="AL924" t="e">
        <f t="shared" si="101"/>
        <v>#N/A</v>
      </c>
      <c r="AM924">
        <f t="shared" si="105"/>
        <v>4</v>
      </c>
      <c r="AN924" t="e">
        <f t="shared" si="102"/>
        <v>#N/A</v>
      </c>
    </row>
    <row r="925" spans="12:40" x14ac:dyDescent="0.25">
      <c r="L925">
        <v>922</v>
      </c>
      <c r="M925">
        <v>14.821249999999999</v>
      </c>
      <c r="N925">
        <v>14.74625</v>
      </c>
      <c r="O925">
        <v>13.905124999999998</v>
      </c>
      <c r="P925">
        <v>14.351847222222222</v>
      </c>
      <c r="AG925">
        <v>1</v>
      </c>
      <c r="AH925" t="e">
        <f t="shared" si="99"/>
        <v>#N/A</v>
      </c>
      <c r="AI925">
        <f t="shared" si="103"/>
        <v>2</v>
      </c>
      <c r="AJ925" t="e">
        <f t="shared" si="100"/>
        <v>#N/A</v>
      </c>
      <c r="AK925">
        <f t="shared" si="104"/>
        <v>3</v>
      </c>
      <c r="AL925" t="e">
        <f t="shared" si="101"/>
        <v>#N/A</v>
      </c>
      <c r="AM925">
        <f t="shared" si="105"/>
        <v>4</v>
      </c>
      <c r="AN925" t="e">
        <f t="shared" si="102"/>
        <v>#N/A</v>
      </c>
    </row>
    <row r="926" spans="12:40" x14ac:dyDescent="0.25">
      <c r="L926">
        <v>923</v>
      </c>
      <c r="M926">
        <v>14.251250000000001</v>
      </c>
      <c r="N926">
        <v>14.141875000000001</v>
      </c>
      <c r="O926">
        <v>13.642541666666666</v>
      </c>
      <c r="P926">
        <v>13.743694444444444</v>
      </c>
      <c r="AG926">
        <v>1</v>
      </c>
      <c r="AH926" t="e">
        <f t="shared" si="99"/>
        <v>#N/A</v>
      </c>
      <c r="AI926">
        <f t="shared" si="103"/>
        <v>2</v>
      </c>
      <c r="AJ926" t="e">
        <f t="shared" si="100"/>
        <v>#N/A</v>
      </c>
      <c r="AK926">
        <f t="shared" si="104"/>
        <v>3</v>
      </c>
      <c r="AL926" t="e">
        <f t="shared" si="101"/>
        <v>#N/A</v>
      </c>
      <c r="AM926">
        <f t="shared" si="105"/>
        <v>4</v>
      </c>
      <c r="AN926" t="e">
        <f t="shared" si="102"/>
        <v>#N/A</v>
      </c>
    </row>
    <row r="927" spans="12:40" x14ac:dyDescent="0.25">
      <c r="L927">
        <v>924</v>
      </c>
      <c r="M927">
        <v>15.608750000000001</v>
      </c>
      <c r="N927">
        <v>15.39625</v>
      </c>
      <c r="O927">
        <v>15.044597222222221</v>
      </c>
      <c r="P927">
        <v>14.710833333333333</v>
      </c>
      <c r="AG927">
        <v>1</v>
      </c>
      <c r="AH927" t="e">
        <f t="shared" si="99"/>
        <v>#N/A</v>
      </c>
      <c r="AI927">
        <f t="shared" si="103"/>
        <v>2</v>
      </c>
      <c r="AJ927" t="e">
        <f t="shared" si="100"/>
        <v>#N/A</v>
      </c>
      <c r="AK927">
        <f t="shared" si="104"/>
        <v>3</v>
      </c>
      <c r="AL927" t="e">
        <f t="shared" si="101"/>
        <v>#N/A</v>
      </c>
      <c r="AM927">
        <f t="shared" si="105"/>
        <v>4</v>
      </c>
      <c r="AN927" t="e">
        <f t="shared" si="102"/>
        <v>#N/A</v>
      </c>
    </row>
    <row r="928" spans="12:40" x14ac:dyDescent="0.25">
      <c r="L928">
        <v>925</v>
      </c>
      <c r="M928">
        <v>15.505000000000001</v>
      </c>
      <c r="N928">
        <v>14.425625</v>
      </c>
      <c r="O928">
        <v>14.272500000000001</v>
      </c>
      <c r="P928">
        <v>14.348409722222222</v>
      </c>
      <c r="AG928">
        <v>1</v>
      </c>
      <c r="AH928" t="e">
        <f t="shared" si="99"/>
        <v>#N/A</v>
      </c>
      <c r="AI928">
        <f t="shared" si="103"/>
        <v>2</v>
      </c>
      <c r="AJ928" t="e">
        <f t="shared" si="100"/>
        <v>#N/A</v>
      </c>
      <c r="AK928">
        <f t="shared" si="104"/>
        <v>3</v>
      </c>
      <c r="AL928" t="e">
        <f t="shared" si="101"/>
        <v>#N/A</v>
      </c>
      <c r="AM928">
        <f t="shared" si="105"/>
        <v>4</v>
      </c>
      <c r="AN928" t="e">
        <f t="shared" si="102"/>
        <v>#N/A</v>
      </c>
    </row>
    <row r="929" spans="12:40" x14ac:dyDescent="0.25">
      <c r="L929">
        <v>926</v>
      </c>
      <c r="M929">
        <v>13.58</v>
      </c>
      <c r="N929">
        <v>13.238125</v>
      </c>
      <c r="O929">
        <v>13.100888888888893</v>
      </c>
      <c r="P929">
        <v>13.231680555555556</v>
      </c>
      <c r="AG929">
        <v>1</v>
      </c>
      <c r="AH929" t="e">
        <f t="shared" si="99"/>
        <v>#N/A</v>
      </c>
      <c r="AI929">
        <f t="shared" si="103"/>
        <v>2</v>
      </c>
      <c r="AJ929" t="e">
        <f t="shared" si="100"/>
        <v>#N/A</v>
      </c>
      <c r="AK929">
        <f t="shared" si="104"/>
        <v>3</v>
      </c>
      <c r="AL929" t="e">
        <f t="shared" si="101"/>
        <v>#N/A</v>
      </c>
      <c r="AM929">
        <f t="shared" si="105"/>
        <v>4</v>
      </c>
      <c r="AN929" t="e">
        <f t="shared" si="102"/>
        <v>#N/A</v>
      </c>
    </row>
    <row r="930" spans="12:40" x14ac:dyDescent="0.25">
      <c r="L930">
        <v>927</v>
      </c>
      <c r="M930">
        <v>15.425000000000001</v>
      </c>
      <c r="N930">
        <v>13.928750000000001</v>
      </c>
      <c r="O930">
        <v>14.171819444444443</v>
      </c>
      <c r="P930">
        <v>13.513486111111108</v>
      </c>
      <c r="AG930">
        <v>1</v>
      </c>
      <c r="AH930" t="e">
        <f t="shared" si="99"/>
        <v>#N/A</v>
      </c>
      <c r="AI930">
        <f t="shared" si="103"/>
        <v>2</v>
      </c>
      <c r="AJ930" t="e">
        <f t="shared" si="100"/>
        <v>#N/A</v>
      </c>
      <c r="AK930">
        <f t="shared" si="104"/>
        <v>3</v>
      </c>
      <c r="AL930" t="e">
        <f t="shared" si="101"/>
        <v>#N/A</v>
      </c>
      <c r="AM930">
        <f t="shared" si="105"/>
        <v>4</v>
      </c>
      <c r="AN930" t="e">
        <f t="shared" si="102"/>
        <v>#N/A</v>
      </c>
    </row>
    <row r="931" spans="12:40" x14ac:dyDescent="0.25">
      <c r="L931">
        <v>928</v>
      </c>
      <c r="M931">
        <v>13.321249999999999</v>
      </c>
      <c r="N931">
        <v>13.4375</v>
      </c>
      <c r="O931">
        <v>13.675916666666664</v>
      </c>
      <c r="P931">
        <v>13.85476388888889</v>
      </c>
      <c r="AG931">
        <v>1</v>
      </c>
      <c r="AH931" t="e">
        <f t="shared" si="99"/>
        <v>#N/A</v>
      </c>
      <c r="AI931">
        <f t="shared" si="103"/>
        <v>2</v>
      </c>
      <c r="AJ931" t="e">
        <f t="shared" si="100"/>
        <v>#N/A</v>
      </c>
      <c r="AK931">
        <f t="shared" si="104"/>
        <v>3</v>
      </c>
      <c r="AL931" t="e">
        <f t="shared" si="101"/>
        <v>#N/A</v>
      </c>
      <c r="AM931">
        <f t="shared" si="105"/>
        <v>4</v>
      </c>
      <c r="AN931" t="e">
        <f t="shared" si="102"/>
        <v>#N/A</v>
      </c>
    </row>
    <row r="932" spans="12:40" x14ac:dyDescent="0.25">
      <c r="L932">
        <v>929</v>
      </c>
      <c r="M932">
        <v>13.605</v>
      </c>
      <c r="N932">
        <v>13.358750000000001</v>
      </c>
      <c r="O932">
        <v>13.660222222222222</v>
      </c>
      <c r="P932">
        <v>13.81009722222222</v>
      </c>
      <c r="AG932">
        <v>1</v>
      </c>
      <c r="AH932" t="e">
        <f t="shared" si="99"/>
        <v>#N/A</v>
      </c>
      <c r="AI932">
        <f t="shared" si="103"/>
        <v>2</v>
      </c>
      <c r="AJ932" t="e">
        <f t="shared" si="100"/>
        <v>#N/A</v>
      </c>
      <c r="AK932">
        <f t="shared" si="104"/>
        <v>3</v>
      </c>
      <c r="AL932" t="e">
        <f t="shared" si="101"/>
        <v>#N/A</v>
      </c>
      <c r="AM932">
        <f t="shared" si="105"/>
        <v>4</v>
      </c>
      <c r="AN932" t="e">
        <f t="shared" si="102"/>
        <v>#N/A</v>
      </c>
    </row>
    <row r="933" spans="12:40" x14ac:dyDescent="0.25">
      <c r="L933">
        <v>930</v>
      </c>
      <c r="M933">
        <v>16.164999999999999</v>
      </c>
      <c r="N933">
        <v>15.67</v>
      </c>
      <c r="O933">
        <v>14.009555555555558</v>
      </c>
      <c r="P933">
        <v>13.986340277777778</v>
      </c>
      <c r="AG933">
        <v>1</v>
      </c>
      <c r="AH933" t="e">
        <f t="shared" si="99"/>
        <v>#N/A</v>
      </c>
      <c r="AI933">
        <f t="shared" si="103"/>
        <v>2</v>
      </c>
      <c r="AJ933" t="e">
        <f t="shared" si="100"/>
        <v>#N/A</v>
      </c>
      <c r="AK933">
        <f t="shared" si="104"/>
        <v>3</v>
      </c>
      <c r="AL933" t="e">
        <f t="shared" si="101"/>
        <v>#N/A</v>
      </c>
      <c r="AM933">
        <f t="shared" si="105"/>
        <v>4</v>
      </c>
      <c r="AN933" t="e">
        <f t="shared" si="102"/>
        <v>#N/A</v>
      </c>
    </row>
    <row r="934" spans="12:40" x14ac:dyDescent="0.25">
      <c r="L934">
        <v>931</v>
      </c>
      <c r="M934">
        <v>13.9925</v>
      </c>
      <c r="N934">
        <v>13.725625000000001</v>
      </c>
      <c r="O934">
        <v>14.195763888888887</v>
      </c>
      <c r="P934">
        <v>14.286236111111112</v>
      </c>
      <c r="AG934">
        <v>1</v>
      </c>
      <c r="AH934" t="e">
        <f t="shared" si="99"/>
        <v>#N/A</v>
      </c>
      <c r="AI934">
        <f t="shared" si="103"/>
        <v>2</v>
      </c>
      <c r="AJ934" t="e">
        <f t="shared" si="100"/>
        <v>#N/A</v>
      </c>
      <c r="AK934">
        <f t="shared" si="104"/>
        <v>3</v>
      </c>
      <c r="AL934" t="e">
        <f t="shared" si="101"/>
        <v>#N/A</v>
      </c>
      <c r="AM934">
        <f t="shared" si="105"/>
        <v>4</v>
      </c>
      <c r="AN934" t="e">
        <f t="shared" si="102"/>
        <v>#N/A</v>
      </c>
    </row>
    <row r="935" spans="12:40" x14ac:dyDescent="0.25">
      <c r="L935">
        <v>932</v>
      </c>
      <c r="M935">
        <v>14.731249999999999</v>
      </c>
      <c r="N935">
        <v>15.171875</v>
      </c>
      <c r="O935">
        <v>13.890111111111112</v>
      </c>
      <c r="P935">
        <v>14.097687499999999</v>
      </c>
      <c r="AG935">
        <v>1</v>
      </c>
      <c r="AH935" t="e">
        <f t="shared" si="99"/>
        <v>#N/A</v>
      </c>
      <c r="AI935">
        <f t="shared" si="103"/>
        <v>2</v>
      </c>
      <c r="AJ935" t="e">
        <f t="shared" si="100"/>
        <v>#N/A</v>
      </c>
      <c r="AK935">
        <f t="shared" si="104"/>
        <v>3</v>
      </c>
      <c r="AL935" t="e">
        <f t="shared" si="101"/>
        <v>#N/A</v>
      </c>
      <c r="AM935">
        <f t="shared" si="105"/>
        <v>4</v>
      </c>
      <c r="AN935" t="e">
        <f t="shared" si="102"/>
        <v>#N/A</v>
      </c>
    </row>
    <row r="936" spans="12:40" x14ac:dyDescent="0.25">
      <c r="L936">
        <v>933</v>
      </c>
      <c r="M936">
        <v>15.297499999999999</v>
      </c>
      <c r="N936">
        <v>14.699375</v>
      </c>
      <c r="O936">
        <v>14.271847222222222</v>
      </c>
      <c r="P936">
        <v>14.349756944444445</v>
      </c>
      <c r="AG936">
        <v>1</v>
      </c>
      <c r="AH936" t="e">
        <f t="shared" si="99"/>
        <v>#N/A</v>
      </c>
      <c r="AI936">
        <f t="shared" si="103"/>
        <v>2</v>
      </c>
      <c r="AJ936" t="e">
        <f t="shared" si="100"/>
        <v>#N/A</v>
      </c>
      <c r="AK936">
        <f t="shared" si="104"/>
        <v>3</v>
      </c>
      <c r="AL936" t="e">
        <f t="shared" si="101"/>
        <v>#N/A</v>
      </c>
      <c r="AM936">
        <f t="shared" si="105"/>
        <v>4</v>
      </c>
      <c r="AN936" t="e">
        <f t="shared" si="102"/>
        <v>#N/A</v>
      </c>
    </row>
    <row r="937" spans="12:40" x14ac:dyDescent="0.25">
      <c r="L937">
        <v>934</v>
      </c>
      <c r="M937">
        <v>12.032500000000001</v>
      </c>
      <c r="N937">
        <v>12.818125</v>
      </c>
      <c r="O937">
        <v>13.303875</v>
      </c>
      <c r="P937">
        <v>14.263166666666667</v>
      </c>
      <c r="AG937">
        <v>1</v>
      </c>
      <c r="AH937" t="e">
        <f t="shared" si="99"/>
        <v>#N/A</v>
      </c>
      <c r="AI937">
        <f t="shared" si="103"/>
        <v>2</v>
      </c>
      <c r="AJ937" t="e">
        <f t="shared" si="100"/>
        <v>#N/A</v>
      </c>
      <c r="AK937">
        <f t="shared" si="104"/>
        <v>3</v>
      </c>
      <c r="AL937" t="e">
        <f t="shared" si="101"/>
        <v>#N/A</v>
      </c>
      <c r="AM937">
        <f t="shared" si="105"/>
        <v>4</v>
      </c>
      <c r="AN937" t="e">
        <f t="shared" si="102"/>
        <v>#N/A</v>
      </c>
    </row>
    <row r="938" spans="12:40" x14ac:dyDescent="0.25">
      <c r="L938">
        <v>935</v>
      </c>
      <c r="M938">
        <v>15.963749999999999</v>
      </c>
      <c r="N938">
        <v>14.296875</v>
      </c>
      <c r="O938">
        <v>14.496430555555557</v>
      </c>
      <c r="P938">
        <v>13.902583333333334</v>
      </c>
      <c r="AG938">
        <v>1</v>
      </c>
      <c r="AH938" t="e">
        <f t="shared" si="99"/>
        <v>#N/A</v>
      </c>
      <c r="AI938">
        <f t="shared" si="103"/>
        <v>2</v>
      </c>
      <c r="AJ938" t="e">
        <f t="shared" si="100"/>
        <v>#N/A</v>
      </c>
      <c r="AK938">
        <f t="shared" si="104"/>
        <v>3</v>
      </c>
      <c r="AL938" t="e">
        <f t="shared" si="101"/>
        <v>#N/A</v>
      </c>
      <c r="AM938">
        <f t="shared" si="105"/>
        <v>4</v>
      </c>
      <c r="AN938" t="e">
        <f t="shared" si="102"/>
        <v>#N/A</v>
      </c>
    </row>
    <row r="939" spans="12:40" x14ac:dyDescent="0.25">
      <c r="L939">
        <v>936</v>
      </c>
      <c r="M939">
        <v>14.536250000000001</v>
      </c>
      <c r="N939">
        <v>14.638125</v>
      </c>
      <c r="O939">
        <v>14.388083333333332</v>
      </c>
      <c r="P939">
        <v>14.394145833333335</v>
      </c>
      <c r="AG939">
        <v>1</v>
      </c>
      <c r="AH939" t="e">
        <f t="shared" si="99"/>
        <v>#N/A</v>
      </c>
      <c r="AI939">
        <f t="shared" si="103"/>
        <v>2</v>
      </c>
      <c r="AJ939" t="e">
        <f t="shared" si="100"/>
        <v>#N/A</v>
      </c>
      <c r="AK939">
        <f t="shared" si="104"/>
        <v>3</v>
      </c>
      <c r="AL939" t="e">
        <f t="shared" si="101"/>
        <v>#N/A</v>
      </c>
      <c r="AM939">
        <f t="shared" si="105"/>
        <v>4</v>
      </c>
      <c r="AN939" t="e">
        <f t="shared" si="102"/>
        <v>#N/A</v>
      </c>
    </row>
    <row r="940" spans="12:40" x14ac:dyDescent="0.25">
      <c r="L940">
        <v>937</v>
      </c>
      <c r="M940">
        <v>12.516249999999999</v>
      </c>
      <c r="N940">
        <v>12.865</v>
      </c>
      <c r="O940">
        <v>13.534041666666667</v>
      </c>
      <c r="P940">
        <v>14.129159722222221</v>
      </c>
      <c r="AG940">
        <v>1</v>
      </c>
      <c r="AH940" t="e">
        <f t="shared" si="99"/>
        <v>#N/A</v>
      </c>
      <c r="AI940">
        <f t="shared" si="103"/>
        <v>2</v>
      </c>
      <c r="AJ940" t="e">
        <f t="shared" si="100"/>
        <v>#N/A</v>
      </c>
      <c r="AK940">
        <f t="shared" si="104"/>
        <v>3</v>
      </c>
      <c r="AL940" t="e">
        <f t="shared" si="101"/>
        <v>#N/A</v>
      </c>
      <c r="AM940">
        <f t="shared" si="105"/>
        <v>4</v>
      </c>
      <c r="AN940" t="e">
        <f t="shared" si="102"/>
        <v>#N/A</v>
      </c>
    </row>
    <row r="941" spans="12:40" x14ac:dyDescent="0.25">
      <c r="L941">
        <v>938</v>
      </c>
      <c r="M941">
        <v>13.56</v>
      </c>
      <c r="N941">
        <v>14.471875000000001</v>
      </c>
      <c r="O941">
        <v>14.034444444444443</v>
      </c>
      <c r="P941">
        <v>13.871625</v>
      </c>
      <c r="AG941">
        <v>1</v>
      </c>
      <c r="AH941" t="e">
        <f t="shared" si="99"/>
        <v>#N/A</v>
      </c>
      <c r="AI941">
        <f t="shared" si="103"/>
        <v>2</v>
      </c>
      <c r="AJ941" t="e">
        <f t="shared" si="100"/>
        <v>#N/A</v>
      </c>
      <c r="AK941">
        <f t="shared" si="104"/>
        <v>3</v>
      </c>
      <c r="AL941" t="e">
        <f t="shared" si="101"/>
        <v>#N/A</v>
      </c>
      <c r="AM941">
        <f t="shared" si="105"/>
        <v>4</v>
      </c>
      <c r="AN941" t="e">
        <f t="shared" si="102"/>
        <v>#N/A</v>
      </c>
    </row>
    <row r="942" spans="12:40" x14ac:dyDescent="0.25">
      <c r="L942">
        <v>939</v>
      </c>
      <c r="M942">
        <v>14.77375</v>
      </c>
      <c r="N942">
        <v>14.978125</v>
      </c>
      <c r="O942">
        <v>14.939416666666666</v>
      </c>
      <c r="P942">
        <v>14.690451388888887</v>
      </c>
      <c r="AG942">
        <v>1</v>
      </c>
      <c r="AH942" t="e">
        <f t="shared" si="99"/>
        <v>#N/A</v>
      </c>
      <c r="AI942">
        <f t="shared" si="103"/>
        <v>2</v>
      </c>
      <c r="AJ942" t="e">
        <f t="shared" si="100"/>
        <v>#N/A</v>
      </c>
      <c r="AK942">
        <f t="shared" si="104"/>
        <v>3</v>
      </c>
      <c r="AL942" t="e">
        <f t="shared" si="101"/>
        <v>#N/A</v>
      </c>
      <c r="AM942">
        <f t="shared" si="105"/>
        <v>4</v>
      </c>
      <c r="AN942" t="e">
        <f t="shared" si="102"/>
        <v>#N/A</v>
      </c>
    </row>
    <row r="943" spans="12:40" x14ac:dyDescent="0.25">
      <c r="L943">
        <v>940</v>
      </c>
      <c r="M943">
        <v>13.598750000000001</v>
      </c>
      <c r="N943">
        <v>14.21</v>
      </c>
      <c r="O943">
        <v>14.147319444444442</v>
      </c>
      <c r="P943">
        <v>14.287958333333334</v>
      </c>
      <c r="AG943">
        <v>1</v>
      </c>
      <c r="AH943" t="e">
        <f t="shared" si="99"/>
        <v>#N/A</v>
      </c>
      <c r="AI943">
        <f t="shared" si="103"/>
        <v>2</v>
      </c>
      <c r="AJ943" t="e">
        <f t="shared" si="100"/>
        <v>#N/A</v>
      </c>
      <c r="AK943">
        <f t="shared" si="104"/>
        <v>3</v>
      </c>
      <c r="AL943" t="e">
        <f t="shared" si="101"/>
        <v>#N/A</v>
      </c>
      <c r="AM943">
        <f t="shared" si="105"/>
        <v>4</v>
      </c>
      <c r="AN943" t="e">
        <f t="shared" si="102"/>
        <v>#N/A</v>
      </c>
    </row>
    <row r="944" spans="12:40" x14ac:dyDescent="0.25">
      <c r="L944">
        <v>941</v>
      </c>
      <c r="M944">
        <v>12.077500000000001</v>
      </c>
      <c r="N944">
        <v>13.273125</v>
      </c>
      <c r="O944">
        <v>13.627722222222221</v>
      </c>
      <c r="P944">
        <v>14.045013888888889</v>
      </c>
      <c r="AG944">
        <v>1</v>
      </c>
      <c r="AH944" t="e">
        <f t="shared" si="99"/>
        <v>#N/A</v>
      </c>
      <c r="AI944">
        <f t="shared" si="103"/>
        <v>2</v>
      </c>
      <c r="AJ944" t="e">
        <f t="shared" si="100"/>
        <v>#N/A</v>
      </c>
      <c r="AK944">
        <f t="shared" si="104"/>
        <v>3</v>
      </c>
      <c r="AL944" t="e">
        <f t="shared" si="101"/>
        <v>#N/A</v>
      </c>
      <c r="AM944">
        <f t="shared" si="105"/>
        <v>4</v>
      </c>
      <c r="AN944" t="e">
        <f t="shared" si="102"/>
        <v>#N/A</v>
      </c>
    </row>
    <row r="945" spans="12:40" x14ac:dyDescent="0.25">
      <c r="L945">
        <v>942</v>
      </c>
      <c r="M945">
        <v>14.022500000000001</v>
      </c>
      <c r="N945">
        <v>13.913125000000001</v>
      </c>
      <c r="O945">
        <v>13.187944444444442</v>
      </c>
      <c r="P945">
        <v>13.466125</v>
      </c>
      <c r="AG945">
        <v>1</v>
      </c>
      <c r="AH945" t="e">
        <f t="shared" si="99"/>
        <v>#N/A</v>
      </c>
      <c r="AI945">
        <f t="shared" si="103"/>
        <v>2</v>
      </c>
      <c r="AJ945" t="e">
        <f t="shared" si="100"/>
        <v>#N/A</v>
      </c>
      <c r="AK945">
        <f t="shared" si="104"/>
        <v>3</v>
      </c>
      <c r="AL945" t="e">
        <f t="shared" si="101"/>
        <v>#N/A</v>
      </c>
      <c r="AM945">
        <f t="shared" si="105"/>
        <v>4</v>
      </c>
      <c r="AN945" t="e">
        <f t="shared" si="102"/>
        <v>#N/A</v>
      </c>
    </row>
    <row r="946" spans="12:40" x14ac:dyDescent="0.25">
      <c r="L946">
        <v>943</v>
      </c>
      <c r="M946">
        <v>11.80875</v>
      </c>
      <c r="N946">
        <v>11.959375</v>
      </c>
      <c r="O946">
        <v>12.461138888888888</v>
      </c>
      <c r="P946">
        <v>12.881881944444444</v>
      </c>
      <c r="AG946">
        <v>1</v>
      </c>
      <c r="AH946" t="e">
        <f t="shared" si="99"/>
        <v>#N/A</v>
      </c>
      <c r="AI946">
        <f t="shared" si="103"/>
        <v>2</v>
      </c>
      <c r="AJ946">
        <f t="shared" si="100"/>
        <v>11.959375</v>
      </c>
      <c r="AK946">
        <f t="shared" si="104"/>
        <v>3</v>
      </c>
      <c r="AL946">
        <f t="shared" si="101"/>
        <v>12.461138888888888</v>
      </c>
      <c r="AM946">
        <f t="shared" si="105"/>
        <v>4</v>
      </c>
      <c r="AN946">
        <f t="shared" si="102"/>
        <v>12.881881944444444</v>
      </c>
    </row>
    <row r="947" spans="12:40" x14ac:dyDescent="0.25">
      <c r="L947">
        <v>944</v>
      </c>
      <c r="M947">
        <v>13.963749999999999</v>
      </c>
      <c r="N947">
        <v>14.260624999999999</v>
      </c>
      <c r="O947">
        <v>13.497291666666667</v>
      </c>
      <c r="P947">
        <v>13.538076388888888</v>
      </c>
      <c r="AG947">
        <v>1</v>
      </c>
      <c r="AH947" t="e">
        <f t="shared" si="99"/>
        <v>#N/A</v>
      </c>
      <c r="AI947">
        <f t="shared" si="103"/>
        <v>2</v>
      </c>
      <c r="AJ947" t="e">
        <f t="shared" si="100"/>
        <v>#N/A</v>
      </c>
      <c r="AK947">
        <f t="shared" si="104"/>
        <v>3</v>
      </c>
      <c r="AL947" t="e">
        <f t="shared" si="101"/>
        <v>#N/A</v>
      </c>
      <c r="AM947">
        <f t="shared" si="105"/>
        <v>4</v>
      </c>
      <c r="AN947" t="e">
        <f t="shared" si="102"/>
        <v>#N/A</v>
      </c>
    </row>
    <row r="948" spans="12:40" x14ac:dyDescent="0.25">
      <c r="L948">
        <v>945</v>
      </c>
      <c r="M948">
        <v>13.09</v>
      </c>
      <c r="N948">
        <v>13.328749999999999</v>
      </c>
      <c r="O948">
        <v>13.402666666666667</v>
      </c>
      <c r="P948">
        <v>13.619555555555557</v>
      </c>
      <c r="AG948">
        <v>1</v>
      </c>
      <c r="AH948" t="e">
        <f t="shared" si="99"/>
        <v>#N/A</v>
      </c>
      <c r="AI948">
        <f t="shared" si="103"/>
        <v>2</v>
      </c>
      <c r="AJ948" t="e">
        <f t="shared" si="100"/>
        <v>#N/A</v>
      </c>
      <c r="AK948">
        <f t="shared" si="104"/>
        <v>3</v>
      </c>
      <c r="AL948" t="e">
        <f t="shared" si="101"/>
        <v>#N/A</v>
      </c>
      <c r="AM948">
        <f t="shared" si="105"/>
        <v>4</v>
      </c>
      <c r="AN948" t="e">
        <f t="shared" si="102"/>
        <v>#N/A</v>
      </c>
    </row>
    <row r="949" spans="12:40" x14ac:dyDescent="0.25">
      <c r="L949">
        <v>946</v>
      </c>
      <c r="M949">
        <v>14.27</v>
      </c>
      <c r="N949">
        <v>14.478125</v>
      </c>
      <c r="O949">
        <v>14.560527777777779</v>
      </c>
      <c r="P949">
        <v>14.556638888888891</v>
      </c>
      <c r="AG949">
        <v>1</v>
      </c>
      <c r="AH949" t="e">
        <f t="shared" si="99"/>
        <v>#N/A</v>
      </c>
      <c r="AI949">
        <f t="shared" si="103"/>
        <v>2</v>
      </c>
      <c r="AJ949" t="e">
        <f t="shared" si="100"/>
        <v>#N/A</v>
      </c>
      <c r="AK949">
        <f t="shared" si="104"/>
        <v>3</v>
      </c>
      <c r="AL949" t="e">
        <f t="shared" si="101"/>
        <v>#N/A</v>
      </c>
      <c r="AM949">
        <f t="shared" si="105"/>
        <v>4</v>
      </c>
      <c r="AN949" t="e">
        <f t="shared" si="102"/>
        <v>#N/A</v>
      </c>
    </row>
    <row r="950" spans="12:40" x14ac:dyDescent="0.25">
      <c r="L950">
        <v>947</v>
      </c>
      <c r="M950">
        <v>14.373749999999999</v>
      </c>
      <c r="N950">
        <v>14.8825</v>
      </c>
      <c r="O950">
        <v>13.719680555555556</v>
      </c>
      <c r="P950">
        <v>13.972909722222221</v>
      </c>
      <c r="AG950">
        <v>1</v>
      </c>
      <c r="AH950" t="e">
        <f t="shared" si="99"/>
        <v>#N/A</v>
      </c>
      <c r="AI950">
        <f t="shared" si="103"/>
        <v>2</v>
      </c>
      <c r="AJ950" t="e">
        <f t="shared" si="100"/>
        <v>#N/A</v>
      </c>
      <c r="AK950">
        <f t="shared" si="104"/>
        <v>3</v>
      </c>
      <c r="AL950" t="e">
        <f t="shared" si="101"/>
        <v>#N/A</v>
      </c>
      <c r="AM950">
        <f t="shared" si="105"/>
        <v>4</v>
      </c>
      <c r="AN950" t="e">
        <f t="shared" si="102"/>
        <v>#N/A</v>
      </c>
    </row>
    <row r="951" spans="12:40" x14ac:dyDescent="0.25">
      <c r="L951">
        <v>948</v>
      </c>
      <c r="M951">
        <v>14.395</v>
      </c>
      <c r="N951">
        <v>13.135</v>
      </c>
      <c r="O951">
        <v>13.890055555555557</v>
      </c>
      <c r="P951">
        <v>14.143479166666665</v>
      </c>
      <c r="AG951">
        <v>1</v>
      </c>
      <c r="AH951" t="e">
        <f t="shared" si="99"/>
        <v>#N/A</v>
      </c>
      <c r="AI951">
        <f t="shared" si="103"/>
        <v>2</v>
      </c>
      <c r="AJ951" t="e">
        <f t="shared" si="100"/>
        <v>#N/A</v>
      </c>
      <c r="AK951">
        <f t="shared" si="104"/>
        <v>3</v>
      </c>
      <c r="AL951" t="e">
        <f t="shared" si="101"/>
        <v>#N/A</v>
      </c>
      <c r="AM951">
        <f t="shared" si="105"/>
        <v>4</v>
      </c>
      <c r="AN951" t="e">
        <f t="shared" si="102"/>
        <v>#N/A</v>
      </c>
    </row>
    <row r="952" spans="12:40" x14ac:dyDescent="0.25">
      <c r="L952">
        <v>949</v>
      </c>
      <c r="M952">
        <v>13.90625</v>
      </c>
      <c r="N952">
        <v>13.978125</v>
      </c>
      <c r="O952">
        <v>13.847916666666665</v>
      </c>
      <c r="P952">
        <v>14.183020833333332</v>
      </c>
      <c r="AG952">
        <v>1</v>
      </c>
      <c r="AH952" t="e">
        <f t="shared" si="99"/>
        <v>#N/A</v>
      </c>
      <c r="AI952">
        <f t="shared" si="103"/>
        <v>2</v>
      </c>
      <c r="AJ952" t="e">
        <f t="shared" si="100"/>
        <v>#N/A</v>
      </c>
      <c r="AK952">
        <f t="shared" si="104"/>
        <v>3</v>
      </c>
      <c r="AL952" t="e">
        <f t="shared" si="101"/>
        <v>#N/A</v>
      </c>
      <c r="AM952">
        <f t="shared" si="105"/>
        <v>4</v>
      </c>
      <c r="AN952" t="e">
        <f t="shared" si="102"/>
        <v>#N/A</v>
      </c>
    </row>
    <row r="953" spans="12:40" x14ac:dyDescent="0.25">
      <c r="L953">
        <v>950</v>
      </c>
      <c r="M953">
        <v>11.53125</v>
      </c>
      <c r="N953">
        <v>12.436875000000001</v>
      </c>
      <c r="O953">
        <v>13.279041666666666</v>
      </c>
      <c r="P953">
        <v>13.131840277777778</v>
      </c>
      <c r="AG953">
        <v>1</v>
      </c>
      <c r="AH953" t="e">
        <f t="shared" si="99"/>
        <v>#N/A</v>
      </c>
      <c r="AI953">
        <f t="shared" si="103"/>
        <v>2</v>
      </c>
      <c r="AJ953" t="e">
        <f t="shared" si="100"/>
        <v>#N/A</v>
      </c>
      <c r="AK953">
        <f t="shared" si="104"/>
        <v>3</v>
      </c>
      <c r="AL953" t="e">
        <f t="shared" si="101"/>
        <v>#N/A</v>
      </c>
      <c r="AM953">
        <f t="shared" si="105"/>
        <v>4</v>
      </c>
      <c r="AN953" t="e">
        <f t="shared" si="102"/>
        <v>#N/A</v>
      </c>
    </row>
    <row r="954" spans="12:40" x14ac:dyDescent="0.25">
      <c r="L954">
        <v>951</v>
      </c>
      <c r="M954">
        <v>13.713749999999999</v>
      </c>
      <c r="N954">
        <v>13.918749999999999</v>
      </c>
      <c r="O954">
        <v>13.411430555555558</v>
      </c>
      <c r="P954">
        <v>13.626131944444444</v>
      </c>
      <c r="AG954">
        <v>1</v>
      </c>
      <c r="AH954" t="e">
        <f t="shared" si="99"/>
        <v>#N/A</v>
      </c>
      <c r="AI954">
        <f t="shared" si="103"/>
        <v>2</v>
      </c>
      <c r="AJ954" t="e">
        <f t="shared" si="100"/>
        <v>#N/A</v>
      </c>
      <c r="AK954">
        <f t="shared" si="104"/>
        <v>3</v>
      </c>
      <c r="AL954" t="e">
        <f t="shared" si="101"/>
        <v>#N/A</v>
      </c>
      <c r="AM954">
        <f t="shared" si="105"/>
        <v>4</v>
      </c>
      <c r="AN954" t="e">
        <f t="shared" si="102"/>
        <v>#N/A</v>
      </c>
    </row>
    <row r="955" spans="12:40" x14ac:dyDescent="0.25">
      <c r="L955">
        <v>952</v>
      </c>
      <c r="M955">
        <v>14.251250000000001</v>
      </c>
      <c r="N955">
        <v>13.650625</v>
      </c>
      <c r="O955">
        <v>14.092652777777777</v>
      </c>
      <c r="P955">
        <v>14.301715277777777</v>
      </c>
      <c r="AG955">
        <v>1</v>
      </c>
      <c r="AH955" t="e">
        <f t="shared" si="99"/>
        <v>#N/A</v>
      </c>
      <c r="AI955">
        <f t="shared" si="103"/>
        <v>2</v>
      </c>
      <c r="AJ955" t="e">
        <f t="shared" si="100"/>
        <v>#N/A</v>
      </c>
      <c r="AK955">
        <f t="shared" si="104"/>
        <v>3</v>
      </c>
      <c r="AL955" t="e">
        <f t="shared" si="101"/>
        <v>#N/A</v>
      </c>
      <c r="AM955">
        <f t="shared" si="105"/>
        <v>4</v>
      </c>
      <c r="AN955" t="e">
        <f t="shared" si="102"/>
        <v>#N/A</v>
      </c>
    </row>
    <row r="956" spans="12:40" x14ac:dyDescent="0.25">
      <c r="L956">
        <v>953</v>
      </c>
      <c r="M956">
        <v>14.61375</v>
      </c>
      <c r="N956">
        <v>14.7675</v>
      </c>
      <c r="O956">
        <v>14.62</v>
      </c>
      <c r="P956">
        <v>14.51884722222222</v>
      </c>
      <c r="AG956">
        <v>1</v>
      </c>
      <c r="AH956" t="e">
        <f t="shared" si="99"/>
        <v>#N/A</v>
      </c>
      <c r="AI956">
        <f t="shared" si="103"/>
        <v>2</v>
      </c>
      <c r="AJ956" t="e">
        <f t="shared" si="100"/>
        <v>#N/A</v>
      </c>
      <c r="AK956">
        <f t="shared" si="104"/>
        <v>3</v>
      </c>
      <c r="AL956" t="e">
        <f t="shared" si="101"/>
        <v>#N/A</v>
      </c>
      <c r="AM956">
        <f t="shared" si="105"/>
        <v>4</v>
      </c>
      <c r="AN956" t="e">
        <f t="shared" si="102"/>
        <v>#N/A</v>
      </c>
    </row>
    <row r="957" spans="12:40" x14ac:dyDescent="0.25">
      <c r="L957">
        <v>954</v>
      </c>
      <c r="M957">
        <v>13.914999999999999</v>
      </c>
      <c r="N957">
        <v>14.071875</v>
      </c>
      <c r="O957">
        <v>14.169763888888893</v>
      </c>
      <c r="P957">
        <v>13.760743055555556</v>
      </c>
      <c r="AG957">
        <v>1</v>
      </c>
      <c r="AH957" t="e">
        <f t="shared" si="99"/>
        <v>#N/A</v>
      </c>
      <c r="AI957">
        <f t="shared" si="103"/>
        <v>2</v>
      </c>
      <c r="AJ957" t="e">
        <f t="shared" si="100"/>
        <v>#N/A</v>
      </c>
      <c r="AK957">
        <f t="shared" si="104"/>
        <v>3</v>
      </c>
      <c r="AL957" t="e">
        <f t="shared" si="101"/>
        <v>#N/A</v>
      </c>
      <c r="AM957">
        <f t="shared" si="105"/>
        <v>4</v>
      </c>
      <c r="AN957" t="e">
        <f t="shared" si="102"/>
        <v>#N/A</v>
      </c>
    </row>
    <row r="958" spans="12:40" x14ac:dyDescent="0.25">
      <c r="L958">
        <v>955</v>
      </c>
      <c r="M958">
        <v>13.755000000000001</v>
      </c>
      <c r="N958">
        <v>13.123125</v>
      </c>
      <c r="O958">
        <v>13.659597222222221</v>
      </c>
      <c r="P958">
        <v>13.733263888888887</v>
      </c>
      <c r="AG958">
        <v>1</v>
      </c>
      <c r="AH958" t="e">
        <f t="shared" si="99"/>
        <v>#N/A</v>
      </c>
      <c r="AI958">
        <f t="shared" si="103"/>
        <v>2</v>
      </c>
      <c r="AJ958" t="e">
        <f t="shared" si="100"/>
        <v>#N/A</v>
      </c>
      <c r="AK958">
        <f t="shared" si="104"/>
        <v>3</v>
      </c>
      <c r="AL958" t="e">
        <f t="shared" si="101"/>
        <v>#N/A</v>
      </c>
      <c r="AM958">
        <f t="shared" si="105"/>
        <v>4</v>
      </c>
      <c r="AN958" t="e">
        <f t="shared" si="102"/>
        <v>#N/A</v>
      </c>
    </row>
    <row r="959" spans="12:40" x14ac:dyDescent="0.25">
      <c r="L959">
        <v>956</v>
      </c>
      <c r="M959">
        <v>13.22625</v>
      </c>
      <c r="N959">
        <v>13.715</v>
      </c>
      <c r="O959">
        <v>13.492125000000001</v>
      </c>
      <c r="P959">
        <v>14.014215277777778</v>
      </c>
      <c r="AG959">
        <v>1</v>
      </c>
      <c r="AH959" t="e">
        <f t="shared" si="99"/>
        <v>#N/A</v>
      </c>
      <c r="AI959">
        <f t="shared" si="103"/>
        <v>2</v>
      </c>
      <c r="AJ959" t="e">
        <f t="shared" si="100"/>
        <v>#N/A</v>
      </c>
      <c r="AK959">
        <f t="shared" si="104"/>
        <v>3</v>
      </c>
      <c r="AL959" t="e">
        <f t="shared" si="101"/>
        <v>#N/A</v>
      </c>
      <c r="AM959">
        <f t="shared" si="105"/>
        <v>4</v>
      </c>
      <c r="AN959" t="e">
        <f t="shared" si="102"/>
        <v>#N/A</v>
      </c>
    </row>
    <row r="960" spans="12:40" x14ac:dyDescent="0.25">
      <c r="L960">
        <v>957</v>
      </c>
      <c r="M960">
        <v>13.5725</v>
      </c>
      <c r="N960">
        <v>13.1625</v>
      </c>
      <c r="O960">
        <v>14.101833333333333</v>
      </c>
      <c r="P960">
        <v>13.899097222222222</v>
      </c>
      <c r="AG960">
        <v>1</v>
      </c>
      <c r="AH960" t="e">
        <f t="shared" si="99"/>
        <v>#N/A</v>
      </c>
      <c r="AI960">
        <f t="shared" si="103"/>
        <v>2</v>
      </c>
      <c r="AJ960" t="e">
        <f t="shared" si="100"/>
        <v>#N/A</v>
      </c>
      <c r="AK960">
        <f t="shared" si="104"/>
        <v>3</v>
      </c>
      <c r="AL960" t="e">
        <f t="shared" si="101"/>
        <v>#N/A</v>
      </c>
      <c r="AM960">
        <f t="shared" si="105"/>
        <v>4</v>
      </c>
      <c r="AN960" t="e">
        <f t="shared" si="102"/>
        <v>#N/A</v>
      </c>
    </row>
    <row r="961" spans="12:40" x14ac:dyDescent="0.25">
      <c r="L961">
        <v>958</v>
      </c>
      <c r="M961">
        <v>15.3325</v>
      </c>
      <c r="N961">
        <v>14.713749999999999</v>
      </c>
      <c r="O961">
        <v>14.520402777777779</v>
      </c>
      <c r="P961">
        <v>14.537902777777779</v>
      </c>
      <c r="AG961">
        <v>1</v>
      </c>
      <c r="AH961" t="e">
        <f t="shared" si="99"/>
        <v>#N/A</v>
      </c>
      <c r="AI961">
        <f t="shared" si="103"/>
        <v>2</v>
      </c>
      <c r="AJ961" t="e">
        <f t="shared" si="100"/>
        <v>#N/A</v>
      </c>
      <c r="AK961">
        <f t="shared" si="104"/>
        <v>3</v>
      </c>
      <c r="AL961" t="e">
        <f t="shared" si="101"/>
        <v>#N/A</v>
      </c>
      <c r="AM961">
        <f t="shared" si="105"/>
        <v>4</v>
      </c>
      <c r="AN961" t="e">
        <f t="shared" si="102"/>
        <v>#N/A</v>
      </c>
    </row>
    <row r="962" spans="12:40" x14ac:dyDescent="0.25">
      <c r="L962">
        <v>959</v>
      </c>
      <c r="M962">
        <v>13.8925</v>
      </c>
      <c r="N962">
        <v>13.612500000000001</v>
      </c>
      <c r="O962">
        <v>13.520236111111112</v>
      </c>
      <c r="P962">
        <v>13.594458333333332</v>
      </c>
      <c r="AG962">
        <v>1</v>
      </c>
      <c r="AH962" t="e">
        <f t="shared" si="99"/>
        <v>#N/A</v>
      </c>
      <c r="AI962">
        <f t="shared" si="103"/>
        <v>2</v>
      </c>
      <c r="AJ962" t="e">
        <f t="shared" si="100"/>
        <v>#N/A</v>
      </c>
      <c r="AK962">
        <f t="shared" si="104"/>
        <v>3</v>
      </c>
      <c r="AL962" t="e">
        <f t="shared" si="101"/>
        <v>#N/A</v>
      </c>
      <c r="AM962">
        <f t="shared" si="105"/>
        <v>4</v>
      </c>
      <c r="AN962" t="e">
        <f t="shared" si="102"/>
        <v>#N/A</v>
      </c>
    </row>
    <row r="963" spans="12:40" x14ac:dyDescent="0.25">
      <c r="L963">
        <v>960</v>
      </c>
      <c r="M963">
        <v>15.737500000000001</v>
      </c>
      <c r="N963">
        <v>15.286875</v>
      </c>
      <c r="O963">
        <v>14.381069444444442</v>
      </c>
      <c r="P963">
        <v>14.216604166666666</v>
      </c>
      <c r="AG963">
        <v>1</v>
      </c>
      <c r="AH963" t="e">
        <f t="shared" si="99"/>
        <v>#N/A</v>
      </c>
      <c r="AI963">
        <f t="shared" si="103"/>
        <v>2</v>
      </c>
      <c r="AJ963" t="e">
        <f t="shared" si="100"/>
        <v>#N/A</v>
      </c>
      <c r="AK963">
        <f t="shared" si="104"/>
        <v>3</v>
      </c>
      <c r="AL963" t="e">
        <f t="shared" si="101"/>
        <v>#N/A</v>
      </c>
      <c r="AM963">
        <f t="shared" si="105"/>
        <v>4</v>
      </c>
      <c r="AN963" t="e">
        <f t="shared" si="102"/>
        <v>#N/A</v>
      </c>
    </row>
    <row r="964" spans="12:40" x14ac:dyDescent="0.25">
      <c r="L964">
        <v>961</v>
      </c>
      <c r="M964">
        <v>13.28375</v>
      </c>
      <c r="N964">
        <v>13.290625</v>
      </c>
      <c r="O964">
        <v>13.54836111111111</v>
      </c>
      <c r="P964">
        <v>13.986145833333332</v>
      </c>
      <c r="AG964">
        <v>1</v>
      </c>
      <c r="AH964" t="e">
        <f t="shared" ref="AH964:AH1003" si="106">IF(OR(M964&lt;S$3,M964&gt;S$7),M964,#N/A)</f>
        <v>#N/A</v>
      </c>
      <c r="AI964">
        <f t="shared" si="103"/>
        <v>2</v>
      </c>
      <c r="AJ964" t="e">
        <f t="shared" ref="AJ964:AJ1003" si="107">IF(OR(N964&lt;T$3,N964&gt;T$7),N964,#N/A)</f>
        <v>#N/A</v>
      </c>
      <c r="AK964">
        <f t="shared" si="104"/>
        <v>3</v>
      </c>
      <c r="AL964" t="e">
        <f t="shared" ref="AL964:AL1003" si="108">IF(OR(O964&lt;U$3,O964&gt;U$7),O964,#N/A)</f>
        <v>#N/A</v>
      </c>
      <c r="AM964">
        <f t="shared" si="105"/>
        <v>4</v>
      </c>
      <c r="AN964" t="e">
        <f t="shared" ref="AN964:AN1003" si="109">IF(OR(P964&lt;V$3,P964&gt;V$7),P964,#N/A)</f>
        <v>#N/A</v>
      </c>
    </row>
    <row r="965" spans="12:40" x14ac:dyDescent="0.25">
      <c r="L965">
        <v>962</v>
      </c>
      <c r="M965">
        <v>14.40375</v>
      </c>
      <c r="N965">
        <v>14.03125</v>
      </c>
      <c r="O965">
        <v>14.120125</v>
      </c>
      <c r="P965">
        <v>14.134520833333335</v>
      </c>
      <c r="AG965">
        <v>1</v>
      </c>
      <c r="AH965" t="e">
        <f t="shared" si="106"/>
        <v>#N/A</v>
      </c>
      <c r="AI965">
        <f t="shared" ref="AI965:AI1003" si="110">AG965+1</f>
        <v>2</v>
      </c>
      <c r="AJ965" t="e">
        <f t="shared" si="107"/>
        <v>#N/A</v>
      </c>
      <c r="AK965">
        <f t="shared" ref="AK965:AK1003" si="111">AI965+1</f>
        <v>3</v>
      </c>
      <c r="AL965" t="e">
        <f t="shared" si="108"/>
        <v>#N/A</v>
      </c>
      <c r="AM965">
        <f t="shared" ref="AM965:AM1003" si="112">AK965+1</f>
        <v>4</v>
      </c>
      <c r="AN965" t="e">
        <f t="shared" si="109"/>
        <v>#N/A</v>
      </c>
    </row>
    <row r="966" spans="12:40" x14ac:dyDescent="0.25">
      <c r="L966">
        <v>963</v>
      </c>
      <c r="M966">
        <v>14.887499999999999</v>
      </c>
      <c r="N966">
        <v>15.310625</v>
      </c>
      <c r="O966">
        <v>14.691638888888891</v>
      </c>
      <c r="P966">
        <v>13.987805555555555</v>
      </c>
      <c r="AG966">
        <v>1</v>
      </c>
      <c r="AH966" t="e">
        <f t="shared" si="106"/>
        <v>#N/A</v>
      </c>
      <c r="AI966">
        <f t="shared" si="110"/>
        <v>2</v>
      </c>
      <c r="AJ966" t="e">
        <f t="shared" si="107"/>
        <v>#N/A</v>
      </c>
      <c r="AK966">
        <f t="shared" si="111"/>
        <v>3</v>
      </c>
      <c r="AL966" t="e">
        <f t="shared" si="108"/>
        <v>#N/A</v>
      </c>
      <c r="AM966">
        <f t="shared" si="112"/>
        <v>4</v>
      </c>
      <c r="AN966" t="e">
        <f t="shared" si="109"/>
        <v>#N/A</v>
      </c>
    </row>
    <row r="967" spans="12:40" x14ac:dyDescent="0.25">
      <c r="L967">
        <v>964</v>
      </c>
      <c r="M967">
        <v>14.063750000000001</v>
      </c>
      <c r="N967">
        <v>14.45</v>
      </c>
      <c r="O967">
        <v>14.09898611111111</v>
      </c>
      <c r="P967">
        <v>14.132277777777778</v>
      </c>
      <c r="AG967">
        <v>1</v>
      </c>
      <c r="AH967" t="e">
        <f t="shared" si="106"/>
        <v>#N/A</v>
      </c>
      <c r="AI967">
        <f t="shared" si="110"/>
        <v>2</v>
      </c>
      <c r="AJ967" t="e">
        <f t="shared" si="107"/>
        <v>#N/A</v>
      </c>
      <c r="AK967">
        <f t="shared" si="111"/>
        <v>3</v>
      </c>
      <c r="AL967" t="e">
        <f t="shared" si="108"/>
        <v>#N/A</v>
      </c>
      <c r="AM967">
        <f t="shared" si="112"/>
        <v>4</v>
      </c>
      <c r="AN967" t="e">
        <f t="shared" si="109"/>
        <v>#N/A</v>
      </c>
    </row>
    <row r="968" spans="12:40" x14ac:dyDescent="0.25">
      <c r="L968">
        <v>965</v>
      </c>
      <c r="M968">
        <v>14.266249999999999</v>
      </c>
      <c r="N968">
        <v>12.944375000000001</v>
      </c>
      <c r="O968">
        <v>13.625250000000001</v>
      </c>
      <c r="P968">
        <v>13.763298611111111</v>
      </c>
      <c r="AG968">
        <v>1</v>
      </c>
      <c r="AH968" t="e">
        <f t="shared" si="106"/>
        <v>#N/A</v>
      </c>
      <c r="AI968">
        <f t="shared" si="110"/>
        <v>2</v>
      </c>
      <c r="AJ968" t="e">
        <f t="shared" si="107"/>
        <v>#N/A</v>
      </c>
      <c r="AK968">
        <f t="shared" si="111"/>
        <v>3</v>
      </c>
      <c r="AL968" t="e">
        <f t="shared" si="108"/>
        <v>#N/A</v>
      </c>
      <c r="AM968">
        <f t="shared" si="112"/>
        <v>4</v>
      </c>
      <c r="AN968" t="e">
        <f t="shared" si="109"/>
        <v>#N/A</v>
      </c>
    </row>
    <row r="969" spans="12:40" x14ac:dyDescent="0.25">
      <c r="L969">
        <v>966</v>
      </c>
      <c r="M969">
        <v>13.79875</v>
      </c>
      <c r="N969">
        <v>13.887499999999999</v>
      </c>
      <c r="O969">
        <v>14.073625</v>
      </c>
      <c r="P969">
        <v>14.237444444444442</v>
      </c>
      <c r="AG969">
        <v>1</v>
      </c>
      <c r="AH969" t="e">
        <f t="shared" si="106"/>
        <v>#N/A</v>
      </c>
      <c r="AI969">
        <f t="shared" si="110"/>
        <v>2</v>
      </c>
      <c r="AJ969" t="e">
        <f t="shared" si="107"/>
        <v>#N/A</v>
      </c>
      <c r="AK969">
        <f t="shared" si="111"/>
        <v>3</v>
      </c>
      <c r="AL969" t="e">
        <f t="shared" si="108"/>
        <v>#N/A</v>
      </c>
      <c r="AM969">
        <f t="shared" si="112"/>
        <v>4</v>
      </c>
      <c r="AN969" t="e">
        <f t="shared" si="109"/>
        <v>#N/A</v>
      </c>
    </row>
    <row r="970" spans="12:40" x14ac:dyDescent="0.25">
      <c r="L970">
        <v>967</v>
      </c>
      <c r="M970">
        <v>15.29875</v>
      </c>
      <c r="N970">
        <v>14.946875</v>
      </c>
      <c r="O970">
        <v>14.278777777777778</v>
      </c>
      <c r="P970">
        <v>14.033125</v>
      </c>
      <c r="AG970">
        <v>1</v>
      </c>
      <c r="AH970" t="e">
        <f t="shared" si="106"/>
        <v>#N/A</v>
      </c>
      <c r="AI970">
        <f t="shared" si="110"/>
        <v>2</v>
      </c>
      <c r="AJ970" t="e">
        <f t="shared" si="107"/>
        <v>#N/A</v>
      </c>
      <c r="AK970">
        <f t="shared" si="111"/>
        <v>3</v>
      </c>
      <c r="AL970" t="e">
        <f t="shared" si="108"/>
        <v>#N/A</v>
      </c>
      <c r="AM970">
        <f t="shared" si="112"/>
        <v>4</v>
      </c>
      <c r="AN970" t="e">
        <f t="shared" si="109"/>
        <v>#N/A</v>
      </c>
    </row>
    <row r="971" spans="12:40" x14ac:dyDescent="0.25">
      <c r="L971">
        <v>968</v>
      </c>
      <c r="M971">
        <v>14.4825</v>
      </c>
      <c r="N971">
        <v>14.428125</v>
      </c>
      <c r="O971">
        <v>13.522069444444444</v>
      </c>
      <c r="P971">
        <v>14.029791666666668</v>
      </c>
      <c r="AG971">
        <v>1</v>
      </c>
      <c r="AH971" t="e">
        <f t="shared" si="106"/>
        <v>#N/A</v>
      </c>
      <c r="AI971">
        <f t="shared" si="110"/>
        <v>2</v>
      </c>
      <c r="AJ971" t="e">
        <f t="shared" si="107"/>
        <v>#N/A</v>
      </c>
      <c r="AK971">
        <f t="shared" si="111"/>
        <v>3</v>
      </c>
      <c r="AL971" t="e">
        <f t="shared" si="108"/>
        <v>#N/A</v>
      </c>
      <c r="AM971">
        <f t="shared" si="112"/>
        <v>4</v>
      </c>
      <c r="AN971" t="e">
        <f t="shared" si="109"/>
        <v>#N/A</v>
      </c>
    </row>
    <row r="972" spans="12:40" x14ac:dyDescent="0.25">
      <c r="L972">
        <v>969</v>
      </c>
      <c r="M972">
        <v>15.6675</v>
      </c>
      <c r="N972">
        <v>14.168125</v>
      </c>
      <c r="O972">
        <v>14.002249999999998</v>
      </c>
      <c r="P972">
        <v>13.546861111111109</v>
      </c>
      <c r="AG972">
        <v>1</v>
      </c>
      <c r="AH972" t="e">
        <f t="shared" si="106"/>
        <v>#N/A</v>
      </c>
      <c r="AI972">
        <f t="shared" si="110"/>
        <v>2</v>
      </c>
      <c r="AJ972" t="e">
        <f t="shared" si="107"/>
        <v>#N/A</v>
      </c>
      <c r="AK972">
        <f t="shared" si="111"/>
        <v>3</v>
      </c>
      <c r="AL972" t="e">
        <f t="shared" si="108"/>
        <v>#N/A</v>
      </c>
      <c r="AM972">
        <f t="shared" si="112"/>
        <v>4</v>
      </c>
      <c r="AN972" t="e">
        <f t="shared" si="109"/>
        <v>#N/A</v>
      </c>
    </row>
    <row r="973" spans="12:40" x14ac:dyDescent="0.25">
      <c r="L973">
        <v>970</v>
      </c>
      <c r="M973">
        <v>15.11875</v>
      </c>
      <c r="N973">
        <v>13.909375000000001</v>
      </c>
      <c r="O973">
        <v>14.144847222222221</v>
      </c>
      <c r="P973">
        <v>13.628361111111111</v>
      </c>
      <c r="AG973">
        <v>1</v>
      </c>
      <c r="AH973" t="e">
        <f t="shared" si="106"/>
        <v>#N/A</v>
      </c>
      <c r="AI973">
        <f t="shared" si="110"/>
        <v>2</v>
      </c>
      <c r="AJ973" t="e">
        <f t="shared" si="107"/>
        <v>#N/A</v>
      </c>
      <c r="AK973">
        <f t="shared" si="111"/>
        <v>3</v>
      </c>
      <c r="AL973" t="e">
        <f t="shared" si="108"/>
        <v>#N/A</v>
      </c>
      <c r="AM973">
        <f t="shared" si="112"/>
        <v>4</v>
      </c>
      <c r="AN973" t="e">
        <f t="shared" si="109"/>
        <v>#N/A</v>
      </c>
    </row>
    <row r="974" spans="12:40" x14ac:dyDescent="0.25">
      <c r="L974">
        <v>971</v>
      </c>
      <c r="M974">
        <v>14.52125</v>
      </c>
      <c r="N974">
        <v>14.422499999999999</v>
      </c>
      <c r="O974">
        <v>14.717625</v>
      </c>
      <c r="P974">
        <v>14.202229166666665</v>
      </c>
      <c r="AG974">
        <v>1</v>
      </c>
      <c r="AH974" t="e">
        <f t="shared" si="106"/>
        <v>#N/A</v>
      </c>
      <c r="AI974">
        <f t="shared" si="110"/>
        <v>2</v>
      </c>
      <c r="AJ974" t="e">
        <f t="shared" si="107"/>
        <v>#N/A</v>
      </c>
      <c r="AK974">
        <f t="shared" si="111"/>
        <v>3</v>
      </c>
      <c r="AL974" t="e">
        <f t="shared" si="108"/>
        <v>#N/A</v>
      </c>
      <c r="AM974">
        <f t="shared" si="112"/>
        <v>4</v>
      </c>
      <c r="AN974" t="e">
        <f t="shared" si="109"/>
        <v>#N/A</v>
      </c>
    </row>
    <row r="975" spans="12:40" x14ac:dyDescent="0.25">
      <c r="L975">
        <v>972</v>
      </c>
      <c r="M975">
        <v>13.758749999999999</v>
      </c>
      <c r="N975">
        <v>14.031874999999999</v>
      </c>
      <c r="O975">
        <v>13.851027777777778</v>
      </c>
      <c r="P975">
        <v>14.012437500000001</v>
      </c>
      <c r="AG975">
        <v>1</v>
      </c>
      <c r="AH975" t="e">
        <f t="shared" si="106"/>
        <v>#N/A</v>
      </c>
      <c r="AI975">
        <f t="shared" si="110"/>
        <v>2</v>
      </c>
      <c r="AJ975" t="e">
        <f t="shared" si="107"/>
        <v>#N/A</v>
      </c>
      <c r="AK975">
        <f t="shared" si="111"/>
        <v>3</v>
      </c>
      <c r="AL975" t="e">
        <f t="shared" si="108"/>
        <v>#N/A</v>
      </c>
      <c r="AM975">
        <f t="shared" si="112"/>
        <v>4</v>
      </c>
      <c r="AN975" t="e">
        <f t="shared" si="109"/>
        <v>#N/A</v>
      </c>
    </row>
    <row r="976" spans="12:40" x14ac:dyDescent="0.25">
      <c r="L976">
        <v>973</v>
      </c>
      <c r="M976">
        <v>12.24375</v>
      </c>
      <c r="N976">
        <v>11.813124999999999</v>
      </c>
      <c r="O976">
        <v>12.753097222222223</v>
      </c>
      <c r="P976">
        <v>13.297965277777777</v>
      </c>
      <c r="AG976">
        <v>1</v>
      </c>
      <c r="AH976" t="e">
        <f t="shared" si="106"/>
        <v>#N/A</v>
      </c>
      <c r="AI976">
        <f t="shared" si="110"/>
        <v>2</v>
      </c>
      <c r="AJ976">
        <f t="shared" si="107"/>
        <v>11.813124999999999</v>
      </c>
      <c r="AK976">
        <f t="shared" si="111"/>
        <v>3</v>
      </c>
      <c r="AL976" t="e">
        <f t="shared" si="108"/>
        <v>#N/A</v>
      </c>
      <c r="AM976">
        <f t="shared" si="112"/>
        <v>4</v>
      </c>
      <c r="AN976" t="e">
        <f t="shared" si="109"/>
        <v>#N/A</v>
      </c>
    </row>
    <row r="977" spans="12:40" x14ac:dyDescent="0.25">
      <c r="L977">
        <v>974</v>
      </c>
      <c r="M977">
        <v>14.49625</v>
      </c>
      <c r="N977">
        <v>14.144375</v>
      </c>
      <c r="O977">
        <v>14.303541666666666</v>
      </c>
      <c r="P977">
        <v>13.94211111111111</v>
      </c>
      <c r="AG977">
        <v>1</v>
      </c>
      <c r="AH977" t="e">
        <f t="shared" si="106"/>
        <v>#N/A</v>
      </c>
      <c r="AI977">
        <f t="shared" si="110"/>
        <v>2</v>
      </c>
      <c r="AJ977" t="e">
        <f t="shared" si="107"/>
        <v>#N/A</v>
      </c>
      <c r="AK977">
        <f t="shared" si="111"/>
        <v>3</v>
      </c>
      <c r="AL977" t="e">
        <f t="shared" si="108"/>
        <v>#N/A</v>
      </c>
      <c r="AM977">
        <f t="shared" si="112"/>
        <v>4</v>
      </c>
      <c r="AN977" t="e">
        <f t="shared" si="109"/>
        <v>#N/A</v>
      </c>
    </row>
    <row r="978" spans="12:40" x14ac:dyDescent="0.25">
      <c r="L978">
        <v>975</v>
      </c>
      <c r="M978">
        <v>12.55</v>
      </c>
      <c r="N978">
        <v>14.657500000000001</v>
      </c>
      <c r="O978">
        <v>14.394583333333333</v>
      </c>
      <c r="P978">
        <v>14.081624999999999</v>
      </c>
      <c r="AG978">
        <v>1</v>
      </c>
      <c r="AH978" t="e">
        <f t="shared" si="106"/>
        <v>#N/A</v>
      </c>
      <c r="AI978">
        <f t="shared" si="110"/>
        <v>2</v>
      </c>
      <c r="AJ978" t="e">
        <f t="shared" si="107"/>
        <v>#N/A</v>
      </c>
      <c r="AK978">
        <f t="shared" si="111"/>
        <v>3</v>
      </c>
      <c r="AL978" t="e">
        <f t="shared" si="108"/>
        <v>#N/A</v>
      </c>
      <c r="AM978">
        <f t="shared" si="112"/>
        <v>4</v>
      </c>
      <c r="AN978" t="e">
        <f t="shared" si="109"/>
        <v>#N/A</v>
      </c>
    </row>
    <row r="979" spans="12:40" x14ac:dyDescent="0.25">
      <c r="L979">
        <v>976</v>
      </c>
      <c r="M979">
        <v>14.928750000000001</v>
      </c>
      <c r="N979">
        <v>14.484999999999999</v>
      </c>
      <c r="O979">
        <v>14.228208333333335</v>
      </c>
      <c r="P979">
        <v>14.423854166666667</v>
      </c>
      <c r="AG979">
        <v>1</v>
      </c>
      <c r="AH979" t="e">
        <f t="shared" si="106"/>
        <v>#N/A</v>
      </c>
      <c r="AI979">
        <f t="shared" si="110"/>
        <v>2</v>
      </c>
      <c r="AJ979" t="e">
        <f t="shared" si="107"/>
        <v>#N/A</v>
      </c>
      <c r="AK979">
        <f t="shared" si="111"/>
        <v>3</v>
      </c>
      <c r="AL979" t="e">
        <f t="shared" si="108"/>
        <v>#N/A</v>
      </c>
      <c r="AM979">
        <f t="shared" si="112"/>
        <v>4</v>
      </c>
      <c r="AN979" t="e">
        <f t="shared" si="109"/>
        <v>#N/A</v>
      </c>
    </row>
    <row r="980" spans="12:40" x14ac:dyDescent="0.25">
      <c r="L980">
        <v>977</v>
      </c>
      <c r="M980">
        <v>12.68375</v>
      </c>
      <c r="N980">
        <v>12.352499999999999</v>
      </c>
      <c r="O980">
        <v>13.176305555555556</v>
      </c>
      <c r="P980">
        <v>13.826743055555555</v>
      </c>
      <c r="AG980">
        <v>1</v>
      </c>
      <c r="AH980" t="e">
        <f t="shared" si="106"/>
        <v>#N/A</v>
      </c>
      <c r="AI980">
        <f t="shared" si="110"/>
        <v>2</v>
      </c>
      <c r="AJ980" t="e">
        <f t="shared" si="107"/>
        <v>#N/A</v>
      </c>
      <c r="AK980">
        <f t="shared" si="111"/>
        <v>3</v>
      </c>
      <c r="AL980" t="e">
        <f t="shared" si="108"/>
        <v>#N/A</v>
      </c>
      <c r="AM980">
        <f t="shared" si="112"/>
        <v>4</v>
      </c>
      <c r="AN980" t="e">
        <f t="shared" si="109"/>
        <v>#N/A</v>
      </c>
    </row>
    <row r="981" spans="12:40" x14ac:dyDescent="0.25">
      <c r="L981">
        <v>978</v>
      </c>
      <c r="M981">
        <v>15.268750000000001</v>
      </c>
      <c r="N981">
        <v>14.568125</v>
      </c>
      <c r="O981">
        <v>13.800930555555553</v>
      </c>
      <c r="P981">
        <v>14.133812499999999</v>
      </c>
      <c r="AG981">
        <v>1</v>
      </c>
      <c r="AH981" t="e">
        <f t="shared" si="106"/>
        <v>#N/A</v>
      </c>
      <c r="AI981">
        <f t="shared" si="110"/>
        <v>2</v>
      </c>
      <c r="AJ981" t="e">
        <f t="shared" si="107"/>
        <v>#N/A</v>
      </c>
      <c r="AK981">
        <f t="shared" si="111"/>
        <v>3</v>
      </c>
      <c r="AL981" t="e">
        <f t="shared" si="108"/>
        <v>#N/A</v>
      </c>
      <c r="AM981">
        <f t="shared" si="112"/>
        <v>4</v>
      </c>
      <c r="AN981" t="e">
        <f t="shared" si="109"/>
        <v>#N/A</v>
      </c>
    </row>
    <row r="982" spans="12:40" x14ac:dyDescent="0.25">
      <c r="L982">
        <v>979</v>
      </c>
      <c r="M982">
        <v>13.1875</v>
      </c>
      <c r="N982">
        <v>13.594374999999999</v>
      </c>
      <c r="O982">
        <v>13.957152777777779</v>
      </c>
      <c r="P982">
        <v>14.176479166666665</v>
      </c>
      <c r="AG982">
        <v>1</v>
      </c>
      <c r="AH982" t="e">
        <f t="shared" si="106"/>
        <v>#N/A</v>
      </c>
      <c r="AI982">
        <f t="shared" si="110"/>
        <v>2</v>
      </c>
      <c r="AJ982" t="e">
        <f t="shared" si="107"/>
        <v>#N/A</v>
      </c>
      <c r="AK982">
        <f t="shared" si="111"/>
        <v>3</v>
      </c>
      <c r="AL982" t="e">
        <f t="shared" si="108"/>
        <v>#N/A</v>
      </c>
      <c r="AM982">
        <f t="shared" si="112"/>
        <v>4</v>
      </c>
      <c r="AN982" t="e">
        <f t="shared" si="109"/>
        <v>#N/A</v>
      </c>
    </row>
    <row r="983" spans="12:40" x14ac:dyDescent="0.25">
      <c r="L983">
        <v>980</v>
      </c>
      <c r="M983">
        <v>14.46</v>
      </c>
      <c r="N983">
        <v>14.935</v>
      </c>
      <c r="O983">
        <v>14.471722222222223</v>
      </c>
      <c r="P983">
        <v>14.124708333333336</v>
      </c>
      <c r="AG983">
        <v>1</v>
      </c>
      <c r="AH983" t="e">
        <f t="shared" si="106"/>
        <v>#N/A</v>
      </c>
      <c r="AI983">
        <f t="shared" si="110"/>
        <v>2</v>
      </c>
      <c r="AJ983" t="e">
        <f t="shared" si="107"/>
        <v>#N/A</v>
      </c>
      <c r="AK983">
        <f t="shared" si="111"/>
        <v>3</v>
      </c>
      <c r="AL983" t="e">
        <f t="shared" si="108"/>
        <v>#N/A</v>
      </c>
      <c r="AM983">
        <f t="shared" si="112"/>
        <v>4</v>
      </c>
      <c r="AN983" t="e">
        <f t="shared" si="109"/>
        <v>#N/A</v>
      </c>
    </row>
    <row r="984" spans="12:40" x14ac:dyDescent="0.25">
      <c r="L984">
        <v>981</v>
      </c>
      <c r="M984">
        <v>14.717499999999999</v>
      </c>
      <c r="N984">
        <v>13.942500000000001</v>
      </c>
      <c r="O984">
        <v>14.227986111111113</v>
      </c>
      <c r="P984">
        <v>14.070069444444444</v>
      </c>
      <c r="AG984">
        <v>1</v>
      </c>
      <c r="AH984" t="e">
        <f t="shared" si="106"/>
        <v>#N/A</v>
      </c>
      <c r="AI984">
        <f t="shared" si="110"/>
        <v>2</v>
      </c>
      <c r="AJ984" t="e">
        <f t="shared" si="107"/>
        <v>#N/A</v>
      </c>
      <c r="AK984">
        <f t="shared" si="111"/>
        <v>3</v>
      </c>
      <c r="AL984" t="e">
        <f t="shared" si="108"/>
        <v>#N/A</v>
      </c>
      <c r="AM984">
        <f t="shared" si="112"/>
        <v>4</v>
      </c>
      <c r="AN984" t="e">
        <f t="shared" si="109"/>
        <v>#N/A</v>
      </c>
    </row>
    <row r="985" spans="12:40" x14ac:dyDescent="0.25">
      <c r="L985">
        <v>982</v>
      </c>
      <c r="M985">
        <v>11.89625</v>
      </c>
      <c r="N985">
        <v>13.265625</v>
      </c>
      <c r="O985">
        <v>13.699694444444445</v>
      </c>
      <c r="P985">
        <v>13.737638888888888</v>
      </c>
      <c r="AG985">
        <v>1</v>
      </c>
      <c r="AH985" t="e">
        <f t="shared" si="106"/>
        <v>#N/A</v>
      </c>
      <c r="AI985">
        <f t="shared" si="110"/>
        <v>2</v>
      </c>
      <c r="AJ985" t="e">
        <f t="shared" si="107"/>
        <v>#N/A</v>
      </c>
      <c r="AK985">
        <f t="shared" si="111"/>
        <v>3</v>
      </c>
      <c r="AL985" t="e">
        <f t="shared" si="108"/>
        <v>#N/A</v>
      </c>
      <c r="AM985">
        <f t="shared" si="112"/>
        <v>4</v>
      </c>
      <c r="AN985" t="e">
        <f t="shared" si="109"/>
        <v>#N/A</v>
      </c>
    </row>
    <row r="986" spans="12:40" x14ac:dyDescent="0.25">
      <c r="L986">
        <v>983</v>
      </c>
      <c r="M986">
        <v>12.58375</v>
      </c>
      <c r="N986">
        <v>13.714375</v>
      </c>
      <c r="O986">
        <v>13.846569444444444</v>
      </c>
      <c r="P986">
        <v>14.09167361111111</v>
      </c>
      <c r="AG986">
        <v>1</v>
      </c>
      <c r="AH986" t="e">
        <f t="shared" si="106"/>
        <v>#N/A</v>
      </c>
      <c r="AI986">
        <f t="shared" si="110"/>
        <v>2</v>
      </c>
      <c r="AJ986" t="e">
        <f t="shared" si="107"/>
        <v>#N/A</v>
      </c>
      <c r="AK986">
        <f t="shared" si="111"/>
        <v>3</v>
      </c>
      <c r="AL986" t="e">
        <f t="shared" si="108"/>
        <v>#N/A</v>
      </c>
      <c r="AM986">
        <f t="shared" si="112"/>
        <v>4</v>
      </c>
      <c r="AN986" t="e">
        <f t="shared" si="109"/>
        <v>#N/A</v>
      </c>
    </row>
    <row r="987" spans="12:40" x14ac:dyDescent="0.25">
      <c r="L987">
        <v>984</v>
      </c>
      <c r="M987">
        <v>13.595000000000001</v>
      </c>
      <c r="N987">
        <v>13.731249999999999</v>
      </c>
      <c r="O987">
        <v>13.676666666666668</v>
      </c>
      <c r="P987">
        <v>13.788895833333333</v>
      </c>
      <c r="AG987">
        <v>1</v>
      </c>
      <c r="AH987" t="e">
        <f t="shared" si="106"/>
        <v>#N/A</v>
      </c>
      <c r="AI987">
        <f t="shared" si="110"/>
        <v>2</v>
      </c>
      <c r="AJ987" t="e">
        <f t="shared" si="107"/>
        <v>#N/A</v>
      </c>
      <c r="AK987">
        <f t="shared" si="111"/>
        <v>3</v>
      </c>
      <c r="AL987" t="e">
        <f t="shared" si="108"/>
        <v>#N/A</v>
      </c>
      <c r="AM987">
        <f t="shared" si="112"/>
        <v>4</v>
      </c>
      <c r="AN987" t="e">
        <f t="shared" si="109"/>
        <v>#N/A</v>
      </c>
    </row>
    <row r="988" spans="12:40" x14ac:dyDescent="0.25">
      <c r="L988">
        <v>985</v>
      </c>
      <c r="M988">
        <v>14.067500000000001</v>
      </c>
      <c r="N988">
        <v>13.807499999999999</v>
      </c>
      <c r="O988">
        <v>13.745374999999999</v>
      </c>
      <c r="P988">
        <v>13.855041666666668</v>
      </c>
      <c r="AG988">
        <v>1</v>
      </c>
      <c r="AH988" t="e">
        <f t="shared" si="106"/>
        <v>#N/A</v>
      </c>
      <c r="AI988">
        <f t="shared" si="110"/>
        <v>2</v>
      </c>
      <c r="AJ988" t="e">
        <f t="shared" si="107"/>
        <v>#N/A</v>
      </c>
      <c r="AK988">
        <f t="shared" si="111"/>
        <v>3</v>
      </c>
      <c r="AL988" t="e">
        <f t="shared" si="108"/>
        <v>#N/A</v>
      </c>
      <c r="AM988">
        <f t="shared" si="112"/>
        <v>4</v>
      </c>
      <c r="AN988" t="e">
        <f t="shared" si="109"/>
        <v>#N/A</v>
      </c>
    </row>
    <row r="989" spans="12:40" x14ac:dyDescent="0.25">
      <c r="L989">
        <v>986</v>
      </c>
      <c r="M989">
        <v>14.081250000000001</v>
      </c>
      <c r="N989">
        <v>14.126250000000001</v>
      </c>
      <c r="O989">
        <v>13.42925</v>
      </c>
      <c r="P989">
        <v>13.439909722222222</v>
      </c>
      <c r="AG989">
        <v>1</v>
      </c>
      <c r="AH989" t="e">
        <f t="shared" si="106"/>
        <v>#N/A</v>
      </c>
      <c r="AI989">
        <f t="shared" si="110"/>
        <v>2</v>
      </c>
      <c r="AJ989" t="e">
        <f t="shared" si="107"/>
        <v>#N/A</v>
      </c>
      <c r="AK989">
        <f t="shared" si="111"/>
        <v>3</v>
      </c>
      <c r="AL989" t="e">
        <f t="shared" si="108"/>
        <v>#N/A</v>
      </c>
      <c r="AM989">
        <f t="shared" si="112"/>
        <v>4</v>
      </c>
      <c r="AN989" t="e">
        <f t="shared" si="109"/>
        <v>#N/A</v>
      </c>
    </row>
    <row r="990" spans="12:40" x14ac:dyDescent="0.25">
      <c r="L990">
        <v>987</v>
      </c>
      <c r="M990">
        <v>13.105</v>
      </c>
      <c r="N990">
        <v>14.074999999999999</v>
      </c>
      <c r="O990">
        <v>13.924333333333331</v>
      </c>
      <c r="P990">
        <v>13.968770833333336</v>
      </c>
      <c r="AG990">
        <v>1</v>
      </c>
      <c r="AH990" t="e">
        <f t="shared" si="106"/>
        <v>#N/A</v>
      </c>
      <c r="AI990">
        <f t="shared" si="110"/>
        <v>2</v>
      </c>
      <c r="AJ990" t="e">
        <f t="shared" si="107"/>
        <v>#N/A</v>
      </c>
      <c r="AK990">
        <f t="shared" si="111"/>
        <v>3</v>
      </c>
      <c r="AL990" t="e">
        <f t="shared" si="108"/>
        <v>#N/A</v>
      </c>
      <c r="AM990">
        <f t="shared" si="112"/>
        <v>4</v>
      </c>
      <c r="AN990" t="e">
        <f t="shared" si="109"/>
        <v>#N/A</v>
      </c>
    </row>
    <row r="991" spans="12:40" x14ac:dyDescent="0.25">
      <c r="L991">
        <v>988</v>
      </c>
      <c r="M991">
        <v>13.92</v>
      </c>
      <c r="N991">
        <v>14.019375</v>
      </c>
      <c r="O991">
        <v>13.622555555555557</v>
      </c>
      <c r="P991">
        <v>14.098222222222221</v>
      </c>
      <c r="AG991">
        <v>1</v>
      </c>
      <c r="AH991" t="e">
        <f t="shared" si="106"/>
        <v>#N/A</v>
      </c>
      <c r="AI991">
        <f t="shared" si="110"/>
        <v>2</v>
      </c>
      <c r="AJ991" t="e">
        <f t="shared" si="107"/>
        <v>#N/A</v>
      </c>
      <c r="AK991">
        <f t="shared" si="111"/>
        <v>3</v>
      </c>
      <c r="AL991" t="e">
        <f t="shared" si="108"/>
        <v>#N/A</v>
      </c>
      <c r="AM991">
        <f t="shared" si="112"/>
        <v>4</v>
      </c>
      <c r="AN991" t="e">
        <f t="shared" si="109"/>
        <v>#N/A</v>
      </c>
    </row>
    <row r="992" spans="12:40" x14ac:dyDescent="0.25">
      <c r="L992">
        <v>989</v>
      </c>
      <c r="M992">
        <v>15.717499999999999</v>
      </c>
      <c r="N992">
        <v>15.631875000000001</v>
      </c>
      <c r="O992">
        <v>14.175638888888889</v>
      </c>
      <c r="P992">
        <v>13.93396527777778</v>
      </c>
      <c r="AG992">
        <v>1</v>
      </c>
      <c r="AH992" t="e">
        <f t="shared" si="106"/>
        <v>#N/A</v>
      </c>
      <c r="AI992">
        <f t="shared" si="110"/>
        <v>2</v>
      </c>
      <c r="AJ992" t="e">
        <f t="shared" si="107"/>
        <v>#N/A</v>
      </c>
      <c r="AK992">
        <f t="shared" si="111"/>
        <v>3</v>
      </c>
      <c r="AL992" t="e">
        <f t="shared" si="108"/>
        <v>#N/A</v>
      </c>
      <c r="AM992">
        <f t="shared" si="112"/>
        <v>4</v>
      </c>
      <c r="AN992" t="e">
        <f t="shared" si="109"/>
        <v>#N/A</v>
      </c>
    </row>
    <row r="993" spans="12:40" x14ac:dyDescent="0.25">
      <c r="L993">
        <v>990</v>
      </c>
      <c r="M993">
        <v>13.4125</v>
      </c>
      <c r="N993">
        <v>14.160625</v>
      </c>
      <c r="O993">
        <v>14.512708333333334</v>
      </c>
      <c r="P993">
        <v>14.09204861111111</v>
      </c>
      <c r="AG993">
        <v>1</v>
      </c>
      <c r="AH993" t="e">
        <f t="shared" si="106"/>
        <v>#N/A</v>
      </c>
      <c r="AI993">
        <f t="shared" si="110"/>
        <v>2</v>
      </c>
      <c r="AJ993" t="e">
        <f t="shared" si="107"/>
        <v>#N/A</v>
      </c>
      <c r="AK993">
        <f t="shared" si="111"/>
        <v>3</v>
      </c>
      <c r="AL993" t="e">
        <f t="shared" si="108"/>
        <v>#N/A</v>
      </c>
      <c r="AM993">
        <f t="shared" si="112"/>
        <v>4</v>
      </c>
      <c r="AN993" t="e">
        <f t="shared" si="109"/>
        <v>#N/A</v>
      </c>
    </row>
    <row r="994" spans="12:40" x14ac:dyDescent="0.25">
      <c r="L994">
        <v>991</v>
      </c>
      <c r="M994">
        <v>15.0975</v>
      </c>
      <c r="N994">
        <v>14.568125</v>
      </c>
      <c r="O994">
        <v>14.363513888888887</v>
      </c>
      <c r="P994">
        <v>14.010916666666665</v>
      </c>
      <c r="AG994">
        <v>1</v>
      </c>
      <c r="AH994" t="e">
        <f t="shared" si="106"/>
        <v>#N/A</v>
      </c>
      <c r="AI994">
        <f t="shared" si="110"/>
        <v>2</v>
      </c>
      <c r="AJ994" t="e">
        <f t="shared" si="107"/>
        <v>#N/A</v>
      </c>
      <c r="AK994">
        <f t="shared" si="111"/>
        <v>3</v>
      </c>
      <c r="AL994" t="e">
        <f t="shared" si="108"/>
        <v>#N/A</v>
      </c>
      <c r="AM994">
        <f t="shared" si="112"/>
        <v>4</v>
      </c>
      <c r="AN994" t="e">
        <f t="shared" si="109"/>
        <v>#N/A</v>
      </c>
    </row>
    <row r="995" spans="12:40" x14ac:dyDescent="0.25">
      <c r="L995">
        <v>992</v>
      </c>
      <c r="M995">
        <v>12.81875</v>
      </c>
      <c r="N995">
        <v>13.255625</v>
      </c>
      <c r="O995">
        <v>14.266916666666669</v>
      </c>
      <c r="P995">
        <v>13.883854166666667</v>
      </c>
      <c r="AG995">
        <v>1</v>
      </c>
      <c r="AH995" t="e">
        <f t="shared" si="106"/>
        <v>#N/A</v>
      </c>
      <c r="AI995">
        <f t="shared" si="110"/>
        <v>2</v>
      </c>
      <c r="AJ995" t="e">
        <f t="shared" si="107"/>
        <v>#N/A</v>
      </c>
      <c r="AK995">
        <f t="shared" si="111"/>
        <v>3</v>
      </c>
      <c r="AL995" t="e">
        <f t="shared" si="108"/>
        <v>#N/A</v>
      </c>
      <c r="AM995">
        <f t="shared" si="112"/>
        <v>4</v>
      </c>
      <c r="AN995" t="e">
        <f t="shared" si="109"/>
        <v>#N/A</v>
      </c>
    </row>
    <row r="996" spans="12:40" x14ac:dyDescent="0.25">
      <c r="L996">
        <v>993</v>
      </c>
      <c r="M996">
        <v>12.8775</v>
      </c>
      <c r="N996">
        <v>13.710625</v>
      </c>
      <c r="O996">
        <v>13.813541666666667</v>
      </c>
      <c r="P996">
        <v>13.886375000000001</v>
      </c>
      <c r="AG996">
        <v>1</v>
      </c>
      <c r="AH996" t="e">
        <f t="shared" si="106"/>
        <v>#N/A</v>
      </c>
      <c r="AI996">
        <f t="shared" si="110"/>
        <v>2</v>
      </c>
      <c r="AJ996" t="e">
        <f t="shared" si="107"/>
        <v>#N/A</v>
      </c>
      <c r="AK996">
        <f t="shared" si="111"/>
        <v>3</v>
      </c>
      <c r="AL996" t="e">
        <f t="shared" si="108"/>
        <v>#N/A</v>
      </c>
      <c r="AM996">
        <f t="shared" si="112"/>
        <v>4</v>
      </c>
      <c r="AN996" t="e">
        <f t="shared" si="109"/>
        <v>#N/A</v>
      </c>
    </row>
    <row r="997" spans="12:40" x14ac:dyDescent="0.25">
      <c r="L997">
        <v>994</v>
      </c>
      <c r="M997">
        <v>14.0275</v>
      </c>
      <c r="N997">
        <v>13.170624999999999</v>
      </c>
      <c r="O997">
        <v>13.572027777777778</v>
      </c>
      <c r="P997">
        <v>13.897465277777778</v>
      </c>
      <c r="AG997">
        <v>1</v>
      </c>
      <c r="AH997" t="e">
        <f t="shared" si="106"/>
        <v>#N/A</v>
      </c>
      <c r="AI997">
        <f t="shared" si="110"/>
        <v>2</v>
      </c>
      <c r="AJ997" t="e">
        <f t="shared" si="107"/>
        <v>#N/A</v>
      </c>
      <c r="AK997">
        <f t="shared" si="111"/>
        <v>3</v>
      </c>
      <c r="AL997" t="e">
        <f t="shared" si="108"/>
        <v>#N/A</v>
      </c>
      <c r="AM997">
        <f t="shared" si="112"/>
        <v>4</v>
      </c>
      <c r="AN997" t="e">
        <f t="shared" si="109"/>
        <v>#N/A</v>
      </c>
    </row>
    <row r="998" spans="12:40" x14ac:dyDescent="0.25">
      <c r="L998">
        <v>995</v>
      </c>
      <c r="M998">
        <v>14.827500000000001</v>
      </c>
      <c r="N998">
        <v>13.728125</v>
      </c>
      <c r="O998">
        <v>14.312249999999999</v>
      </c>
      <c r="P998">
        <v>14.408291666666663</v>
      </c>
      <c r="AG998">
        <v>1</v>
      </c>
      <c r="AH998" t="e">
        <f t="shared" si="106"/>
        <v>#N/A</v>
      </c>
      <c r="AI998">
        <f t="shared" si="110"/>
        <v>2</v>
      </c>
      <c r="AJ998" t="e">
        <f t="shared" si="107"/>
        <v>#N/A</v>
      </c>
      <c r="AK998">
        <f t="shared" si="111"/>
        <v>3</v>
      </c>
      <c r="AL998" t="e">
        <f t="shared" si="108"/>
        <v>#N/A</v>
      </c>
      <c r="AM998">
        <f t="shared" si="112"/>
        <v>4</v>
      </c>
      <c r="AN998" t="e">
        <f t="shared" si="109"/>
        <v>#N/A</v>
      </c>
    </row>
    <row r="999" spans="12:40" x14ac:dyDescent="0.25">
      <c r="L999">
        <v>996</v>
      </c>
      <c r="M999">
        <v>12.38</v>
      </c>
      <c r="N999">
        <v>11.805624999999999</v>
      </c>
      <c r="O999">
        <v>12.983708333333334</v>
      </c>
      <c r="P999">
        <v>13.596090277777778</v>
      </c>
      <c r="AG999">
        <v>1</v>
      </c>
      <c r="AH999" t="e">
        <f t="shared" si="106"/>
        <v>#N/A</v>
      </c>
      <c r="AI999">
        <f t="shared" si="110"/>
        <v>2</v>
      </c>
      <c r="AJ999">
        <f t="shared" si="107"/>
        <v>11.805624999999999</v>
      </c>
      <c r="AK999">
        <f t="shared" si="111"/>
        <v>3</v>
      </c>
      <c r="AL999" t="e">
        <f t="shared" si="108"/>
        <v>#N/A</v>
      </c>
      <c r="AM999">
        <f t="shared" si="112"/>
        <v>4</v>
      </c>
      <c r="AN999" t="e">
        <f t="shared" si="109"/>
        <v>#N/A</v>
      </c>
    </row>
    <row r="1000" spans="12:40" x14ac:dyDescent="0.25">
      <c r="L1000">
        <v>997</v>
      </c>
      <c r="M1000">
        <v>14.516249999999999</v>
      </c>
      <c r="N1000">
        <v>14.493124999999999</v>
      </c>
      <c r="O1000">
        <v>14.856402777777777</v>
      </c>
      <c r="P1000">
        <v>14.219583333333334</v>
      </c>
      <c r="AG1000">
        <v>1</v>
      </c>
      <c r="AH1000" t="e">
        <f t="shared" si="106"/>
        <v>#N/A</v>
      </c>
      <c r="AI1000">
        <f t="shared" si="110"/>
        <v>2</v>
      </c>
      <c r="AJ1000" t="e">
        <f t="shared" si="107"/>
        <v>#N/A</v>
      </c>
      <c r="AK1000">
        <f t="shared" si="111"/>
        <v>3</v>
      </c>
      <c r="AL1000" t="e">
        <f t="shared" si="108"/>
        <v>#N/A</v>
      </c>
      <c r="AM1000">
        <f t="shared" si="112"/>
        <v>4</v>
      </c>
      <c r="AN1000" t="e">
        <f t="shared" si="109"/>
        <v>#N/A</v>
      </c>
    </row>
    <row r="1001" spans="12:40" x14ac:dyDescent="0.25">
      <c r="L1001">
        <v>998</v>
      </c>
      <c r="M1001">
        <v>15.1325</v>
      </c>
      <c r="N1001">
        <v>13.51</v>
      </c>
      <c r="O1001">
        <v>13.832875</v>
      </c>
      <c r="P1001">
        <v>13.815381944444443</v>
      </c>
      <c r="AG1001">
        <v>1</v>
      </c>
      <c r="AH1001" t="e">
        <f t="shared" si="106"/>
        <v>#N/A</v>
      </c>
      <c r="AI1001">
        <f t="shared" si="110"/>
        <v>2</v>
      </c>
      <c r="AJ1001" t="e">
        <f t="shared" si="107"/>
        <v>#N/A</v>
      </c>
      <c r="AK1001">
        <f t="shared" si="111"/>
        <v>3</v>
      </c>
      <c r="AL1001" t="e">
        <f t="shared" si="108"/>
        <v>#N/A</v>
      </c>
      <c r="AM1001">
        <f t="shared" si="112"/>
        <v>4</v>
      </c>
      <c r="AN1001" t="e">
        <f t="shared" si="109"/>
        <v>#N/A</v>
      </c>
    </row>
    <row r="1002" spans="12:40" x14ac:dyDescent="0.25">
      <c r="L1002">
        <v>999</v>
      </c>
      <c r="M1002">
        <v>13.56625</v>
      </c>
      <c r="N1002">
        <v>14.14</v>
      </c>
      <c r="O1002">
        <v>14.523652777777778</v>
      </c>
      <c r="P1002">
        <v>14.293687500000001</v>
      </c>
      <c r="AG1002">
        <v>1</v>
      </c>
      <c r="AH1002" t="e">
        <f t="shared" si="106"/>
        <v>#N/A</v>
      </c>
      <c r="AI1002">
        <f t="shared" si="110"/>
        <v>2</v>
      </c>
      <c r="AJ1002" t="e">
        <f t="shared" si="107"/>
        <v>#N/A</v>
      </c>
      <c r="AK1002">
        <f t="shared" si="111"/>
        <v>3</v>
      </c>
      <c r="AL1002" t="e">
        <f t="shared" si="108"/>
        <v>#N/A</v>
      </c>
      <c r="AM1002">
        <f t="shared" si="112"/>
        <v>4</v>
      </c>
      <c r="AN1002" t="e">
        <f t="shared" si="109"/>
        <v>#N/A</v>
      </c>
    </row>
    <row r="1003" spans="12:40" x14ac:dyDescent="0.25">
      <c r="L1003">
        <v>1000</v>
      </c>
      <c r="M1003">
        <v>15.775</v>
      </c>
      <c r="N1003">
        <v>14.856249999999999</v>
      </c>
      <c r="O1003">
        <v>14.032541666666669</v>
      </c>
      <c r="P1003">
        <v>13.9575</v>
      </c>
      <c r="AG1003">
        <v>1</v>
      </c>
      <c r="AH1003" t="e">
        <f t="shared" si="106"/>
        <v>#N/A</v>
      </c>
      <c r="AI1003">
        <f t="shared" si="110"/>
        <v>2</v>
      </c>
      <c r="AJ1003" t="e">
        <f t="shared" si="107"/>
        <v>#N/A</v>
      </c>
      <c r="AK1003">
        <f t="shared" si="111"/>
        <v>3</v>
      </c>
      <c r="AL1003" t="e">
        <f t="shared" si="108"/>
        <v>#N/A</v>
      </c>
      <c r="AM1003">
        <f t="shared" si="112"/>
        <v>4</v>
      </c>
      <c r="AN1003" t="e">
        <f t="shared" si="109"/>
        <v>#N/A</v>
      </c>
    </row>
  </sheetData>
  <conditionalFormatting sqref="C2:D401">
    <cfRule type="cellIs" dxfId="17" priority="1" operator="equal">
      <formula>3</formula>
    </cfRule>
    <cfRule type="cellIs" dxfId="16" priority="2" operator="equal">
      <formula>2</formula>
    </cfRule>
    <cfRule type="cellIs" dxfId="15" priority="3" operator="equal">
      <formula>1</formula>
    </cfRule>
  </conditionalFormatting>
  <conditionalFormatting sqref="I2:I4">
    <cfRule type="cellIs" dxfId="14" priority="16" operator="equal">
      <formula>3</formula>
    </cfRule>
    <cfRule type="cellIs" dxfId="13" priority="17" operator="equal">
      <formula>2</formula>
    </cfRule>
    <cfRule type="cellIs" dxfId="12" priority="18" operator="equal">
      <formula>1</formula>
    </cfRule>
  </conditionalFormatting>
  <conditionalFormatting sqref="I7:I9">
    <cfRule type="cellIs" dxfId="11" priority="13" operator="equal">
      <formula>3</formula>
    </cfRule>
    <cfRule type="cellIs" dxfId="10" priority="14" operator="equal">
      <formula>2</formula>
    </cfRule>
    <cfRule type="cellIs" dxfId="9" priority="15" operator="equal">
      <formula>1</formula>
    </cfRule>
  </conditionalFormatting>
  <conditionalFormatting sqref="I12:I14">
    <cfRule type="cellIs" dxfId="8" priority="10" operator="equal">
      <formula>3</formula>
    </cfRule>
    <cfRule type="cellIs" dxfId="7" priority="11" operator="equal">
      <formula>2</formula>
    </cfRule>
    <cfRule type="cellIs" dxfId="6" priority="12" operator="equal">
      <formula>1</formula>
    </cfRule>
  </conditionalFormatting>
  <conditionalFormatting sqref="I17:I19">
    <cfRule type="cellIs" dxfId="5" priority="7" operator="equal">
      <formula>3</formula>
    </cfRule>
    <cfRule type="cellIs" dxfId="4" priority="8" operator="equal">
      <formula>2</formula>
    </cfRule>
    <cfRule type="cellIs" dxfId="3" priority="9" operator="equal">
      <formula>1</formula>
    </cfRule>
  </conditionalFormatting>
  <conditionalFormatting sqref="I22:I24"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simples</vt:lpstr>
      <vt:lpstr>estratificada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Daleles Rennó</cp:lastModifiedBy>
  <dcterms:created xsi:type="dcterms:W3CDTF">2022-07-07T11:11:07Z</dcterms:created>
  <dcterms:modified xsi:type="dcterms:W3CDTF">2026-05-19T15:29:40Z</dcterms:modified>
</cp:coreProperties>
</file>