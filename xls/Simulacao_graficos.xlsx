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5/xls/"/>
    </mc:Choice>
  </mc:AlternateContent>
  <xr:revisionPtr revIDLastSave="0" documentId="11_8BADEB7E15D873723E2E2C90A803F1DC1BF6576F" xr6:coauthVersionLast="47" xr6:coauthVersionMax="47" xr10:uidLastSave="{00000000-0000-0000-0000-000000000000}"/>
  <bookViews>
    <workbookView xWindow="675" yWindow="2085" windowWidth="26610" windowHeight="11385" xr2:uid="{00000000-000D-0000-FFFF-FFFF00000000}"/>
  </bookViews>
  <sheets>
    <sheet name="Dados" sheetId="1" r:id="rId1"/>
    <sheet name="gráfic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3" l="1"/>
  <c r="AN4" i="3" s="1"/>
  <c r="AH4" i="3"/>
  <c r="AM4" i="3" s="1"/>
  <c r="AJ5" i="3"/>
  <c r="AQ5" i="3" s="1"/>
  <c r="AF3" i="3"/>
  <c r="AA3" i="3"/>
  <c r="Z3" i="3"/>
  <c r="W3" i="3"/>
  <c r="V3" i="3"/>
  <c r="Q3" i="3"/>
  <c r="O3" i="3"/>
  <c r="Y3" i="3" s="1"/>
  <c r="N3" i="3"/>
  <c r="S3" i="3" s="1"/>
  <c r="AZ4" i="3"/>
  <c r="AU4" i="3"/>
  <c r="AT4" i="3"/>
  <c r="AQ4" i="3"/>
  <c r="AP4" i="3"/>
  <c r="AK4" i="3"/>
  <c r="AD3" i="3" l="1"/>
  <c r="AJ6" i="3"/>
  <c r="AI5" i="3"/>
  <c r="R3" i="3"/>
  <c r="AE3" i="3"/>
  <c r="AH5" i="3"/>
  <c r="AV5" i="3" s="1"/>
  <c r="AO4" i="3"/>
  <c r="AS4" i="3"/>
  <c r="AY4" i="3"/>
  <c r="AX4" i="3"/>
  <c r="AW4" i="3"/>
  <c r="AV4" i="3"/>
  <c r="AR4" i="3"/>
  <c r="AL4" i="3"/>
  <c r="AZ5" i="3"/>
  <c r="AK5" i="3"/>
  <c r="AU5" i="3"/>
  <c r="AT5" i="3"/>
  <c r="AP5" i="3"/>
  <c r="X3" i="3"/>
  <c r="U3" i="3"/>
  <c r="AC3" i="3"/>
  <c r="T3" i="3"/>
  <c r="AB3" i="3"/>
  <c r="AP6" i="3" l="1"/>
  <c r="AQ6" i="3"/>
  <c r="AH6" i="3"/>
  <c r="AT6" i="3"/>
  <c r="AU6" i="3"/>
  <c r="AZ6" i="3"/>
  <c r="AJ7" i="3"/>
  <c r="AI6" i="3"/>
  <c r="AK6" i="3"/>
  <c r="AX5" i="3"/>
  <c r="AO5" i="3"/>
  <c r="AM5" i="3"/>
  <c r="AR5" i="3"/>
  <c r="AW5" i="3"/>
  <c r="AY5" i="3"/>
  <c r="AS5" i="3"/>
  <c r="AN5" i="3"/>
  <c r="AL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C2" i="1"/>
  <c r="D2" i="1" l="1"/>
  <c r="C3" i="1"/>
  <c r="AJ8" i="3"/>
  <c r="AU7" i="3"/>
  <c r="AH7" i="3"/>
  <c r="AZ7" i="3"/>
  <c r="AI7" i="3"/>
  <c r="AK7" i="3"/>
  <c r="AP7" i="3"/>
  <c r="AQ7" i="3"/>
  <c r="AT7" i="3"/>
  <c r="AX6" i="3"/>
  <c r="AY6" i="3"/>
  <c r="AS6" i="3"/>
  <c r="AN6" i="3"/>
  <c r="AO6" i="3"/>
  <c r="AV6" i="3"/>
  <c r="AL6" i="3"/>
  <c r="AM6" i="3"/>
  <c r="AW6" i="3"/>
  <c r="AR6" i="3"/>
  <c r="C4" i="1" l="1"/>
  <c r="C5" i="1" s="1"/>
  <c r="E2" i="1"/>
  <c r="D3" i="1"/>
  <c r="D4" i="1" s="1"/>
  <c r="D5" i="1" s="1"/>
  <c r="AH8" i="3"/>
  <c r="AI8" i="3"/>
  <c r="AJ9" i="3"/>
  <c r="AP8" i="3"/>
  <c r="AK8" i="3"/>
  <c r="AU8" i="3"/>
  <c r="AT8" i="3"/>
  <c r="AQ8" i="3"/>
  <c r="AZ8" i="3"/>
  <c r="AR7" i="3"/>
  <c r="AV7" i="3"/>
  <c r="AL7" i="3"/>
  <c r="AM7" i="3"/>
  <c r="AW7" i="3"/>
  <c r="AO7" i="3"/>
  <c r="AY7" i="3"/>
  <c r="AX7" i="3"/>
  <c r="AN7" i="3"/>
  <c r="AS7" i="3"/>
  <c r="E3" i="1" l="1"/>
  <c r="F2" i="1"/>
  <c r="AM8" i="3"/>
  <c r="AV8" i="3"/>
  <c r="AW8" i="3"/>
  <c r="AR8" i="3"/>
  <c r="AL8" i="3"/>
  <c r="AO8" i="3"/>
  <c r="AS8" i="3"/>
  <c r="AX8" i="3"/>
  <c r="AN8" i="3"/>
  <c r="AY8" i="3"/>
  <c r="AI9" i="3"/>
  <c r="AH9" i="3"/>
  <c r="AT9" i="3"/>
  <c r="AJ10" i="3"/>
  <c r="AU9" i="3"/>
  <c r="AZ9" i="3"/>
  <c r="AK9" i="3"/>
  <c r="AP9" i="3"/>
  <c r="AQ9" i="3"/>
  <c r="D6" i="1"/>
  <c r="C6" i="1"/>
  <c r="E4" i="1" l="1"/>
  <c r="F3" i="1"/>
  <c r="F4" i="1" s="1"/>
  <c r="F5" i="1" s="1"/>
  <c r="F6" i="1" s="1"/>
  <c r="G2" i="1"/>
  <c r="AI10" i="3"/>
  <c r="AH10" i="3"/>
  <c r="AQ10" i="3"/>
  <c r="AP10" i="3"/>
  <c r="AZ10" i="3"/>
  <c r="AK10" i="3"/>
  <c r="AU10" i="3"/>
  <c r="AJ11" i="3"/>
  <c r="AT10" i="3"/>
  <c r="AX9" i="3"/>
  <c r="AO9" i="3"/>
  <c r="AN9" i="3"/>
  <c r="AS9" i="3"/>
  <c r="AY9" i="3"/>
  <c r="AL9" i="3"/>
  <c r="AW9" i="3"/>
  <c r="AM9" i="3"/>
  <c r="AV9" i="3"/>
  <c r="AR9" i="3"/>
  <c r="D7" i="1"/>
  <c r="C7" i="1"/>
  <c r="E5" i="1" l="1"/>
  <c r="G3" i="1"/>
  <c r="H2" i="1"/>
  <c r="AS10" i="3"/>
  <c r="AN10" i="3"/>
  <c r="AY10" i="3"/>
  <c r="AX10" i="3"/>
  <c r="AO10" i="3"/>
  <c r="AI11" i="3"/>
  <c r="AH11" i="3"/>
  <c r="AZ11" i="3"/>
  <c r="AJ12" i="3"/>
  <c r="AT11" i="3"/>
  <c r="AQ11" i="3"/>
  <c r="AK11" i="3"/>
  <c r="AU11" i="3"/>
  <c r="AP11" i="3"/>
  <c r="AV10" i="3"/>
  <c r="AL10" i="3"/>
  <c r="AR10" i="3"/>
  <c r="AM10" i="3"/>
  <c r="AW10" i="3"/>
  <c r="D8" i="1"/>
  <c r="F7" i="1"/>
  <c r="C8" i="1"/>
  <c r="E6" i="1" l="1"/>
  <c r="G4" i="1"/>
  <c r="H3" i="1"/>
  <c r="H4" i="1" s="1"/>
  <c r="H5" i="1" s="1"/>
  <c r="H6" i="1" s="1"/>
  <c r="I2" i="1"/>
  <c r="AL11" i="3"/>
  <c r="AV11" i="3"/>
  <c r="AR11" i="3"/>
  <c r="AM11" i="3"/>
  <c r="AW11" i="3"/>
  <c r="AI12" i="3"/>
  <c r="AH12" i="3"/>
  <c r="AJ13" i="3"/>
  <c r="AQ12" i="3"/>
  <c r="AU12" i="3"/>
  <c r="AK12" i="3"/>
  <c r="AT12" i="3"/>
  <c r="AP12" i="3"/>
  <c r="AZ12" i="3"/>
  <c r="AS11" i="3"/>
  <c r="AO11" i="3"/>
  <c r="AX11" i="3"/>
  <c r="AN11" i="3"/>
  <c r="AY11" i="3"/>
  <c r="D9" i="1"/>
  <c r="F8" i="1"/>
  <c r="C9" i="1"/>
  <c r="E7" i="1" l="1"/>
  <c r="G5" i="1"/>
  <c r="I3" i="1"/>
  <c r="I4" i="1" s="1"/>
  <c r="I5" i="1" s="1"/>
  <c r="I6" i="1" s="1"/>
  <c r="J2" i="1"/>
  <c r="AS12" i="3"/>
  <c r="AX12" i="3"/>
  <c r="AO12" i="3"/>
  <c r="AY12" i="3"/>
  <c r="AN12" i="3"/>
  <c r="AH13" i="3"/>
  <c r="AI13" i="3"/>
  <c r="AT13" i="3"/>
  <c r="AQ13" i="3"/>
  <c r="AJ14" i="3"/>
  <c r="AK13" i="3"/>
  <c r="AP13" i="3"/>
  <c r="AZ13" i="3"/>
  <c r="AU13" i="3"/>
  <c r="AW12" i="3"/>
  <c r="AV12" i="3"/>
  <c r="AL12" i="3"/>
  <c r="AR12" i="3"/>
  <c r="AM12" i="3"/>
  <c r="H7" i="1"/>
  <c r="F9" i="1"/>
  <c r="D10" i="1"/>
  <c r="C10" i="1"/>
  <c r="G6" i="1" l="1"/>
  <c r="E8" i="1"/>
  <c r="J3" i="1"/>
  <c r="K2" i="1"/>
  <c r="AV13" i="3"/>
  <c r="AW13" i="3"/>
  <c r="AM13" i="3"/>
  <c r="AL13" i="3"/>
  <c r="AR13" i="3"/>
  <c r="AS13" i="3"/>
  <c r="AX13" i="3"/>
  <c r="AO13" i="3"/>
  <c r="AY13" i="3"/>
  <c r="AN13" i="3"/>
  <c r="AI14" i="3"/>
  <c r="AH14" i="3"/>
  <c r="AT14" i="3"/>
  <c r="AQ14" i="3"/>
  <c r="AP14" i="3"/>
  <c r="AJ15" i="3"/>
  <c r="AZ14" i="3"/>
  <c r="AK14" i="3"/>
  <c r="AU14" i="3"/>
  <c r="H8" i="1"/>
  <c r="D11" i="1"/>
  <c r="F10" i="1"/>
  <c r="C11" i="1"/>
  <c r="I7" i="1"/>
  <c r="E9" i="1" l="1"/>
  <c r="G7" i="1"/>
  <c r="J4" i="1"/>
  <c r="K3" i="1"/>
  <c r="K4" i="1" s="1"/>
  <c r="K5" i="1" s="1"/>
  <c r="K6" i="1" s="1"/>
  <c r="L2" i="1"/>
  <c r="AH15" i="3"/>
  <c r="AI15" i="3"/>
  <c r="AZ15" i="3"/>
  <c r="AJ16" i="3"/>
  <c r="AK15" i="3"/>
  <c r="AQ15" i="3"/>
  <c r="AP15" i="3"/>
  <c r="AU15" i="3"/>
  <c r="AT15" i="3"/>
  <c r="AS14" i="3"/>
  <c r="AO14" i="3"/>
  <c r="AX14" i="3"/>
  <c r="AN14" i="3"/>
  <c r="AY14" i="3"/>
  <c r="AV14" i="3"/>
  <c r="AW14" i="3"/>
  <c r="AL14" i="3"/>
  <c r="AR14" i="3"/>
  <c r="AM14" i="3"/>
  <c r="D12" i="1"/>
  <c r="H9" i="1"/>
  <c r="F11" i="1"/>
  <c r="C12" i="1"/>
  <c r="I8" i="1"/>
  <c r="G8" i="1" l="1"/>
  <c r="E10" i="1"/>
  <c r="J5" i="1"/>
  <c r="L3" i="1"/>
  <c r="L4" i="1" s="1"/>
  <c r="L5" i="1" s="1"/>
  <c r="L6" i="1" s="1"/>
  <c r="M2" i="1"/>
  <c r="AR15" i="3"/>
  <c r="AL15" i="3"/>
  <c r="AM15" i="3"/>
  <c r="AW15" i="3"/>
  <c r="AV15" i="3"/>
  <c r="AX15" i="3"/>
  <c r="AN15" i="3"/>
  <c r="AO15" i="3"/>
  <c r="AY15" i="3"/>
  <c r="AS15" i="3"/>
  <c r="AH16" i="3"/>
  <c r="AI16" i="3"/>
  <c r="AT16" i="3"/>
  <c r="AQ16" i="3"/>
  <c r="AP16" i="3"/>
  <c r="AZ16" i="3"/>
  <c r="AJ17" i="3"/>
  <c r="AK16" i="3"/>
  <c r="AU16" i="3"/>
  <c r="H10" i="1"/>
  <c r="F12" i="1"/>
  <c r="K7" i="1"/>
  <c r="D13" i="1"/>
  <c r="I9" i="1"/>
  <c r="C13" i="1"/>
  <c r="E11" i="1" l="1"/>
  <c r="J6" i="1"/>
  <c r="G9" i="1"/>
  <c r="M3" i="1"/>
  <c r="M4" i="1" s="1"/>
  <c r="M5" i="1" s="1"/>
  <c r="M6" i="1" s="1"/>
  <c r="N2" i="1"/>
  <c r="AI17" i="3"/>
  <c r="AH17" i="3"/>
  <c r="AT17" i="3"/>
  <c r="AJ18" i="3"/>
  <c r="AQ17" i="3"/>
  <c r="AU17" i="3"/>
  <c r="AP17" i="3"/>
  <c r="AZ17" i="3"/>
  <c r="AK17" i="3"/>
  <c r="AV16" i="3"/>
  <c r="AR16" i="3"/>
  <c r="AM16" i="3"/>
  <c r="AW16" i="3"/>
  <c r="AL16" i="3"/>
  <c r="AS16" i="3"/>
  <c r="AY16" i="3"/>
  <c r="AO16" i="3"/>
  <c r="AX16" i="3"/>
  <c r="AN16" i="3"/>
  <c r="F13" i="1"/>
  <c r="K8" i="1"/>
  <c r="H11" i="1"/>
  <c r="D14" i="1"/>
  <c r="C14" i="1"/>
  <c r="L7" i="1"/>
  <c r="I10" i="1"/>
  <c r="J7" i="1" l="1"/>
  <c r="E12" i="1"/>
  <c r="G10" i="1"/>
  <c r="N3" i="1"/>
  <c r="N4" i="1" s="1"/>
  <c r="N5" i="1" s="1"/>
  <c r="N6" i="1" s="1"/>
  <c r="O2" i="1"/>
  <c r="AX17" i="3"/>
  <c r="AO17" i="3"/>
  <c r="AN17" i="3"/>
  <c r="AS17" i="3"/>
  <c r="AY17" i="3"/>
  <c r="AV17" i="3"/>
  <c r="AR17" i="3"/>
  <c r="AL17" i="3"/>
  <c r="AW17" i="3"/>
  <c r="AM17" i="3"/>
  <c r="AI18" i="3"/>
  <c r="AH18" i="3"/>
  <c r="AK18" i="3"/>
  <c r="AJ19" i="3"/>
  <c r="AU18" i="3"/>
  <c r="AP18" i="3"/>
  <c r="AT18" i="3"/>
  <c r="AQ18" i="3"/>
  <c r="AZ18" i="3"/>
  <c r="M7" i="1"/>
  <c r="H12" i="1"/>
  <c r="F14" i="1"/>
  <c r="D15" i="1"/>
  <c r="K9" i="1"/>
  <c r="I11" i="1"/>
  <c r="L8" i="1"/>
  <c r="C15" i="1"/>
  <c r="G11" i="1" l="1"/>
  <c r="E13" i="1"/>
  <c r="J8" i="1"/>
  <c r="O3" i="1"/>
  <c r="O4" i="1" s="1"/>
  <c r="O5" i="1" s="1"/>
  <c r="O6" i="1" s="1"/>
  <c r="P2" i="1"/>
  <c r="AI19" i="3"/>
  <c r="AH19" i="3"/>
  <c r="AJ20" i="3"/>
  <c r="AK19" i="3"/>
  <c r="AU19" i="3"/>
  <c r="AT19" i="3"/>
  <c r="AQ19" i="3"/>
  <c r="AP19" i="3"/>
  <c r="AZ19" i="3"/>
  <c r="AS18" i="3"/>
  <c r="AN18" i="3"/>
  <c r="AY18" i="3"/>
  <c r="AX18" i="3"/>
  <c r="AO18" i="3"/>
  <c r="AV18" i="3"/>
  <c r="AL18" i="3"/>
  <c r="AR18" i="3"/>
  <c r="AM18" i="3"/>
  <c r="AW18" i="3"/>
  <c r="D16" i="1"/>
  <c r="M8" i="1"/>
  <c r="N7" i="1"/>
  <c r="H13" i="1"/>
  <c r="F15" i="1"/>
  <c r="K10" i="1"/>
  <c r="L9" i="1"/>
  <c r="C16" i="1"/>
  <c r="I12" i="1"/>
  <c r="E14" i="1" l="1"/>
  <c r="G12" i="1"/>
  <c r="J9" i="1"/>
  <c r="P3" i="1"/>
  <c r="P4" i="1" s="1"/>
  <c r="P5" i="1" s="1"/>
  <c r="P6" i="1" s="1"/>
  <c r="Q2" i="1"/>
  <c r="AO19" i="3"/>
  <c r="AN19" i="3"/>
  <c r="AY19" i="3"/>
  <c r="AX19" i="3"/>
  <c r="AS19" i="3"/>
  <c r="AL19" i="3"/>
  <c r="AW19" i="3"/>
  <c r="AR19" i="3"/>
  <c r="AM19" i="3"/>
  <c r="AV19" i="3"/>
  <c r="AI20" i="3"/>
  <c r="AH20" i="3"/>
  <c r="AQ20" i="3"/>
  <c r="AP20" i="3"/>
  <c r="AZ20" i="3"/>
  <c r="AJ21" i="3"/>
  <c r="AU20" i="3"/>
  <c r="AK20" i="3"/>
  <c r="AT20" i="3"/>
  <c r="M9" i="1"/>
  <c r="K11" i="1"/>
  <c r="D17" i="1"/>
  <c r="O7" i="1"/>
  <c r="N8" i="1"/>
  <c r="H14" i="1"/>
  <c r="F16" i="1"/>
  <c r="L10" i="1"/>
  <c r="C17" i="1"/>
  <c r="I13" i="1"/>
  <c r="G13" i="1" l="1"/>
  <c r="J10" i="1"/>
  <c r="E15" i="1"/>
  <c r="Q3" i="1"/>
  <c r="Q4" i="1" s="1"/>
  <c r="Q5" i="1" s="1"/>
  <c r="Q6" i="1" s="1"/>
  <c r="R2" i="1"/>
  <c r="AY20" i="3"/>
  <c r="AO20" i="3"/>
  <c r="AN20" i="3"/>
  <c r="AS20" i="3"/>
  <c r="AX20" i="3"/>
  <c r="AV20" i="3"/>
  <c r="AL20" i="3"/>
  <c r="AM20" i="3"/>
  <c r="AR20" i="3"/>
  <c r="AW20" i="3"/>
  <c r="AH21" i="3"/>
  <c r="AI21" i="3"/>
  <c r="AP21" i="3"/>
  <c r="AK21" i="3"/>
  <c r="AZ21" i="3"/>
  <c r="AU21" i="3"/>
  <c r="AT21" i="3"/>
  <c r="AJ22" i="3"/>
  <c r="AQ21" i="3"/>
  <c r="H15" i="1"/>
  <c r="O8" i="1"/>
  <c r="F17" i="1"/>
  <c r="M10" i="1"/>
  <c r="K12" i="1"/>
  <c r="N9" i="1"/>
  <c r="D18" i="1"/>
  <c r="P7" i="1"/>
  <c r="I14" i="1"/>
  <c r="C18" i="1"/>
  <c r="L11" i="1"/>
  <c r="E16" i="1" l="1"/>
  <c r="G14" i="1"/>
  <c r="J11" i="1"/>
  <c r="R3" i="1"/>
  <c r="R4" i="1" s="1"/>
  <c r="R5" i="1" s="1"/>
  <c r="R6" i="1" s="1"/>
  <c r="S2" i="1"/>
  <c r="AH22" i="3"/>
  <c r="AI22" i="3"/>
  <c r="AQ22" i="3"/>
  <c r="AP22" i="3"/>
  <c r="AJ23" i="3"/>
  <c r="AU22" i="3"/>
  <c r="AK22" i="3"/>
  <c r="AZ22" i="3"/>
  <c r="AT22" i="3"/>
  <c r="AL21" i="3"/>
  <c r="AM21" i="3"/>
  <c r="AW21" i="3"/>
  <c r="AV21" i="3"/>
  <c r="AR21" i="3"/>
  <c r="AX21" i="3"/>
  <c r="AS21" i="3"/>
  <c r="AY21" i="3"/>
  <c r="AO21" i="3"/>
  <c r="AN21" i="3"/>
  <c r="F18" i="1"/>
  <c r="N10" i="1"/>
  <c r="H16" i="1"/>
  <c r="P8" i="1"/>
  <c r="K13" i="1"/>
  <c r="O9" i="1"/>
  <c r="D19" i="1"/>
  <c r="Q7" i="1"/>
  <c r="M11" i="1"/>
  <c r="C19" i="1"/>
  <c r="L12" i="1"/>
  <c r="I15" i="1"/>
  <c r="E17" i="1" l="1"/>
  <c r="G15" i="1"/>
  <c r="J12" i="1"/>
  <c r="S3" i="1"/>
  <c r="S4" i="1" s="1"/>
  <c r="S5" i="1" s="1"/>
  <c r="S6" i="1" s="1"/>
  <c r="T2" i="1"/>
  <c r="AL22" i="3"/>
  <c r="AW22" i="3"/>
  <c r="AR22" i="3"/>
  <c r="AM22" i="3"/>
  <c r="AV22" i="3"/>
  <c r="AN22" i="3"/>
  <c r="AS22" i="3"/>
  <c r="AY22" i="3"/>
  <c r="AO22" i="3"/>
  <c r="AX22" i="3"/>
  <c r="AH23" i="3"/>
  <c r="AI23" i="3"/>
  <c r="AT23" i="3"/>
  <c r="AP23" i="3"/>
  <c r="AZ23" i="3"/>
  <c r="AK23" i="3"/>
  <c r="AU23" i="3"/>
  <c r="AQ23" i="3"/>
  <c r="F19" i="1"/>
  <c r="O10" i="1"/>
  <c r="P9" i="1"/>
  <c r="D20" i="1"/>
  <c r="N11" i="1"/>
  <c r="R7" i="1"/>
  <c r="M12" i="1"/>
  <c r="Q8" i="1"/>
  <c r="K14" i="1"/>
  <c r="H17" i="1"/>
  <c r="L13" i="1"/>
  <c r="C20" i="1"/>
  <c r="I16" i="1"/>
  <c r="G16" i="1" l="1"/>
  <c r="J13" i="1"/>
  <c r="E18" i="1"/>
  <c r="T3" i="1"/>
  <c r="T4" i="1" s="1"/>
  <c r="T5" i="1" s="1"/>
  <c r="T6" i="1" s="1"/>
  <c r="U2" i="1"/>
  <c r="AR23" i="3"/>
  <c r="AL23" i="3"/>
  <c r="AW23" i="3"/>
  <c r="AV23" i="3"/>
  <c r="AM23" i="3"/>
  <c r="AN23" i="3"/>
  <c r="AY23" i="3"/>
  <c r="AO23" i="3"/>
  <c r="AX23" i="3"/>
  <c r="AS23" i="3"/>
  <c r="D21" i="1"/>
  <c r="F20" i="1"/>
  <c r="K15" i="1"/>
  <c r="R8" i="1"/>
  <c r="O11" i="1"/>
  <c r="Q9" i="1"/>
  <c r="H18" i="1"/>
  <c r="M13" i="1"/>
  <c r="N12" i="1"/>
  <c r="P10" i="1"/>
  <c r="S7" i="1"/>
  <c r="C21" i="1"/>
  <c r="I17" i="1"/>
  <c r="L14" i="1"/>
  <c r="G17" i="1" l="1"/>
  <c r="E19" i="1"/>
  <c r="J14" i="1"/>
  <c r="U3" i="1"/>
  <c r="U4" i="1" s="1"/>
  <c r="U5" i="1" s="1"/>
  <c r="U6" i="1" s="1"/>
  <c r="V2" i="1"/>
  <c r="H19" i="1"/>
  <c r="D22" i="1"/>
  <c r="P11" i="1"/>
  <c r="M14" i="1"/>
  <c r="O12" i="1"/>
  <c r="F21" i="1"/>
  <c r="S8" i="1"/>
  <c r="K16" i="1"/>
  <c r="N13" i="1"/>
  <c r="Q10" i="1"/>
  <c r="T7" i="1"/>
  <c r="R9" i="1"/>
  <c r="I18" i="1"/>
  <c r="L15" i="1"/>
  <c r="C22" i="1"/>
  <c r="G18" i="1" l="1"/>
  <c r="E20" i="1"/>
  <c r="J15" i="1"/>
  <c r="V3" i="1"/>
  <c r="V4" i="1" s="1"/>
  <c r="V5" i="1" s="1"/>
  <c r="V6" i="1" s="1"/>
  <c r="W2" i="1"/>
  <c r="S9" i="1"/>
  <c r="M15" i="1"/>
  <c r="H20" i="1"/>
  <c r="T8" i="1"/>
  <c r="K17" i="1"/>
  <c r="O13" i="1"/>
  <c r="N14" i="1"/>
  <c r="F22" i="1"/>
  <c r="R10" i="1"/>
  <c r="P12" i="1"/>
  <c r="Q11" i="1"/>
  <c r="U7" i="1"/>
  <c r="L16" i="1"/>
  <c r="I19" i="1"/>
  <c r="G19" i="1" l="1"/>
  <c r="J16" i="1"/>
  <c r="E21" i="1"/>
  <c r="W3" i="1"/>
  <c r="W4" i="1" s="1"/>
  <c r="W5" i="1" s="1"/>
  <c r="W6" i="1" s="1"/>
  <c r="X2" i="1"/>
  <c r="N15" i="1"/>
  <c r="S10" i="1"/>
  <c r="O14" i="1"/>
  <c r="M16" i="1"/>
  <c r="Q12" i="1"/>
  <c r="U8" i="1"/>
  <c r="K18" i="1"/>
  <c r="R11" i="1"/>
  <c r="H21" i="1"/>
  <c r="V7" i="1"/>
  <c r="T9" i="1"/>
  <c r="P13" i="1"/>
  <c r="I20" i="1"/>
  <c r="L17" i="1"/>
  <c r="G20" i="1" l="1"/>
  <c r="E22" i="1"/>
  <c r="J17" i="1"/>
  <c r="X3" i="1"/>
  <c r="X4" i="1" s="1"/>
  <c r="X5" i="1" s="1"/>
  <c r="X6" i="1" s="1"/>
  <c r="Y2" i="1"/>
  <c r="M17" i="1"/>
  <c r="P14" i="1"/>
  <c r="Q13" i="1"/>
  <c r="N16" i="1"/>
  <c r="H22" i="1"/>
  <c r="V8" i="1"/>
  <c r="R12" i="1"/>
  <c r="U9" i="1"/>
  <c r="S11" i="1"/>
  <c r="T10" i="1"/>
  <c r="W7" i="1"/>
  <c r="K19" i="1"/>
  <c r="O15" i="1"/>
  <c r="L18" i="1"/>
  <c r="I21" i="1"/>
  <c r="J18" i="1" l="1"/>
  <c r="G21" i="1"/>
  <c r="Y3" i="1"/>
  <c r="Y4" i="1" s="1"/>
  <c r="Y5" i="1" s="1"/>
  <c r="Y6" i="1" s="1"/>
  <c r="Z2" i="1"/>
  <c r="P15" i="1"/>
  <c r="S12" i="1"/>
  <c r="X7" i="1"/>
  <c r="O16" i="1"/>
  <c r="V9" i="1"/>
  <c r="K20" i="1"/>
  <c r="T11" i="1"/>
  <c r="R13" i="1"/>
  <c r="Q14" i="1"/>
  <c r="M18" i="1"/>
  <c r="W8" i="1"/>
  <c r="U10" i="1"/>
  <c r="N17" i="1"/>
  <c r="I22" i="1"/>
  <c r="L19" i="1"/>
  <c r="G22" i="1" l="1"/>
  <c r="J19" i="1"/>
  <c r="Z3" i="1"/>
  <c r="Z4" i="1" s="1"/>
  <c r="Z5" i="1" s="1"/>
  <c r="Z6" i="1" s="1"/>
  <c r="AA2" i="1"/>
  <c r="N18" i="1"/>
  <c r="P16" i="1"/>
  <c r="M19" i="1"/>
  <c r="K21" i="1"/>
  <c r="V10" i="1"/>
  <c r="S13" i="1"/>
  <c r="Q15" i="1"/>
  <c r="W9" i="1"/>
  <c r="T12" i="1"/>
  <c r="Y7" i="1"/>
  <c r="X8" i="1"/>
  <c r="U11" i="1"/>
  <c r="R14" i="1"/>
  <c r="O17" i="1"/>
  <c r="L20" i="1"/>
  <c r="J20" i="1" l="1"/>
  <c r="AA3" i="1"/>
  <c r="AA4" i="1" s="1"/>
  <c r="AA5" i="1" s="1"/>
  <c r="AA6" i="1" s="1"/>
  <c r="AB2" i="1"/>
  <c r="Z7" i="1"/>
  <c r="M20" i="1"/>
  <c r="O18" i="1"/>
  <c r="W10" i="1"/>
  <c r="K22" i="1"/>
  <c r="N19" i="1"/>
  <c r="X9" i="1"/>
  <c r="T13" i="1"/>
  <c r="V11" i="1"/>
  <c r="Q16" i="1"/>
  <c r="U12" i="1"/>
  <c r="R15" i="1"/>
  <c r="Y8" i="1"/>
  <c r="S14" i="1"/>
  <c r="P17" i="1"/>
  <c r="L21" i="1"/>
  <c r="J21" i="1" l="1"/>
  <c r="AB3" i="1"/>
  <c r="AB4" i="1" s="1"/>
  <c r="AB5" i="1" s="1"/>
  <c r="AB6" i="1" s="1"/>
  <c r="AC2" i="1"/>
  <c r="Z8" i="1"/>
  <c r="U13" i="1"/>
  <c r="W11" i="1"/>
  <c r="V12" i="1"/>
  <c r="M21" i="1"/>
  <c r="AA7" i="1"/>
  <c r="N20" i="1"/>
  <c r="O19" i="1"/>
  <c r="S15" i="1"/>
  <c r="T14" i="1"/>
  <c r="P18" i="1"/>
  <c r="R16" i="1"/>
  <c r="Y9" i="1"/>
  <c r="Q17" i="1"/>
  <c r="X10" i="1"/>
  <c r="L22" i="1"/>
  <c r="J22" i="1" l="1"/>
  <c r="AC3" i="1"/>
  <c r="AC4" i="1" s="1"/>
  <c r="AC5" i="1" s="1"/>
  <c r="AC6" i="1" s="1"/>
  <c r="AD2" i="1"/>
  <c r="Q18" i="1"/>
  <c r="P19" i="1"/>
  <c r="X11" i="1"/>
  <c r="R17" i="1"/>
  <c r="O20" i="1"/>
  <c r="V13" i="1"/>
  <c r="Z9" i="1"/>
  <c r="N21" i="1"/>
  <c r="AB7" i="1"/>
  <c r="S16" i="1"/>
  <c r="M22" i="1"/>
  <c r="U14" i="1"/>
  <c r="Y10" i="1"/>
  <c r="T15" i="1"/>
  <c r="AA8" i="1"/>
  <c r="W12" i="1"/>
  <c r="AD3" i="1" l="1"/>
  <c r="AD4" i="1" s="1"/>
  <c r="AD5" i="1" s="1"/>
  <c r="AD6" i="1" s="1"/>
  <c r="AE2" i="1"/>
  <c r="P20" i="1"/>
  <c r="X12" i="1"/>
  <c r="T16" i="1"/>
  <c r="S17" i="1"/>
  <c r="R18" i="1"/>
  <c r="Q19" i="1"/>
  <c r="Y11" i="1"/>
  <c r="Z10" i="1"/>
  <c r="AA9" i="1"/>
  <c r="N22" i="1"/>
  <c r="O21" i="1"/>
  <c r="AC7" i="1"/>
  <c r="W13" i="1"/>
  <c r="U15" i="1"/>
  <c r="AB8" i="1"/>
  <c r="V14" i="1"/>
  <c r="AE3" i="1" l="1"/>
  <c r="AE4" i="1" s="1"/>
  <c r="AE5" i="1" s="1"/>
  <c r="AE6" i="1" s="1"/>
  <c r="AF2" i="1"/>
  <c r="Q20" i="1"/>
  <c r="T17" i="1"/>
  <c r="P21" i="1"/>
  <c r="AB9" i="1"/>
  <c r="S18" i="1"/>
  <c r="V15" i="1"/>
  <c r="X13" i="1"/>
  <c r="U16" i="1"/>
  <c r="O22" i="1"/>
  <c r="Y12" i="1"/>
  <c r="AD7" i="1"/>
  <c r="AC8" i="1"/>
  <c r="Z11" i="1"/>
  <c r="W14" i="1"/>
  <c r="AA10" i="1"/>
  <c r="R19" i="1"/>
  <c r="AF3" i="1" l="1"/>
  <c r="AF4" i="1" s="1"/>
  <c r="AF5" i="1" s="1"/>
  <c r="AF6" i="1" s="1"/>
  <c r="AG2" i="1"/>
  <c r="AC9" i="1"/>
  <c r="S19" i="1"/>
  <c r="AA11" i="1"/>
  <c r="U17" i="1"/>
  <c r="Q21" i="1"/>
  <c r="Z12" i="1"/>
  <c r="V16" i="1"/>
  <c r="T18" i="1"/>
  <c r="R20" i="1"/>
  <c r="AE7" i="1"/>
  <c r="Y13" i="1"/>
  <c r="X14" i="1"/>
  <c r="P22" i="1"/>
  <c r="W15" i="1"/>
  <c r="AD8" i="1"/>
  <c r="AB10" i="1"/>
  <c r="AG3" i="1" l="1"/>
  <c r="AG4" i="1" s="1"/>
  <c r="AG5" i="1" s="1"/>
  <c r="AG6" i="1" s="1"/>
  <c r="AH2" i="1"/>
  <c r="W16" i="1"/>
  <c r="Y14" i="1"/>
  <c r="T19" i="1"/>
  <c r="U18" i="1"/>
  <c r="AD9" i="1"/>
  <c r="X15" i="1"/>
  <c r="R21" i="1"/>
  <c r="Q22" i="1"/>
  <c r="AC10" i="1"/>
  <c r="AF7" i="1"/>
  <c r="Z13" i="1"/>
  <c r="S20" i="1"/>
  <c r="AB11" i="1"/>
  <c r="AE8" i="1"/>
  <c r="V17" i="1"/>
  <c r="AA12" i="1"/>
  <c r="AH3" i="1" l="1"/>
  <c r="AH4" i="1" s="1"/>
  <c r="AH5" i="1" s="1"/>
  <c r="AH6" i="1" s="1"/>
  <c r="AI2" i="1"/>
  <c r="AF8" i="1"/>
  <c r="U19" i="1"/>
  <c r="AE9" i="1"/>
  <c r="Z14" i="1"/>
  <c r="AC11" i="1"/>
  <c r="AD10" i="1"/>
  <c r="W17" i="1"/>
  <c r="V18" i="1"/>
  <c r="S21" i="1"/>
  <c r="X16" i="1"/>
  <c r="Y15" i="1"/>
  <c r="AA13" i="1"/>
  <c r="AB12" i="1"/>
  <c r="AG7" i="1"/>
  <c r="R22" i="1"/>
  <c r="T20" i="1"/>
  <c r="AI3" i="1" l="1"/>
  <c r="AI4" i="1" s="1"/>
  <c r="AI5" i="1" s="1"/>
  <c r="AI6" i="1" s="1"/>
  <c r="AJ2" i="1"/>
  <c r="AB13" i="1"/>
  <c r="W18" i="1"/>
  <c r="AE10" i="1"/>
  <c r="AG8" i="1"/>
  <c r="X17" i="1"/>
  <c r="AH7" i="1"/>
  <c r="Z15" i="1"/>
  <c r="Y16" i="1"/>
  <c r="V19" i="1"/>
  <c r="AC12" i="1"/>
  <c r="AF9" i="1"/>
  <c r="T21" i="1"/>
  <c r="AA14" i="1"/>
  <c r="S22" i="1"/>
  <c r="AD11" i="1"/>
  <c r="U20" i="1"/>
  <c r="AJ3" i="1" l="1"/>
  <c r="AJ4" i="1" s="1"/>
  <c r="AJ5" i="1" s="1"/>
  <c r="AJ6" i="1" s="1"/>
  <c r="AK2" i="1"/>
  <c r="Z16" i="1"/>
  <c r="AF10" i="1"/>
  <c r="V20" i="1"/>
  <c r="AG9" i="1"/>
  <c r="X18" i="1"/>
  <c r="T22" i="1"/>
  <c r="Y17" i="1"/>
  <c r="W19" i="1"/>
  <c r="AA15" i="1"/>
  <c r="AE11" i="1"/>
  <c r="AC13" i="1"/>
  <c r="AB14" i="1"/>
  <c r="AD12" i="1"/>
  <c r="AI7" i="1"/>
  <c r="U21" i="1"/>
  <c r="AH8" i="1"/>
  <c r="AK3" i="1" l="1"/>
  <c r="AK4" i="1" s="1"/>
  <c r="AK5" i="1" s="1"/>
  <c r="AK6" i="1" s="1"/>
  <c r="AL2" i="1"/>
  <c r="AE12" i="1"/>
  <c r="V21" i="1"/>
  <c r="U22" i="1"/>
  <c r="AC14" i="1"/>
  <c r="Y18" i="1"/>
  <c r="AG10" i="1"/>
  <c r="Z17" i="1"/>
  <c r="AI8" i="1"/>
  <c r="AH9" i="1"/>
  <c r="W20" i="1"/>
  <c r="AJ7" i="1"/>
  <c r="AB15" i="1"/>
  <c r="AD13" i="1"/>
  <c r="AA16" i="1"/>
  <c r="X19" i="1"/>
  <c r="AF11" i="1"/>
  <c r="AL3" i="1" l="1"/>
  <c r="AL4" i="1" s="1"/>
  <c r="AL5" i="1" s="1"/>
  <c r="AL6" i="1" s="1"/>
  <c r="AM2" i="1"/>
  <c r="AD14" i="1"/>
  <c r="AJ8" i="1"/>
  <c r="AI9" i="1"/>
  <c r="AC15" i="1"/>
  <c r="AA17" i="1"/>
  <c r="AB16" i="1"/>
  <c r="Y19" i="1"/>
  <c r="AE13" i="1"/>
  <c r="X20" i="1"/>
  <c r="AK7" i="1"/>
  <c r="AH10" i="1"/>
  <c r="AG11" i="1"/>
  <c r="V22" i="1"/>
  <c r="AF12" i="1"/>
  <c r="W21" i="1"/>
  <c r="Z18" i="1"/>
  <c r="AM3" i="1" l="1"/>
  <c r="AM4" i="1" s="1"/>
  <c r="AM5" i="1" s="1"/>
  <c r="AM6" i="1" s="1"/>
  <c r="AN2" i="1"/>
  <c r="AF13" i="1"/>
  <c r="AL7" i="1"/>
  <c r="AI10" i="1"/>
  <c r="AH11" i="1"/>
  <c r="Y20" i="1"/>
  <c r="AC16" i="1"/>
  <c r="AK8" i="1"/>
  <c r="W22" i="1"/>
  <c r="AG12" i="1"/>
  <c r="AE14" i="1"/>
  <c r="AA18" i="1"/>
  <c r="AD15" i="1"/>
  <c r="Z19" i="1"/>
  <c r="X21" i="1"/>
  <c r="AB17" i="1"/>
  <c r="AJ9" i="1"/>
  <c r="AN3" i="1" l="1"/>
  <c r="AN4" i="1" s="1"/>
  <c r="AN5" i="1" s="1"/>
  <c r="AO2" i="1"/>
  <c r="AG13" i="1"/>
  <c r="AN6" i="1"/>
  <c r="AM7" i="1"/>
  <c r="X22" i="1"/>
  <c r="AE15" i="1"/>
  <c r="AH12" i="1"/>
  <c r="AF14" i="1"/>
  <c r="Z20" i="1"/>
  <c r="AB18" i="1"/>
  <c r="AA19" i="1"/>
  <c r="AK9" i="1"/>
  <c r="Y21" i="1"/>
  <c r="AL8" i="1"/>
  <c r="AJ10" i="1"/>
  <c r="AD16" i="1"/>
  <c r="AC17" i="1"/>
  <c r="AI11" i="1"/>
  <c r="AO3" i="1" l="1"/>
  <c r="AO4" i="1" s="1"/>
  <c r="AO5" i="1" s="1"/>
  <c r="AO6" i="1" s="1"/>
  <c r="AP2" i="1"/>
  <c r="AJ11" i="1"/>
  <c r="AH13" i="1"/>
  <c r="AM8" i="1"/>
  <c r="AD17" i="1"/>
  <c r="AK10" i="1"/>
  <c r="AF15" i="1"/>
  <c r="AA20" i="1"/>
  <c r="AC18" i="1"/>
  <c r="Y22" i="1"/>
  <c r="Z21" i="1"/>
  <c r="AE16" i="1"/>
  <c r="AG14" i="1"/>
  <c r="AI12" i="1"/>
  <c r="AL9" i="1"/>
  <c r="AB19" i="1"/>
  <c r="AN7" i="1"/>
  <c r="AP3" i="1" l="1"/>
  <c r="AP4" i="1" s="1"/>
  <c r="AP5" i="1" s="1"/>
  <c r="AP6" i="1" s="1"/>
  <c r="AQ2" i="1"/>
  <c r="AL10" i="1"/>
  <c r="AD18" i="1"/>
  <c r="AB20" i="1"/>
  <c r="AE17" i="1"/>
  <c r="AA21" i="1"/>
  <c r="AK11" i="1"/>
  <c r="AJ12" i="1"/>
  <c r="Z22" i="1"/>
  <c r="AO7" i="1"/>
  <c r="AG15" i="1"/>
  <c r="AC19" i="1"/>
  <c r="AF16" i="1"/>
  <c r="AH14" i="1"/>
  <c r="AN8" i="1"/>
  <c r="AI13" i="1"/>
  <c r="AM9" i="1"/>
  <c r="AQ3" i="1" l="1"/>
  <c r="AQ4" i="1" s="1"/>
  <c r="AQ5" i="1" s="1"/>
  <c r="AQ6" i="1" s="1"/>
  <c r="AR2" i="1"/>
  <c r="AN9" i="1"/>
  <c r="AG16" i="1"/>
  <c r="AJ13" i="1"/>
  <c r="AB21" i="1"/>
  <c r="AI14" i="1"/>
  <c r="AC20" i="1"/>
  <c r="AE18" i="1"/>
  <c r="AL11" i="1"/>
  <c r="AP7" i="1"/>
  <c r="AF17" i="1"/>
  <c r="AA22" i="1"/>
  <c r="AM10" i="1"/>
  <c r="AH15" i="1"/>
  <c r="AO8" i="1"/>
  <c r="AK12" i="1"/>
  <c r="AD19" i="1"/>
  <c r="AR3" i="1" l="1"/>
  <c r="AR4" i="1" s="1"/>
  <c r="AR5" i="1" s="1"/>
  <c r="AR6" i="1" s="1"/>
  <c r="AS2" i="1"/>
  <c r="AF18" i="1"/>
  <c r="AE19" i="1"/>
  <c r="AB22" i="1"/>
  <c r="AO9" i="1"/>
  <c r="AL12" i="1"/>
  <c r="AI15" i="1"/>
  <c r="AN10" i="1"/>
  <c r="AH16" i="1"/>
  <c r="AK13" i="1"/>
  <c r="AQ7" i="1"/>
  <c r="AC21" i="1"/>
  <c r="AG17" i="1"/>
  <c r="AD20" i="1"/>
  <c r="AM11" i="1"/>
  <c r="AP8" i="1"/>
  <c r="AJ14" i="1"/>
  <c r="AS3" i="1" l="1"/>
  <c r="AS4" i="1" s="1"/>
  <c r="AS5" i="1" s="1"/>
  <c r="AS6" i="1" s="1"/>
  <c r="AT2" i="1"/>
  <c r="AM12" i="1"/>
  <c r="AN11" i="1"/>
  <c r="AP9" i="1"/>
  <c r="AC22" i="1"/>
  <c r="AH17" i="1"/>
  <c r="AO10" i="1"/>
  <c r="AR7" i="1"/>
  <c r="AG18" i="1"/>
  <c r="AK14" i="1"/>
  <c r="AL13" i="1"/>
  <c r="AF19" i="1"/>
  <c r="AJ15" i="1"/>
  <c r="AD21" i="1"/>
  <c r="AQ8" i="1"/>
  <c r="AI16" i="1"/>
  <c r="AE20" i="1"/>
  <c r="AT3" i="1" l="1"/>
  <c r="AT4" i="1" s="1"/>
  <c r="AT5" i="1" s="1"/>
  <c r="AT6" i="1" s="1"/>
  <c r="AU2" i="1"/>
  <c r="AK15" i="1"/>
  <c r="AP10" i="1"/>
  <c r="AQ9" i="1"/>
  <c r="AL14" i="1"/>
  <c r="AM13" i="1"/>
  <c r="AD22" i="1"/>
  <c r="AI17" i="1"/>
  <c r="AF20" i="1"/>
  <c r="AR8" i="1"/>
  <c r="AH18" i="1"/>
  <c r="AS7" i="1"/>
  <c r="AE21" i="1"/>
  <c r="AJ16" i="1"/>
  <c r="AG19" i="1"/>
  <c r="AO11" i="1"/>
  <c r="AN12" i="1"/>
  <c r="AU3" i="1" l="1"/>
  <c r="AU4" i="1" s="1"/>
  <c r="AU5" i="1" s="1"/>
  <c r="AU6" i="1" s="1"/>
  <c r="AV2" i="1"/>
  <c r="AJ17" i="1"/>
  <c r="AM14" i="1"/>
  <c r="AP11" i="1"/>
  <c r="AG20" i="1"/>
  <c r="AH19" i="1"/>
  <c r="AQ10" i="1"/>
  <c r="AR9" i="1"/>
  <c r="AO12" i="1"/>
  <c r="AS8" i="1"/>
  <c r="AI18" i="1"/>
  <c r="AL15" i="1"/>
  <c r="AK16" i="1"/>
  <c r="AN13" i="1"/>
  <c r="AE22" i="1"/>
  <c r="AF21" i="1"/>
  <c r="AT7" i="1"/>
  <c r="AV3" i="1" l="1"/>
  <c r="AV4" i="1" s="1"/>
  <c r="AV5" i="1" s="1"/>
  <c r="AV6" i="1" s="1"/>
  <c r="AW2" i="1"/>
  <c r="AG21" i="1"/>
  <c r="AF22" i="1"/>
  <c r="AL16" i="1"/>
  <c r="AR10" i="1"/>
  <c r="AH20" i="1"/>
  <c r="AJ18" i="1"/>
  <c r="AI19" i="1"/>
  <c r="AU7" i="1"/>
  <c r="AK17" i="1"/>
  <c r="AO13" i="1"/>
  <c r="AQ11" i="1"/>
  <c r="AM15" i="1"/>
  <c r="AT8" i="1"/>
  <c r="AN14" i="1"/>
  <c r="AS9" i="1"/>
  <c r="AP12" i="1"/>
  <c r="AW3" i="1" l="1"/>
  <c r="AW4" i="1" s="1"/>
  <c r="AW5" i="1" s="1"/>
  <c r="AW6" i="1" s="1"/>
  <c r="AX2" i="1"/>
  <c r="AN15" i="1"/>
  <c r="AL17" i="1"/>
  <c r="AS10" i="1"/>
  <c r="AQ12" i="1"/>
  <c r="AI20" i="1"/>
  <c r="AR11" i="1"/>
  <c r="AO14" i="1"/>
  <c r="AV7" i="1"/>
  <c r="AM16" i="1"/>
  <c r="AU8" i="1"/>
  <c r="AH21" i="1"/>
  <c r="AG22" i="1"/>
  <c r="AP13" i="1"/>
  <c r="AT9" i="1"/>
  <c r="AK18" i="1"/>
  <c r="AJ19" i="1"/>
  <c r="AX3" i="1" l="1"/>
  <c r="AX4" i="1" s="1"/>
  <c r="AX5" i="1" s="1"/>
  <c r="AX6" i="1" s="1"/>
  <c r="AY2" i="1"/>
  <c r="AM17" i="1"/>
  <c r="AR12" i="1"/>
  <c r="AL18" i="1"/>
  <c r="AT10" i="1"/>
  <c r="AU9" i="1"/>
  <c r="AW7" i="1"/>
  <c r="AS11" i="1"/>
  <c r="AP14" i="1"/>
  <c r="AK19" i="1"/>
  <c r="AH22" i="1"/>
  <c r="AO15" i="1"/>
  <c r="AQ13" i="1"/>
  <c r="AN16" i="1"/>
  <c r="AJ20" i="1"/>
  <c r="AV8" i="1"/>
  <c r="AI21" i="1"/>
  <c r="AY3" i="1" l="1"/>
  <c r="AZ2" i="1"/>
  <c r="AO16" i="1"/>
  <c r="AT11" i="1"/>
  <c r="AK20" i="1"/>
  <c r="AR13" i="1"/>
  <c r="AJ21" i="1"/>
  <c r="AS12" i="1"/>
  <c r="AL19" i="1"/>
  <c r="AV9" i="1"/>
  <c r="AI22" i="1"/>
  <c r="AQ14" i="1"/>
  <c r="AP15" i="1"/>
  <c r="AU10" i="1"/>
  <c r="AM18" i="1"/>
  <c r="AX7" i="1"/>
  <c r="AN17" i="1"/>
  <c r="AW8" i="1"/>
  <c r="AZ3" i="1" l="1"/>
  <c r="C3" i="3"/>
  <c r="F3" i="3"/>
  <c r="I3" i="3"/>
  <c r="E3" i="3"/>
  <c r="G3" i="3"/>
  <c r="AY4" i="1"/>
  <c r="E4" i="3"/>
  <c r="Q4" i="3" s="1"/>
  <c r="R4" i="3" s="1"/>
  <c r="AE4" i="3" s="1"/>
  <c r="AF4" i="3" s="1"/>
  <c r="AP16" i="1"/>
  <c r="AV10" i="1"/>
  <c r="AR14" i="1"/>
  <c r="AN18" i="1"/>
  <c r="AU11" i="1"/>
  <c r="AJ22" i="1"/>
  <c r="AO17" i="1"/>
  <c r="AX8" i="1"/>
  <c r="AW9" i="1"/>
  <c r="AM19" i="1"/>
  <c r="AS13" i="1"/>
  <c r="AT12" i="1"/>
  <c r="AQ15" i="1"/>
  <c r="AL20" i="1"/>
  <c r="AK21" i="1"/>
  <c r="AZ4" i="1" l="1"/>
  <c r="G5" i="3" s="1"/>
  <c r="BC3" i="1"/>
  <c r="BB3" i="1"/>
  <c r="F4" i="3"/>
  <c r="S4" i="3" s="1"/>
  <c r="T4" i="3" s="1"/>
  <c r="AC4" i="3" s="1"/>
  <c r="AD4" i="3" s="1"/>
  <c r="C4" i="3"/>
  <c r="I4" i="3"/>
  <c r="G4" i="3"/>
  <c r="U4" i="3" s="1"/>
  <c r="V4" i="3" s="1"/>
  <c r="AA4" i="3" s="1"/>
  <c r="AB4" i="3" s="1"/>
  <c r="AY5" i="1"/>
  <c r="I5" i="3"/>
  <c r="F5" i="3"/>
  <c r="S5" i="3" s="1"/>
  <c r="T5" i="3" s="1"/>
  <c r="AC5" i="3" s="1"/>
  <c r="AD5" i="3" s="1"/>
  <c r="L3" i="3"/>
  <c r="H3" i="3" s="1" a="1"/>
  <c r="H3" i="3" s="1"/>
  <c r="D3" i="3" a="1"/>
  <c r="D3" i="3" s="1"/>
  <c r="AQ16" i="1"/>
  <c r="AW10" i="1"/>
  <c r="AR15" i="1"/>
  <c r="AM20" i="1"/>
  <c r="AK22" i="1"/>
  <c r="AS14" i="1"/>
  <c r="AU12" i="1"/>
  <c r="AP17" i="1"/>
  <c r="AT13" i="1"/>
  <c r="AV11" i="1"/>
  <c r="AX9" i="1"/>
  <c r="AL21" i="1"/>
  <c r="AO18" i="1"/>
  <c r="AN19" i="1"/>
  <c r="C5" i="3" l="1"/>
  <c r="E5" i="3"/>
  <c r="Q5" i="3" s="1"/>
  <c r="R5" i="3" s="1"/>
  <c r="AE5" i="3" s="1"/>
  <c r="AF5" i="3" s="1"/>
  <c r="AZ5" i="1"/>
  <c r="I6" i="3" s="1"/>
  <c r="BB4" i="1"/>
  <c r="BC4" i="1"/>
  <c r="L4" i="3"/>
  <c r="D4" i="3" s="1" a="1"/>
  <c r="D4" i="3" s="1"/>
  <c r="N4" i="3" s="1"/>
  <c r="O4" i="3" s="1"/>
  <c r="P4" i="3" s="1"/>
  <c r="U5" i="3"/>
  <c r="V5" i="3" s="1"/>
  <c r="AA5" i="3" s="1"/>
  <c r="AB5" i="3" s="1"/>
  <c r="L5" i="3"/>
  <c r="AY6" i="1"/>
  <c r="F6" i="3"/>
  <c r="S6" i="3" s="1"/>
  <c r="T6" i="3" s="1"/>
  <c r="AC6" i="3" s="1"/>
  <c r="AD6" i="3" s="1"/>
  <c r="K4" i="3"/>
  <c r="AT14" i="1"/>
  <c r="AQ17" i="1"/>
  <c r="AL22" i="1"/>
  <c r="AV12" i="1"/>
  <c r="AS15" i="1"/>
  <c r="AW11" i="1"/>
  <c r="AX10" i="1"/>
  <c r="AU13" i="1"/>
  <c r="AR16" i="1"/>
  <c r="AO19" i="1"/>
  <c r="AN20" i="1"/>
  <c r="AP18" i="1"/>
  <c r="AM21" i="1"/>
  <c r="D5" i="3" l="1" a="1"/>
  <c r="D5" i="3" s="1"/>
  <c r="N5" i="3" s="1"/>
  <c r="O5" i="3" s="1"/>
  <c r="P5" i="3" s="1"/>
  <c r="C6" i="3"/>
  <c r="G6" i="3"/>
  <c r="E6" i="3"/>
  <c r="Q6" i="3" s="1"/>
  <c r="R6" i="3" s="1"/>
  <c r="AE6" i="3" s="1"/>
  <c r="AF6" i="3" s="1"/>
  <c r="H4" i="3" a="1"/>
  <c r="H4" i="3" s="1"/>
  <c r="W4" i="3" s="1"/>
  <c r="X4" i="3" s="1"/>
  <c r="Y4" i="3" s="1"/>
  <c r="Z4" i="3" s="1"/>
  <c r="AZ6" i="1"/>
  <c r="E7" i="3" s="1"/>
  <c r="Q7" i="3" s="1"/>
  <c r="R7" i="3" s="1"/>
  <c r="AE7" i="3" s="1"/>
  <c r="AF7" i="3" s="1"/>
  <c r="BC5" i="1"/>
  <c r="BB5" i="1"/>
  <c r="U6" i="3"/>
  <c r="V6" i="3" s="1"/>
  <c r="AA6" i="3" s="1"/>
  <c r="AB6" i="3" s="1"/>
  <c r="AY7" i="1"/>
  <c r="C7" i="3"/>
  <c r="F7" i="3"/>
  <c r="S7" i="3" s="1"/>
  <c r="T7" i="3" s="1"/>
  <c r="AC7" i="3" s="1"/>
  <c r="AD7" i="3" s="1"/>
  <c r="H5" i="3" a="1"/>
  <c r="H5" i="3" s="1"/>
  <c r="W5" i="3" s="1"/>
  <c r="X5" i="3" s="1"/>
  <c r="Y5" i="3" s="1"/>
  <c r="Z5" i="3" s="1"/>
  <c r="K5" i="3"/>
  <c r="AO20" i="1"/>
  <c r="AU14" i="1"/>
  <c r="AV13" i="1"/>
  <c r="AN21" i="1"/>
  <c r="AR17" i="1"/>
  <c r="AS16" i="1"/>
  <c r="AT15" i="1"/>
  <c r="AW12" i="1"/>
  <c r="AQ18" i="1"/>
  <c r="AM22" i="1"/>
  <c r="AX11" i="1"/>
  <c r="AP19" i="1"/>
  <c r="I7" i="3" l="1"/>
  <c r="L6" i="3"/>
  <c r="K6" i="3" s="1"/>
  <c r="G7" i="3"/>
  <c r="BC6" i="1"/>
  <c r="BB6" i="1"/>
  <c r="AZ7" i="1"/>
  <c r="E8" i="3" s="1"/>
  <c r="Q8" i="3" s="1"/>
  <c r="R8" i="3" s="1"/>
  <c r="AE8" i="3" s="1"/>
  <c r="AF8" i="3" s="1"/>
  <c r="U7" i="3"/>
  <c r="V7" i="3" s="1"/>
  <c r="AA7" i="3" s="1"/>
  <c r="AB7" i="3" s="1"/>
  <c r="L7" i="3"/>
  <c r="D7" i="3" s="1" a="1"/>
  <c r="D7" i="3" s="1"/>
  <c r="N7" i="3" s="1"/>
  <c r="O7" i="3" s="1"/>
  <c r="P7" i="3" s="1"/>
  <c r="AY8" i="1"/>
  <c r="H6" i="3" a="1"/>
  <c r="H6" i="3" s="1"/>
  <c r="W6" i="3" s="1"/>
  <c r="X6" i="3" s="1"/>
  <c r="Y6" i="3" s="1"/>
  <c r="Z6" i="3" s="1"/>
  <c r="D6" i="3" a="1"/>
  <c r="D6" i="3" s="1"/>
  <c r="N6" i="3" s="1"/>
  <c r="O6" i="3" s="1"/>
  <c r="P6" i="3" s="1"/>
  <c r="AX12" i="1"/>
  <c r="AW13" i="1"/>
  <c r="AN22" i="1"/>
  <c r="AQ19" i="1"/>
  <c r="AR18" i="1"/>
  <c r="AO21" i="1"/>
  <c r="AT16" i="1"/>
  <c r="AP20" i="1"/>
  <c r="AS17" i="1"/>
  <c r="AU15" i="1"/>
  <c r="AV14" i="1"/>
  <c r="I8" i="3" l="1"/>
  <c r="C8" i="3"/>
  <c r="G8" i="3"/>
  <c r="U8" i="3" s="1"/>
  <c r="V8" i="3" s="1"/>
  <c r="AA8" i="3" s="1"/>
  <c r="AB8" i="3" s="1"/>
  <c r="F8" i="3"/>
  <c r="S8" i="3" s="1"/>
  <c r="T8" i="3" s="1"/>
  <c r="AC8" i="3" s="1"/>
  <c r="AD8" i="3" s="1"/>
  <c r="BB7" i="1"/>
  <c r="BC7" i="1"/>
  <c r="AZ8" i="1"/>
  <c r="I9" i="3" s="1"/>
  <c r="K7" i="3"/>
  <c r="H7" i="3" a="1"/>
  <c r="H7" i="3" s="1"/>
  <c r="W7" i="3" s="1"/>
  <c r="X7" i="3" s="1"/>
  <c r="Y7" i="3" s="1"/>
  <c r="Z7" i="3" s="1"/>
  <c r="AY9" i="1"/>
  <c r="AP21" i="1"/>
  <c r="AX13" i="1"/>
  <c r="AV15" i="1"/>
  <c r="AT17" i="1"/>
  <c r="AQ20" i="1"/>
  <c r="AU16" i="1"/>
  <c r="AR19" i="1"/>
  <c r="AS18" i="1"/>
  <c r="AO22" i="1"/>
  <c r="AW14" i="1"/>
  <c r="L8" i="3" l="1"/>
  <c r="F9" i="3"/>
  <c r="S9" i="3" s="1"/>
  <c r="T9" i="3" s="1"/>
  <c r="AC9" i="3" s="1"/>
  <c r="AD9" i="3" s="1"/>
  <c r="G9" i="3"/>
  <c r="E9" i="3"/>
  <c r="Q9" i="3" s="1"/>
  <c r="R9" i="3" s="1"/>
  <c r="AE9" i="3" s="1"/>
  <c r="AF9" i="3" s="1"/>
  <c r="C9" i="3"/>
  <c r="BB8" i="1"/>
  <c r="BC8" i="1"/>
  <c r="AZ9" i="1"/>
  <c r="I10" i="3" s="1"/>
  <c r="D8" i="3" a="1"/>
  <c r="D8" i="3" s="1"/>
  <c r="N8" i="3" s="1"/>
  <c r="O8" i="3" s="1"/>
  <c r="P8" i="3" s="1"/>
  <c r="K8" i="3"/>
  <c r="H8" i="3" a="1"/>
  <c r="H8" i="3" s="1"/>
  <c r="W8" i="3" s="1"/>
  <c r="X8" i="3" s="1"/>
  <c r="Y8" i="3" s="1"/>
  <c r="Z8" i="3" s="1"/>
  <c r="AY10" i="1"/>
  <c r="E10" i="3"/>
  <c r="Q10" i="3" s="1"/>
  <c r="R10" i="3" s="1"/>
  <c r="AE10" i="3" s="1"/>
  <c r="AF10" i="3" s="1"/>
  <c r="AW15" i="1"/>
  <c r="AT18" i="1"/>
  <c r="AR20" i="1"/>
  <c r="AQ21" i="1"/>
  <c r="AP22" i="1"/>
  <c r="AS19" i="1"/>
  <c r="AU17" i="1"/>
  <c r="AX14" i="1"/>
  <c r="AV16" i="1"/>
  <c r="F10" i="3" l="1"/>
  <c r="S10" i="3" s="1"/>
  <c r="T10" i="3" s="1"/>
  <c r="AC10" i="3" s="1"/>
  <c r="AD10" i="3" s="1"/>
  <c r="C10" i="3"/>
  <c r="G10" i="3"/>
  <c r="U10" i="3" s="1"/>
  <c r="V10" i="3" s="1"/>
  <c r="AA10" i="3" s="1"/>
  <c r="AB10" i="3" s="1"/>
  <c r="L9" i="3"/>
  <c r="H9" i="3" s="1" a="1"/>
  <c r="H9" i="3" s="1"/>
  <c r="W9" i="3" s="1"/>
  <c r="X9" i="3" s="1"/>
  <c r="Y9" i="3" s="1"/>
  <c r="Z9" i="3" s="1"/>
  <c r="U9" i="3"/>
  <c r="V9" i="3" s="1"/>
  <c r="AA9" i="3" s="1"/>
  <c r="AB9" i="3" s="1"/>
  <c r="BB9" i="1"/>
  <c r="BC9" i="1"/>
  <c r="AZ10" i="1"/>
  <c r="E11" i="3" s="1"/>
  <c r="Q11" i="3" s="1"/>
  <c r="R11" i="3" s="1"/>
  <c r="AE11" i="3" s="1"/>
  <c r="AF11" i="3" s="1"/>
  <c r="AY11" i="1"/>
  <c r="G11" i="3"/>
  <c r="AV17" i="1"/>
  <c r="AU18" i="1"/>
  <c r="AQ22" i="1"/>
  <c r="AW16" i="1"/>
  <c r="AX15" i="1"/>
  <c r="AT19" i="1"/>
  <c r="AS20" i="1"/>
  <c r="AR21" i="1"/>
  <c r="L10" i="3" l="1"/>
  <c r="D10" i="3" s="1" a="1"/>
  <c r="D10" i="3" s="1"/>
  <c r="N10" i="3" s="1"/>
  <c r="O10" i="3" s="1"/>
  <c r="P10" i="3" s="1"/>
  <c r="D9" i="3" a="1"/>
  <c r="D9" i="3" s="1"/>
  <c r="N9" i="3" s="1"/>
  <c r="O9" i="3" s="1"/>
  <c r="P9" i="3" s="1"/>
  <c r="K9" i="3"/>
  <c r="I11" i="3"/>
  <c r="F11" i="3"/>
  <c r="S11" i="3" s="1"/>
  <c r="T11" i="3" s="1"/>
  <c r="AC11" i="3" s="1"/>
  <c r="AD11" i="3" s="1"/>
  <c r="C11" i="3"/>
  <c r="H10" i="3" a="1"/>
  <c r="H10" i="3" s="1"/>
  <c r="W10" i="3" s="1"/>
  <c r="X10" i="3" s="1"/>
  <c r="Y10" i="3" s="1"/>
  <c r="Z10" i="3" s="1"/>
  <c r="BB10" i="1"/>
  <c r="BC10" i="1"/>
  <c r="AZ11" i="1"/>
  <c r="C12" i="3" s="1"/>
  <c r="K10" i="3"/>
  <c r="AY12" i="1"/>
  <c r="U11" i="3"/>
  <c r="V11" i="3" s="1"/>
  <c r="AA11" i="3" s="1"/>
  <c r="AB11" i="3" s="1"/>
  <c r="L11" i="3"/>
  <c r="AX16" i="1"/>
  <c r="AV18" i="1"/>
  <c r="AW17" i="1"/>
  <c r="AS21" i="1"/>
  <c r="AR22" i="1"/>
  <c r="AT20" i="1"/>
  <c r="AU19" i="1"/>
  <c r="E12" i="3" l="1"/>
  <c r="Q12" i="3" s="1"/>
  <c r="R12" i="3" s="1"/>
  <c r="AE12" i="3" s="1"/>
  <c r="AF12" i="3" s="1"/>
  <c r="F12" i="3"/>
  <c r="S12" i="3" s="1"/>
  <c r="T12" i="3" s="1"/>
  <c r="AC12" i="3" s="1"/>
  <c r="AD12" i="3" s="1"/>
  <c r="G12" i="3"/>
  <c r="U12" i="3" s="1"/>
  <c r="V12" i="3" s="1"/>
  <c r="AA12" i="3" s="1"/>
  <c r="AB12" i="3" s="1"/>
  <c r="I12" i="3"/>
  <c r="BC11" i="1"/>
  <c r="BB11" i="1"/>
  <c r="AZ12" i="1"/>
  <c r="E13" i="3" s="1"/>
  <c r="Q13" i="3" s="1"/>
  <c r="R13" i="3" s="1"/>
  <c r="AE13" i="3" s="1"/>
  <c r="AF13" i="3" s="1"/>
  <c r="H11" i="3" a="1"/>
  <c r="H11" i="3" s="1"/>
  <c r="W11" i="3" s="1"/>
  <c r="X11" i="3" s="1"/>
  <c r="Y11" i="3" s="1"/>
  <c r="Z11" i="3" s="1"/>
  <c r="K11" i="3"/>
  <c r="AY13" i="1"/>
  <c r="F13" i="3"/>
  <c r="S13" i="3" s="1"/>
  <c r="T13" i="3" s="1"/>
  <c r="AC13" i="3" s="1"/>
  <c r="AD13" i="3" s="1"/>
  <c r="D11" i="3" a="1"/>
  <c r="D11" i="3" s="1"/>
  <c r="N11" i="3" s="1"/>
  <c r="O11" i="3" s="1"/>
  <c r="P11" i="3" s="1"/>
  <c r="AS22" i="1"/>
  <c r="AX17" i="1"/>
  <c r="AV19" i="1"/>
  <c r="AT21" i="1"/>
  <c r="AW18" i="1"/>
  <c r="AU20" i="1"/>
  <c r="I13" i="3" l="1"/>
  <c r="L12" i="3"/>
  <c r="D12" i="3" s="1" a="1"/>
  <c r="D12" i="3" s="1"/>
  <c r="N12" i="3" s="1"/>
  <c r="O12" i="3" s="1"/>
  <c r="P12" i="3" s="1"/>
  <c r="C13" i="3"/>
  <c r="G13" i="3"/>
  <c r="U13" i="3" s="1"/>
  <c r="V13" i="3" s="1"/>
  <c r="AA13" i="3" s="1"/>
  <c r="AB13" i="3" s="1"/>
  <c r="BB12" i="1"/>
  <c r="BC12" i="1"/>
  <c r="AZ13" i="1"/>
  <c r="C14" i="3" s="1"/>
  <c r="AY14" i="1"/>
  <c r="AU21" i="1"/>
  <c r="AV20" i="1"/>
  <c r="AW19" i="1"/>
  <c r="AT22" i="1"/>
  <c r="AX18" i="1"/>
  <c r="H12" i="3" l="1" a="1"/>
  <c r="H12" i="3" s="1"/>
  <c r="W12" i="3" s="1"/>
  <c r="X12" i="3" s="1"/>
  <c r="Y12" i="3" s="1"/>
  <c r="Z12" i="3" s="1"/>
  <c r="K12" i="3"/>
  <c r="E14" i="3"/>
  <c r="Q14" i="3" s="1"/>
  <c r="R14" i="3" s="1"/>
  <c r="AE14" i="3" s="1"/>
  <c r="AF14" i="3" s="1"/>
  <c r="F14" i="3"/>
  <c r="S14" i="3" s="1"/>
  <c r="T14" i="3" s="1"/>
  <c r="AC14" i="3" s="1"/>
  <c r="AD14" i="3" s="1"/>
  <c r="L13" i="3"/>
  <c r="H13" i="3" s="1" a="1"/>
  <c r="H13" i="3" s="1"/>
  <c r="W13" i="3" s="1"/>
  <c r="X13" i="3" s="1"/>
  <c r="Y13" i="3" s="1"/>
  <c r="Z13" i="3" s="1"/>
  <c r="G14" i="3"/>
  <c r="U14" i="3" s="1"/>
  <c r="V14" i="3" s="1"/>
  <c r="AA14" i="3" s="1"/>
  <c r="AB14" i="3" s="1"/>
  <c r="I14" i="3"/>
  <c r="BB13" i="1"/>
  <c r="BC13" i="1"/>
  <c r="AZ14" i="1"/>
  <c r="F15" i="3" s="1"/>
  <c r="S15" i="3" s="1"/>
  <c r="T15" i="3" s="1"/>
  <c r="AC15" i="3" s="1"/>
  <c r="AD15" i="3" s="1"/>
  <c r="AY15" i="1"/>
  <c r="E15" i="3"/>
  <c r="Q15" i="3" s="1"/>
  <c r="R15" i="3" s="1"/>
  <c r="AE15" i="3" s="1"/>
  <c r="AF15" i="3" s="1"/>
  <c r="D13" i="3" a="1"/>
  <c r="D13" i="3" s="1"/>
  <c r="N13" i="3" s="1"/>
  <c r="O13" i="3" s="1"/>
  <c r="P13" i="3" s="1"/>
  <c r="AU22" i="1"/>
  <c r="AV21" i="1"/>
  <c r="AX19" i="1"/>
  <c r="AW20" i="1"/>
  <c r="K13" i="3" l="1"/>
  <c r="G15" i="3"/>
  <c r="L15" i="3" s="1"/>
  <c r="K15" i="3" s="1"/>
  <c r="L14" i="3"/>
  <c r="H14" i="3" s="1" a="1"/>
  <c r="H14" i="3" s="1"/>
  <c r="W14" i="3" s="1"/>
  <c r="X14" i="3" s="1"/>
  <c r="Y14" i="3" s="1"/>
  <c r="Z14" i="3" s="1"/>
  <c r="C15" i="3"/>
  <c r="BC14" i="1"/>
  <c r="BB14" i="1"/>
  <c r="AZ15" i="1"/>
  <c r="I16" i="3" s="1"/>
  <c r="I15" i="3"/>
  <c r="AY16" i="1"/>
  <c r="AV22" i="1"/>
  <c r="AW21" i="1"/>
  <c r="AX20" i="1"/>
  <c r="U15" i="3" l="1"/>
  <c r="V15" i="3" s="1"/>
  <c r="AA15" i="3" s="1"/>
  <c r="AB15" i="3" s="1"/>
  <c r="F16" i="3"/>
  <c r="S16" i="3" s="1"/>
  <c r="T16" i="3" s="1"/>
  <c r="AC16" i="3" s="1"/>
  <c r="AD16" i="3" s="1"/>
  <c r="E16" i="3"/>
  <c r="Q16" i="3" s="1"/>
  <c r="R16" i="3" s="1"/>
  <c r="AE16" i="3" s="1"/>
  <c r="AF16" i="3" s="1"/>
  <c r="C16" i="3"/>
  <c r="G16" i="3"/>
  <c r="U16" i="3" s="1"/>
  <c r="V16" i="3" s="1"/>
  <c r="AA16" i="3" s="1"/>
  <c r="AB16" i="3" s="1"/>
  <c r="K14" i="3"/>
  <c r="D14" i="3" a="1"/>
  <c r="D14" i="3" s="1"/>
  <c r="N14" i="3" s="1"/>
  <c r="O14" i="3" s="1"/>
  <c r="P14" i="3" s="1"/>
  <c r="BB15" i="1"/>
  <c r="BC15" i="1"/>
  <c r="AZ16" i="1"/>
  <c r="G17" i="3" s="1"/>
  <c r="AY17" i="1"/>
  <c r="H15" i="3" a="1"/>
  <c r="H15" i="3" s="1"/>
  <c r="W15" i="3" s="1"/>
  <c r="X15" i="3" s="1"/>
  <c r="Y15" i="3" s="1"/>
  <c r="Z15" i="3" s="1"/>
  <c r="D15" i="3" a="1"/>
  <c r="D15" i="3" s="1"/>
  <c r="N15" i="3" s="1"/>
  <c r="O15" i="3" s="1"/>
  <c r="P15" i="3" s="1"/>
  <c r="AW22" i="1"/>
  <c r="AX21" i="1"/>
  <c r="L16" i="3" l="1"/>
  <c r="H16" i="3" s="1" a="1"/>
  <c r="H16" i="3" s="1"/>
  <c r="W16" i="3" s="1"/>
  <c r="X16" i="3" s="1"/>
  <c r="Y16" i="3" s="1"/>
  <c r="Z16" i="3" s="1"/>
  <c r="C17" i="3"/>
  <c r="E17" i="3"/>
  <c r="Q17" i="3" s="1"/>
  <c r="R17" i="3" s="1"/>
  <c r="AE17" i="3" s="1"/>
  <c r="AF17" i="3" s="1"/>
  <c r="I17" i="3"/>
  <c r="F17" i="3"/>
  <c r="S17" i="3" s="1"/>
  <c r="T17" i="3" s="1"/>
  <c r="AC17" i="3" s="1"/>
  <c r="AD17" i="3" s="1"/>
  <c r="BC16" i="1"/>
  <c r="BB16" i="1"/>
  <c r="AZ17" i="1"/>
  <c r="C18" i="3" s="1"/>
  <c r="U17" i="3"/>
  <c r="V17" i="3" s="1"/>
  <c r="AA17" i="3" s="1"/>
  <c r="AB17" i="3" s="1"/>
  <c r="AY18" i="1"/>
  <c r="AX22" i="1"/>
  <c r="F18" i="3" l="1"/>
  <c r="S18" i="3" s="1"/>
  <c r="T18" i="3" s="1"/>
  <c r="AC18" i="3" s="1"/>
  <c r="AD18" i="3" s="1"/>
  <c r="K16" i="3"/>
  <c r="I18" i="3"/>
  <c r="D16" i="3" a="1"/>
  <c r="D16" i="3" s="1"/>
  <c r="N16" i="3" s="1"/>
  <c r="O16" i="3" s="1"/>
  <c r="P16" i="3" s="1"/>
  <c r="L17" i="3"/>
  <c r="H17" i="3" s="1" a="1"/>
  <c r="H17" i="3" s="1"/>
  <c r="W17" i="3" s="1"/>
  <c r="X17" i="3" s="1"/>
  <c r="Y17" i="3" s="1"/>
  <c r="Z17" i="3" s="1"/>
  <c r="G18" i="3"/>
  <c r="U18" i="3" s="1"/>
  <c r="V18" i="3" s="1"/>
  <c r="AA18" i="3" s="1"/>
  <c r="AB18" i="3" s="1"/>
  <c r="E18" i="3"/>
  <c r="Q18" i="3" s="1"/>
  <c r="R18" i="3" s="1"/>
  <c r="AE18" i="3" s="1"/>
  <c r="AF18" i="3" s="1"/>
  <c r="BC17" i="1"/>
  <c r="BB17" i="1"/>
  <c r="AZ18" i="1"/>
  <c r="E19" i="3" s="1"/>
  <c r="Q19" i="3" s="1"/>
  <c r="R19" i="3" s="1"/>
  <c r="AE19" i="3" s="1"/>
  <c r="AF19" i="3" s="1"/>
  <c r="AY19" i="1"/>
  <c r="G19" i="3"/>
  <c r="C19" i="3"/>
  <c r="F19" i="3"/>
  <c r="S19" i="3" s="1"/>
  <c r="T19" i="3" s="1"/>
  <c r="AC19" i="3" s="1"/>
  <c r="AD19" i="3" s="1"/>
  <c r="K17" i="3" l="1"/>
  <c r="D17" i="3" a="1"/>
  <c r="D17" i="3" s="1"/>
  <c r="N17" i="3" s="1"/>
  <c r="O17" i="3" s="1"/>
  <c r="P17" i="3" s="1"/>
  <c r="L18" i="3"/>
  <c r="D18" i="3" s="1" a="1"/>
  <c r="D18" i="3" s="1"/>
  <c r="N18" i="3" s="1"/>
  <c r="O18" i="3" s="1"/>
  <c r="P18" i="3" s="1"/>
  <c r="I19" i="3"/>
  <c r="H18" i="3" a="1"/>
  <c r="H18" i="3" s="1"/>
  <c r="W18" i="3" s="1"/>
  <c r="X18" i="3" s="1"/>
  <c r="Y18" i="3" s="1"/>
  <c r="Z18" i="3" s="1"/>
  <c r="K18" i="3"/>
  <c r="BB18" i="1"/>
  <c r="BC18" i="1"/>
  <c r="AZ19" i="1"/>
  <c r="I20" i="3" s="1"/>
  <c r="U19" i="3"/>
  <c r="V19" i="3" s="1"/>
  <c r="AA19" i="3" s="1"/>
  <c r="AB19" i="3" s="1"/>
  <c r="L19" i="3"/>
  <c r="H19" i="3" s="1" a="1"/>
  <c r="H19" i="3" s="1"/>
  <c r="W19" i="3" s="1"/>
  <c r="X19" i="3" s="1"/>
  <c r="Y19" i="3" s="1"/>
  <c r="Z19" i="3" s="1"/>
  <c r="AY20" i="1"/>
  <c r="G20" i="3" l="1"/>
  <c r="F20" i="3"/>
  <c r="S20" i="3" s="1"/>
  <c r="T20" i="3" s="1"/>
  <c r="AC20" i="3" s="1"/>
  <c r="AD20" i="3" s="1"/>
  <c r="E20" i="3"/>
  <c r="Q20" i="3" s="1"/>
  <c r="R20" i="3" s="1"/>
  <c r="AE20" i="3" s="1"/>
  <c r="AF20" i="3" s="1"/>
  <c r="C20" i="3"/>
  <c r="BB19" i="1"/>
  <c r="BC19" i="1"/>
  <c r="AZ20" i="1"/>
  <c r="E21" i="3" s="1"/>
  <c r="Q21" i="3" s="1"/>
  <c r="R21" i="3" s="1"/>
  <c r="AE21" i="3" s="1"/>
  <c r="AF21" i="3" s="1"/>
  <c r="K19" i="3"/>
  <c r="U20" i="3"/>
  <c r="V20" i="3" s="1"/>
  <c r="AA20" i="3" s="1"/>
  <c r="AB20" i="3" s="1"/>
  <c r="AY21" i="1"/>
  <c r="D19" i="3" a="1"/>
  <c r="D19" i="3" s="1"/>
  <c r="N19" i="3" s="1"/>
  <c r="O19" i="3" s="1"/>
  <c r="P19" i="3" s="1"/>
  <c r="C21" i="3" l="1"/>
  <c r="I21" i="3"/>
  <c r="G21" i="3"/>
  <c r="L21" i="3" s="1"/>
  <c r="H21" i="3" s="1" a="1"/>
  <c r="H21" i="3" s="1"/>
  <c r="W21" i="3" s="1"/>
  <c r="X21" i="3" s="1"/>
  <c r="Y21" i="3" s="1"/>
  <c r="Z21" i="3" s="1"/>
  <c r="L20" i="3"/>
  <c r="H20" i="3" s="1" a="1"/>
  <c r="H20" i="3" s="1"/>
  <c r="W20" i="3" s="1"/>
  <c r="X20" i="3" s="1"/>
  <c r="Y20" i="3" s="1"/>
  <c r="Z20" i="3" s="1"/>
  <c r="F21" i="3"/>
  <c r="S21" i="3" s="1"/>
  <c r="T21" i="3" s="1"/>
  <c r="AC21" i="3" s="1"/>
  <c r="AD21" i="3" s="1"/>
  <c r="BB20" i="1"/>
  <c r="BC20" i="1"/>
  <c r="AZ21" i="1"/>
  <c r="C22" i="3" s="1"/>
  <c r="AY22" i="1"/>
  <c r="K20" i="3" l="1"/>
  <c r="D20" i="3" a="1"/>
  <c r="D20" i="3" s="1"/>
  <c r="N20" i="3" s="1"/>
  <c r="O20" i="3" s="1"/>
  <c r="P20" i="3" s="1"/>
  <c r="E22" i="3"/>
  <c r="Q22" i="3" s="1"/>
  <c r="R22" i="3" s="1"/>
  <c r="AE22" i="3" s="1"/>
  <c r="AF22" i="3" s="1"/>
  <c r="F22" i="3"/>
  <c r="S22" i="3" s="1"/>
  <c r="T22" i="3" s="1"/>
  <c r="AC22" i="3" s="1"/>
  <c r="AD22" i="3" s="1"/>
  <c r="U21" i="3"/>
  <c r="V21" i="3" s="1"/>
  <c r="AA21" i="3" s="1"/>
  <c r="AB21" i="3" s="1"/>
  <c r="G22" i="3"/>
  <c r="K21" i="3"/>
  <c r="I22" i="3"/>
  <c r="BC21" i="1"/>
  <c r="BB21" i="1"/>
  <c r="AZ22" i="1"/>
  <c r="F23" i="3" s="1"/>
  <c r="S23" i="3" s="1"/>
  <c r="T23" i="3" s="1"/>
  <c r="AC23" i="3" s="1"/>
  <c r="AD23" i="3" s="1"/>
  <c r="D21" i="3" a="1"/>
  <c r="D21" i="3" s="1"/>
  <c r="N21" i="3" s="1"/>
  <c r="O21" i="3" s="1"/>
  <c r="P21" i="3" s="1"/>
  <c r="L22" i="3" l="1"/>
  <c r="H22" i="3" s="1" a="1"/>
  <c r="H22" i="3" s="1"/>
  <c r="W22" i="3" s="1"/>
  <c r="X22" i="3" s="1"/>
  <c r="Y22" i="3" s="1"/>
  <c r="Z22" i="3" s="1"/>
  <c r="U22" i="3"/>
  <c r="V22" i="3" s="1"/>
  <c r="AA22" i="3" s="1"/>
  <c r="AB22" i="3" s="1"/>
  <c r="E23" i="3"/>
  <c r="Q23" i="3" s="1"/>
  <c r="R23" i="3" s="1"/>
  <c r="AE23" i="3" s="1"/>
  <c r="AF23" i="3" s="1"/>
  <c r="G23" i="3"/>
  <c r="U23" i="3" s="1"/>
  <c r="V23" i="3" s="1"/>
  <c r="AA23" i="3" s="1"/>
  <c r="AB23" i="3" s="1"/>
  <c r="I23" i="3"/>
  <c r="C23" i="3"/>
  <c r="K22" i="3"/>
  <c r="BC22" i="1"/>
  <c r="BB22" i="1"/>
  <c r="D22" i="3" a="1"/>
  <c r="D22" i="3" s="1"/>
  <c r="N22" i="3" s="1"/>
  <c r="O22" i="3" s="1"/>
  <c r="P22" i="3" s="1"/>
  <c r="L23" i="3" l="1"/>
  <c r="D23" i="3" s="1" a="1"/>
  <c r="D23" i="3" s="1"/>
  <c r="N23" i="3" s="1"/>
  <c r="O23" i="3" s="1"/>
  <c r="P23" i="3" s="1"/>
  <c r="K23" i="3" l="1"/>
  <c r="H23" i="3" a="1"/>
  <c r="H23" i="3" s="1"/>
  <c r="W23" i="3" s="1"/>
  <c r="X23" i="3" s="1"/>
  <c r="Y23" i="3" s="1"/>
  <c r="Z23" i="3" s="1"/>
</calcChain>
</file>

<file path=xl/sharedStrings.xml><?xml version="1.0" encoding="utf-8"?>
<sst xmlns="http://schemas.openxmlformats.org/spreadsheetml/2006/main" count="8" uniqueCount="7">
  <si>
    <t>min</t>
  </si>
  <si>
    <t>1q</t>
  </si>
  <si>
    <t>med</t>
  </si>
  <si>
    <t>3q</t>
  </si>
  <si>
    <t>max</t>
  </si>
  <si>
    <t>DIQ</t>
  </si>
  <si>
    <t>bigode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</si>
</sst>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69466316710421"/>
          <c:y val="5.0925925925925923E-2"/>
          <c:w val="0.83874978127734034"/>
          <c:h val="0.76169181977252942"/>
        </c:manualLayout>
      </c:layout>
      <c:lineChart>
        <c:grouping val="standard"/>
        <c:varyColors val="0"/>
        <c:ser>
          <c:idx val="1"/>
          <c:order val="0"/>
          <c:tx>
            <c:v>a = 0,2</c:v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Dados!$B$2:$B$22</c:f>
              <c:numCache>
                <c:formatCode>General</c:formatCode>
                <c:ptCount val="21"/>
                <c:pt idx="0">
                  <c:v>1</c:v>
                </c:pt>
                <c:pt idx="1">
                  <c:v>1.2214027581601699</c:v>
                </c:pt>
                <c:pt idx="2">
                  <c:v>1.4918246976412703</c:v>
                </c:pt>
                <c:pt idx="3">
                  <c:v>1.8221188003905091</c:v>
                </c:pt>
                <c:pt idx="4">
                  <c:v>2.2255409284924679</c:v>
                </c:pt>
                <c:pt idx="5">
                  <c:v>2.7182818284590455</c:v>
                </c:pt>
                <c:pt idx="6">
                  <c:v>3.3201169227365481</c:v>
                </c:pt>
                <c:pt idx="7">
                  <c:v>4.0551999668446754</c:v>
                </c:pt>
                <c:pt idx="8">
                  <c:v>4.9530324243951158</c:v>
                </c:pt>
                <c:pt idx="9">
                  <c:v>6.0496474644129474</c:v>
                </c:pt>
                <c:pt idx="10">
                  <c:v>7.3890560989306522</c:v>
                </c:pt>
                <c:pt idx="11">
                  <c:v>9.0250134994341238</c:v>
                </c:pt>
                <c:pt idx="12">
                  <c:v>11.023176380641605</c:v>
                </c:pt>
                <c:pt idx="13">
                  <c:v>13.463738035001695</c:v>
                </c:pt>
                <c:pt idx="14">
                  <c:v>16.444646771097055</c:v>
                </c:pt>
                <c:pt idx="15">
                  <c:v>20.085536923187675</c:v>
                </c:pt>
                <c:pt idx="16">
                  <c:v>24.532530197109359</c:v>
                </c:pt>
                <c:pt idx="17">
                  <c:v>29.964100047397029</c:v>
                </c:pt>
                <c:pt idx="18">
                  <c:v>36.59823444367801</c:v>
                </c:pt>
                <c:pt idx="19">
                  <c:v>44.70118449330085</c:v>
                </c:pt>
                <c:pt idx="20">
                  <c:v>54.598150033144272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01-4BAC-ACB3-440B91EB0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831592"/>
        <c:axId val="369829240"/>
      </c:lineChart>
      <c:catAx>
        <c:axId val="36983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00"/>
                  <a:t>tempo </a:t>
                </a:r>
                <a:r>
                  <a:rPr lang="pt-BR" sz="10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69829240"/>
        <c:crosses val="autoZero"/>
        <c:auto val="1"/>
        <c:lblAlgn val="ctr"/>
        <c:lblOffset val="100"/>
        <c:tickLblSkip val="1"/>
        <c:noMultiLvlLbl val="0"/>
      </c:catAx>
      <c:valAx>
        <c:axId val="36982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pt-BR" sz="12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6983159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69466316710421"/>
          <c:y val="5.0925925925925923E-2"/>
          <c:w val="0.83874978127734034"/>
          <c:h val="0.76169181977252942"/>
        </c:manualLayout>
      </c:layout>
      <c:lineChart>
        <c:grouping val="standard"/>
        <c:varyColors val="0"/>
        <c:ser>
          <c:idx val="1"/>
          <c:order val="0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Dados!$C$2:$C$22</c:f>
              <c:numCache>
                <c:formatCode>General</c:formatCode>
                <c:ptCount val="21"/>
                <c:pt idx="0">
                  <c:v>1</c:v>
                </c:pt>
                <c:pt idx="1">
                  <c:v>1.2763203784818988</c:v>
                </c:pt>
                <c:pt idx="2">
                  <c:v>1.6202071018393045</c:v>
                </c:pt>
                <c:pt idx="3">
                  <c:v>2.0244114251467296</c:v>
                </c:pt>
                <c:pt idx="4">
                  <c:v>2.5880079822686706</c:v>
                </c:pt>
                <c:pt idx="5">
                  <c:v>3.2884141248926735</c:v>
                </c:pt>
                <c:pt idx="6">
                  <c:v>4.0712785063040018</c:v>
                </c:pt>
                <c:pt idx="7">
                  <c:v>5.4086479741837552</c:v>
                </c:pt>
                <c:pt idx="8">
                  <c:v>6.9430885046699915</c:v>
                </c:pt>
                <c:pt idx="9">
                  <c:v>8.4919310828202814</c:v>
                </c:pt>
                <c:pt idx="10">
                  <c:v>10.732577262539891</c:v>
                </c:pt>
                <c:pt idx="11">
                  <c:v>14.321318458770683</c:v>
                </c:pt>
                <c:pt idx="12">
                  <c:v>18.720316629576285</c:v>
                </c:pt>
                <c:pt idx="13">
                  <c:v>23.807033712768181</c:v>
                </c:pt>
                <c:pt idx="14">
                  <c:v>32.106376717343025</c:v>
                </c:pt>
                <c:pt idx="15">
                  <c:v>41.956936721093406</c:v>
                </c:pt>
                <c:pt idx="16">
                  <c:v>55.993592412616962</c:v>
                </c:pt>
                <c:pt idx="17">
                  <c:v>70.444776254027801</c:v>
                </c:pt>
                <c:pt idx="18">
                  <c:v>87.830476780356307</c:v>
                </c:pt>
                <c:pt idx="19">
                  <c:v>109.43945339959988</c:v>
                </c:pt>
                <c:pt idx="20">
                  <c:v>144.11332102270129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A-4578-BBFE-F9BC21A0002B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Dados!$D$2:$D$22</c:f>
              <c:numCache>
                <c:formatCode>General</c:formatCode>
                <c:ptCount val="21"/>
                <c:pt idx="0">
                  <c:v>1</c:v>
                </c:pt>
                <c:pt idx="1">
                  <c:v>1.2854765017336924</c:v>
                </c:pt>
                <c:pt idx="2">
                  <c:v>1.681828172580248</c:v>
                </c:pt>
                <c:pt idx="3">
                  <c:v>2.057185946415808</c:v>
                </c:pt>
                <c:pt idx="4">
                  <c:v>2.6160713762237804</c:v>
                </c:pt>
                <c:pt idx="5">
                  <c:v>3.3929098856697557</c:v>
                </c:pt>
                <c:pt idx="6">
                  <c:v>4.3556213010168081</c:v>
                </c:pt>
                <c:pt idx="7">
                  <c:v>5.4872037837592176</c:v>
                </c:pt>
                <c:pt idx="8">
                  <c:v>7.0484147676150588</c:v>
                </c:pt>
                <c:pt idx="9">
                  <c:v>8.7755851156594691</c:v>
                </c:pt>
                <c:pt idx="10">
                  <c:v>10.764868110089923</c:v>
                </c:pt>
                <c:pt idx="11">
                  <c:v>13.56881047904373</c:v>
                </c:pt>
                <c:pt idx="12">
                  <c:v>17.715720741391042</c:v>
                </c:pt>
                <c:pt idx="13">
                  <c:v>21.849453022142278</c:v>
                </c:pt>
                <c:pt idx="14">
                  <c:v>29.433806586511182</c:v>
                </c:pt>
                <c:pt idx="15">
                  <c:v>36.386304158527231</c:v>
                </c:pt>
                <c:pt idx="16">
                  <c:v>48.730020607734353</c:v>
                </c:pt>
                <c:pt idx="17">
                  <c:v>64.369546272803063</c:v>
                </c:pt>
                <c:pt idx="18">
                  <c:v>83.851740046245197</c:v>
                </c:pt>
                <c:pt idx="19">
                  <c:v>109.96469447046375</c:v>
                </c:pt>
                <c:pt idx="20">
                  <c:v>147.926835629397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CA-4578-BBFE-F9BC21A0002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Dados!$E$2:$E$22</c:f>
              <c:numCache>
                <c:formatCode>General</c:formatCode>
                <c:ptCount val="21"/>
                <c:pt idx="0">
                  <c:v>1</c:v>
                </c:pt>
                <c:pt idx="1">
                  <c:v>1.2556499739800377</c:v>
                </c:pt>
                <c:pt idx="2">
                  <c:v>1.5858833724303933</c:v>
                </c:pt>
                <c:pt idx="3">
                  <c:v>2.0705546188077251</c:v>
                </c:pt>
                <c:pt idx="4">
                  <c:v>2.6089807356342565</c:v>
                </c:pt>
                <c:pt idx="5">
                  <c:v>3.2124592589333489</c:v>
                </c:pt>
                <c:pt idx="6">
                  <c:v>3.9610105245385903</c:v>
                </c:pt>
                <c:pt idx="7">
                  <c:v>5.0036950109186487</c:v>
                </c:pt>
                <c:pt idx="8">
                  <c:v>6.6855496428199039</c:v>
                </c:pt>
                <c:pt idx="9">
                  <c:v>8.3746204839495366</c:v>
                </c:pt>
                <c:pt idx="10">
                  <c:v>10.805694699841323</c:v>
                </c:pt>
                <c:pt idx="11">
                  <c:v>14.083816672553702</c:v>
                </c:pt>
                <c:pt idx="12">
                  <c:v>18.989215304324215</c:v>
                </c:pt>
                <c:pt idx="13">
                  <c:v>23.652266009709354</c:v>
                </c:pt>
                <c:pt idx="14">
                  <c:v>31.107947113057133</c:v>
                </c:pt>
                <c:pt idx="15">
                  <c:v>38.832199606446189</c:v>
                </c:pt>
                <c:pt idx="16">
                  <c:v>49.585994138437449</c:v>
                </c:pt>
                <c:pt idx="17">
                  <c:v>63.384959166949869</c:v>
                </c:pt>
                <c:pt idx="18">
                  <c:v>84.023995916935263</c:v>
                </c:pt>
                <c:pt idx="19">
                  <c:v>107.58298100938909</c:v>
                </c:pt>
                <c:pt idx="20">
                  <c:v>145.06153227824473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CA-4578-BBFE-F9BC21A0002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Dados!$F$2:$F$22</c:f>
              <c:numCache>
                <c:formatCode>General</c:formatCode>
                <c:ptCount val="21"/>
                <c:pt idx="0">
                  <c:v>1</c:v>
                </c:pt>
                <c:pt idx="1">
                  <c:v>1.2378756719844768</c:v>
                </c:pt>
                <c:pt idx="2">
                  <c:v>1.6432682894687936</c:v>
                </c:pt>
                <c:pt idx="3">
                  <c:v>2.0796335527071821</c:v>
                </c:pt>
                <c:pt idx="4">
                  <c:v>2.766263406128636</c:v>
                </c:pt>
                <c:pt idx="5">
                  <c:v>3.3963328578453771</c:v>
                </c:pt>
                <c:pt idx="6">
                  <c:v>4.4616382388941513</c:v>
                </c:pt>
                <c:pt idx="7">
                  <c:v>5.5786701562248755</c:v>
                </c:pt>
                <c:pt idx="8">
                  <c:v>6.9813007493670405</c:v>
                </c:pt>
                <c:pt idx="9">
                  <c:v>8.6480266483007817</c:v>
                </c:pt>
                <c:pt idx="10">
                  <c:v>11.390010639518435</c:v>
                </c:pt>
                <c:pt idx="11">
                  <c:v>14.999525592468469</c:v>
                </c:pt>
                <c:pt idx="12">
                  <c:v>19.187495736659738</c:v>
                </c:pt>
                <c:pt idx="13">
                  <c:v>25.027951150872084</c:v>
                </c:pt>
                <c:pt idx="14">
                  <c:v>32.446466438340074</c:v>
                </c:pt>
                <c:pt idx="15">
                  <c:v>41.166789968680817</c:v>
                </c:pt>
                <c:pt idx="16">
                  <c:v>53.740815632518277</c:v>
                </c:pt>
                <c:pt idx="17">
                  <c:v>71.339863933293699</c:v>
                </c:pt>
                <c:pt idx="18">
                  <c:v>90.050835223573515</c:v>
                </c:pt>
                <c:pt idx="19">
                  <c:v>112.05805260312307</c:v>
                </c:pt>
                <c:pt idx="20">
                  <c:v>139.75008512696743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CA-4578-BBFE-F9BC21A0002B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Dados!$G$2:$G$22</c:f>
              <c:numCache>
                <c:formatCode>General</c:formatCode>
                <c:ptCount val="21"/>
                <c:pt idx="0">
                  <c:v>1</c:v>
                </c:pt>
                <c:pt idx="1">
                  <c:v>1.2382934719861596</c:v>
                </c:pt>
                <c:pt idx="2">
                  <c:v>1.6368170200556453</c:v>
                </c:pt>
                <c:pt idx="3">
                  <c:v>2.0701867919346983</c:v>
                </c:pt>
                <c:pt idx="4">
                  <c:v>2.5899969955778479</c:v>
                </c:pt>
                <c:pt idx="5">
                  <c:v>3.4483875992518218</c:v>
                </c:pt>
                <c:pt idx="6">
                  <c:v>4.4686585131108263</c:v>
                </c:pt>
                <c:pt idx="7">
                  <c:v>5.519763203528651</c:v>
                </c:pt>
                <c:pt idx="8">
                  <c:v>7.4098585550984239</c:v>
                </c:pt>
                <c:pt idx="9">
                  <c:v>9.5028879268409856</c:v>
                </c:pt>
                <c:pt idx="10">
                  <c:v>11.713650918139219</c:v>
                </c:pt>
                <c:pt idx="11">
                  <c:v>14.456348541264804</c:v>
                </c:pt>
                <c:pt idx="12">
                  <c:v>18.249337984615941</c:v>
                </c:pt>
                <c:pt idx="13">
                  <c:v>23.910720473570468</c:v>
                </c:pt>
                <c:pt idx="14">
                  <c:v>31.186529610686566</c:v>
                </c:pt>
                <c:pt idx="15">
                  <c:v>39.913506537374353</c:v>
                </c:pt>
                <c:pt idx="16">
                  <c:v>51.711778030434999</c:v>
                </c:pt>
                <c:pt idx="17">
                  <c:v>67.960689032134027</c:v>
                </c:pt>
                <c:pt idx="18">
                  <c:v>83.417417094291196</c:v>
                </c:pt>
                <c:pt idx="19">
                  <c:v>102.11891900448808</c:v>
                </c:pt>
                <c:pt idx="20">
                  <c:v>130.10456712554185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CA-4578-BBFE-F9BC21A0002B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Dados!$H$2:$H$22</c:f>
              <c:numCache>
                <c:formatCode>General</c:formatCode>
                <c:ptCount val="21"/>
                <c:pt idx="0">
                  <c:v>1</c:v>
                </c:pt>
                <c:pt idx="1">
                  <c:v>1.2456660758598241</c:v>
                </c:pt>
                <c:pt idx="2">
                  <c:v>1.637930405214207</c:v>
                </c:pt>
                <c:pt idx="3">
                  <c:v>2.1953382676414148</c:v>
                </c:pt>
                <c:pt idx="4">
                  <c:v>2.8009692210437853</c:v>
                </c:pt>
                <c:pt idx="5">
                  <c:v>3.5875714709681423</c:v>
                </c:pt>
                <c:pt idx="6">
                  <c:v>4.5483624232602189</c:v>
                </c:pt>
                <c:pt idx="7">
                  <c:v>5.6224396828660899</c:v>
                </c:pt>
                <c:pt idx="8">
                  <c:v>7.2160180297842889</c:v>
                </c:pt>
                <c:pt idx="9">
                  <c:v>9.1654868182235667</c:v>
                </c:pt>
                <c:pt idx="10">
                  <c:v>11.632785237108195</c:v>
                </c:pt>
                <c:pt idx="11">
                  <c:v>15.019314882357419</c:v>
                </c:pt>
                <c:pt idx="12">
                  <c:v>18.980804452679607</c:v>
                </c:pt>
                <c:pt idx="13">
                  <c:v>23.187762933083743</c:v>
                </c:pt>
                <c:pt idx="14">
                  <c:v>28.872443321718443</c:v>
                </c:pt>
                <c:pt idx="15">
                  <c:v>38.440822926984183</c:v>
                </c:pt>
                <c:pt idx="16">
                  <c:v>50.673099218170677</c:v>
                </c:pt>
                <c:pt idx="17">
                  <c:v>67.317216887490304</c:v>
                </c:pt>
                <c:pt idx="18">
                  <c:v>85.334213394104907</c:v>
                </c:pt>
                <c:pt idx="19">
                  <c:v>106.51580650928204</c:v>
                </c:pt>
                <c:pt idx="20">
                  <c:v>132.30258769664175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CA-4578-BBFE-F9BC21A0002B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Dados!$I$2:$I$22</c:f>
              <c:numCache>
                <c:formatCode>General</c:formatCode>
                <c:ptCount val="21"/>
                <c:pt idx="0">
                  <c:v>1</c:v>
                </c:pt>
                <c:pt idx="1">
                  <c:v>1.3353172703613236</c:v>
                </c:pt>
                <c:pt idx="2">
                  <c:v>1.7025805675132237</c:v>
                </c:pt>
                <c:pt idx="3">
                  <c:v>2.1119824105185927</c:v>
                </c:pt>
                <c:pt idx="4">
                  <c:v>2.6556348602594109</c:v>
                </c:pt>
                <c:pt idx="5">
                  <c:v>3.2583527312545293</c:v>
                </c:pt>
                <c:pt idx="6">
                  <c:v>4.3712725382385926</c:v>
                </c:pt>
                <c:pt idx="7">
                  <c:v>5.8478091136758534</c:v>
                </c:pt>
                <c:pt idx="8">
                  <c:v>7.7072687782601461</c:v>
                </c:pt>
                <c:pt idx="9">
                  <c:v>10.192772521943812</c:v>
                </c:pt>
                <c:pt idx="10">
                  <c:v>12.666563129780222</c:v>
                </c:pt>
                <c:pt idx="11">
                  <c:v>16.373268926062639</c:v>
                </c:pt>
                <c:pt idx="12">
                  <c:v>20.556242311720354</c:v>
                </c:pt>
                <c:pt idx="13">
                  <c:v>25.499992707934751</c:v>
                </c:pt>
                <c:pt idx="14">
                  <c:v>33.851100962825086</c:v>
                </c:pt>
                <c:pt idx="15">
                  <c:v>41.394386316497041</c:v>
                </c:pt>
                <c:pt idx="16">
                  <c:v>55.278814959236563</c:v>
                </c:pt>
                <c:pt idx="17">
                  <c:v>72.890758829924067</c:v>
                </c:pt>
                <c:pt idx="18">
                  <c:v>97.134885021907223</c:v>
                </c:pt>
                <c:pt idx="19">
                  <c:v>119.5413218823344</c:v>
                </c:pt>
                <c:pt idx="20">
                  <c:v>153.94958410874719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CA-4578-BBFE-F9BC21A0002B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Dados!$J$2:$J$22</c:f>
              <c:numCache>
                <c:formatCode>General</c:formatCode>
                <c:ptCount val="21"/>
                <c:pt idx="0">
                  <c:v>1</c:v>
                </c:pt>
                <c:pt idx="1">
                  <c:v>1.2399216321543394</c:v>
                </c:pt>
                <c:pt idx="2">
                  <c:v>1.664404738316597</c:v>
                </c:pt>
                <c:pt idx="3">
                  <c:v>2.1564412888718003</c:v>
                </c:pt>
                <c:pt idx="4">
                  <c:v>2.8156209895766842</c:v>
                </c:pt>
                <c:pt idx="5">
                  <c:v>3.5236545138820015</c:v>
                </c:pt>
                <c:pt idx="6">
                  <c:v>4.6148575894753447</c:v>
                </c:pt>
                <c:pt idx="7">
                  <c:v>5.7512354128680165</c:v>
                </c:pt>
                <c:pt idx="8">
                  <c:v>7.0564761818170387</c:v>
                </c:pt>
                <c:pt idx="9">
                  <c:v>9.2767749909703401</c:v>
                </c:pt>
                <c:pt idx="10">
                  <c:v>12.066537380826295</c:v>
                </c:pt>
                <c:pt idx="11">
                  <c:v>14.801448101275721</c:v>
                </c:pt>
                <c:pt idx="12">
                  <c:v>19.630622471563431</c:v>
                </c:pt>
                <c:pt idx="13">
                  <c:v>25.022600674608512</c:v>
                </c:pt>
                <c:pt idx="14">
                  <c:v>30.598364295049802</c:v>
                </c:pt>
                <c:pt idx="15">
                  <c:v>40.790409393284705</c:v>
                </c:pt>
                <c:pt idx="16">
                  <c:v>52.034679065492867</c:v>
                </c:pt>
                <c:pt idx="17">
                  <c:v>65.581837344670191</c:v>
                </c:pt>
                <c:pt idx="18">
                  <c:v>80.345427963878706</c:v>
                </c:pt>
                <c:pt idx="19">
                  <c:v>105.95121168628297</c:v>
                </c:pt>
                <c:pt idx="20">
                  <c:v>129.78612635559253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CA-4578-BBFE-F9BC21A0002B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Dados!$K$2:$K$22</c:f>
              <c:numCache>
                <c:formatCode>General</c:formatCode>
                <c:ptCount val="21"/>
                <c:pt idx="0">
                  <c:v>1</c:v>
                </c:pt>
                <c:pt idx="1">
                  <c:v>1.2272651856713765</c:v>
                </c:pt>
                <c:pt idx="2">
                  <c:v>1.5562759650128692</c:v>
                </c:pt>
                <c:pt idx="3">
                  <c:v>2.022645560142232</c:v>
                </c:pt>
                <c:pt idx="4">
                  <c:v>2.5648090304976892</c:v>
                </c:pt>
                <c:pt idx="5">
                  <c:v>3.3842033226404458</c:v>
                </c:pt>
                <c:pt idx="6">
                  <c:v>4.5585084359274637</c:v>
                </c:pt>
                <c:pt idx="7">
                  <c:v>5.9869758477995205</c:v>
                </c:pt>
                <c:pt idx="8">
                  <c:v>7.7608057050981518</c:v>
                </c:pt>
                <c:pt idx="9">
                  <c:v>9.540170450507663</c:v>
                </c:pt>
                <c:pt idx="10">
                  <c:v>11.692220291096529</c:v>
                </c:pt>
                <c:pt idx="11">
                  <c:v>15.408883200898094</c:v>
                </c:pt>
                <c:pt idx="12">
                  <c:v>19.234843044949649</c:v>
                </c:pt>
                <c:pt idx="13">
                  <c:v>23.509353645951844</c:v>
                </c:pt>
                <c:pt idx="14">
                  <c:v>31.102341507641164</c:v>
                </c:pt>
                <c:pt idx="15">
                  <c:v>38.47162046750708</c:v>
                </c:pt>
                <c:pt idx="16">
                  <c:v>48.826595404753341</c:v>
                </c:pt>
                <c:pt idx="17">
                  <c:v>65.479684621513925</c:v>
                </c:pt>
                <c:pt idx="18">
                  <c:v>88.12332751429993</c:v>
                </c:pt>
                <c:pt idx="19">
                  <c:v>113.1175852330252</c:v>
                </c:pt>
                <c:pt idx="20">
                  <c:v>138.25026909418861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CA-4578-BBFE-F9BC21A0002B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Dados!$L$2:$L$22</c:f>
              <c:numCache>
                <c:formatCode>General</c:formatCode>
                <c:ptCount val="21"/>
                <c:pt idx="0">
                  <c:v>1</c:v>
                </c:pt>
                <c:pt idx="1">
                  <c:v>1.2622188143677759</c:v>
                </c:pt>
                <c:pt idx="2">
                  <c:v>1.6693489373473311</c:v>
                </c:pt>
                <c:pt idx="3">
                  <c:v>2.0513216231522295</c:v>
                </c:pt>
                <c:pt idx="4">
                  <c:v>2.7456296286064812</c:v>
                </c:pt>
                <c:pt idx="5">
                  <c:v>3.6513426968688747</c:v>
                </c:pt>
                <c:pt idx="6">
                  <c:v>4.6718896614631111</c:v>
                </c:pt>
                <c:pt idx="7">
                  <c:v>6.1509973685285857</c:v>
                </c:pt>
                <c:pt idx="8">
                  <c:v>7.5900461242392137</c:v>
                </c:pt>
                <c:pt idx="9">
                  <c:v>9.5997170769794522</c:v>
                </c:pt>
                <c:pt idx="10">
                  <c:v>12.088663599258302</c:v>
                </c:pt>
                <c:pt idx="11">
                  <c:v>14.985380381280235</c:v>
                </c:pt>
                <c:pt idx="12">
                  <c:v>19.188012811222379</c:v>
                </c:pt>
                <c:pt idx="13">
                  <c:v>23.59909762665183</c:v>
                </c:pt>
                <c:pt idx="14">
                  <c:v>31.258951195720599</c:v>
                </c:pt>
                <c:pt idx="15">
                  <c:v>40.399781741175623</c:v>
                </c:pt>
                <c:pt idx="16">
                  <c:v>53.549917376189072</c:v>
                </c:pt>
                <c:pt idx="17">
                  <c:v>70.974680662830337</c:v>
                </c:pt>
                <c:pt idx="18">
                  <c:v>91.599909503954009</c:v>
                </c:pt>
                <c:pt idx="19">
                  <c:v>117.40359468429696</c:v>
                </c:pt>
                <c:pt idx="20">
                  <c:v>150.33582503753124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CA-4578-BBFE-F9BC21A0002B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Dados!$M$2:$M$22</c:f>
              <c:numCache>
                <c:formatCode>General</c:formatCode>
                <c:ptCount val="21"/>
                <c:pt idx="0">
                  <c:v>1</c:v>
                </c:pt>
                <c:pt idx="1">
                  <c:v>1.2933521941830846</c:v>
                </c:pt>
                <c:pt idx="2">
                  <c:v>1.6537094083147073</c:v>
                </c:pt>
                <c:pt idx="3">
                  <c:v>2.1056666920091081</c:v>
                </c:pt>
                <c:pt idx="4">
                  <c:v>2.7188080102765819</c:v>
                </c:pt>
                <c:pt idx="5">
                  <c:v>3.6514504065888556</c:v>
                </c:pt>
                <c:pt idx="6">
                  <c:v>4.5483274536287546</c:v>
                </c:pt>
                <c:pt idx="7">
                  <c:v>5.6890217111821668</c:v>
                </c:pt>
                <c:pt idx="8">
                  <c:v>7.0632290588545468</c:v>
                </c:pt>
                <c:pt idx="9">
                  <c:v>8.6283358803600532</c:v>
                </c:pt>
                <c:pt idx="10">
                  <c:v>11.472023285979578</c:v>
                </c:pt>
                <c:pt idx="11">
                  <c:v>14.814057150059183</c:v>
                </c:pt>
                <c:pt idx="12">
                  <c:v>19.169487076494907</c:v>
                </c:pt>
                <c:pt idx="13">
                  <c:v>25.307914722084664</c:v>
                </c:pt>
                <c:pt idx="14">
                  <c:v>32.485328699250594</c:v>
                </c:pt>
                <c:pt idx="15">
                  <c:v>40.336195389227548</c:v>
                </c:pt>
                <c:pt idx="16">
                  <c:v>52.53443646473643</c:v>
                </c:pt>
                <c:pt idx="17">
                  <c:v>69.774513598774462</c:v>
                </c:pt>
                <c:pt idx="18">
                  <c:v>92.267291336382925</c:v>
                </c:pt>
                <c:pt idx="19">
                  <c:v>123.31394132790051</c:v>
                </c:pt>
                <c:pt idx="20">
                  <c:v>155.17665400563303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CA-4578-BBFE-F9BC21A0002B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Dados!$N$2:$N$22</c:f>
              <c:numCache>
                <c:formatCode>General</c:formatCode>
                <c:ptCount val="21"/>
                <c:pt idx="0">
                  <c:v>1</c:v>
                </c:pt>
                <c:pt idx="1">
                  <c:v>1.2352953274805121</c:v>
                </c:pt>
                <c:pt idx="2">
                  <c:v>1.5617924678850383</c:v>
                </c:pt>
                <c:pt idx="3">
                  <c:v>2.0450665967059982</c:v>
                </c:pt>
                <c:pt idx="4">
                  <c:v>2.6947442756849247</c:v>
                </c:pt>
                <c:pt idx="5">
                  <c:v>3.5797159149179936</c:v>
                </c:pt>
                <c:pt idx="6">
                  <c:v>4.7710865381943135</c:v>
                </c:pt>
                <c:pt idx="7">
                  <c:v>5.9254304395914188</c:v>
                </c:pt>
                <c:pt idx="8">
                  <c:v>7.6763444161792398</c:v>
                </c:pt>
                <c:pt idx="9">
                  <c:v>9.3979937972448919</c:v>
                </c:pt>
                <c:pt idx="10">
                  <c:v>12.572122236602128</c:v>
                </c:pt>
                <c:pt idx="11">
                  <c:v>15.700099815793092</c:v>
                </c:pt>
                <c:pt idx="12">
                  <c:v>19.719461638888706</c:v>
                </c:pt>
                <c:pt idx="13">
                  <c:v>24.878362094694388</c:v>
                </c:pt>
                <c:pt idx="14">
                  <c:v>33.379420219759957</c:v>
                </c:pt>
                <c:pt idx="15">
                  <c:v>40.960362636953882</c:v>
                </c:pt>
                <c:pt idx="16">
                  <c:v>51.089801183599</c:v>
                </c:pt>
                <c:pt idx="17">
                  <c:v>64.701151272140066</c:v>
                </c:pt>
                <c:pt idx="18">
                  <c:v>84.888379431481525</c:v>
                </c:pt>
                <c:pt idx="19">
                  <c:v>105.90814061994237</c:v>
                </c:pt>
                <c:pt idx="20">
                  <c:v>130.75791712655095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8CA-4578-BBFE-F9BC21A0002B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Dados!$O$2:$O$22</c:f>
              <c:numCache>
                <c:formatCode>General</c:formatCode>
                <c:ptCount val="21"/>
                <c:pt idx="0">
                  <c:v>1</c:v>
                </c:pt>
                <c:pt idx="1">
                  <c:v>1.2771018224965365</c:v>
                </c:pt>
                <c:pt idx="2">
                  <c:v>1.5724245531294785</c:v>
                </c:pt>
                <c:pt idx="3">
                  <c:v>2.0474112625885716</c:v>
                </c:pt>
                <c:pt idx="4">
                  <c:v>2.709150114424971</c:v>
                </c:pt>
                <c:pt idx="5">
                  <c:v>3.4819165644733356</c:v>
                </c:pt>
                <c:pt idx="6">
                  <c:v>4.3085691043973124</c:v>
                </c:pt>
                <c:pt idx="7">
                  <c:v>5.3844981458322927</c:v>
                </c:pt>
                <c:pt idx="8">
                  <c:v>7.166011017738926</c:v>
                </c:pt>
                <c:pt idx="9">
                  <c:v>9.0960160111657657</c:v>
                </c:pt>
                <c:pt idx="10">
                  <c:v>11.855050947881308</c:v>
                </c:pt>
                <c:pt idx="11">
                  <c:v>14.93353067937587</c:v>
                </c:pt>
                <c:pt idx="12">
                  <c:v>18.269498292653527</c:v>
                </c:pt>
                <c:pt idx="13">
                  <c:v>23.792635549449624</c:v>
                </c:pt>
                <c:pt idx="14">
                  <c:v>31.419695489655954</c:v>
                </c:pt>
                <c:pt idx="15">
                  <c:v>38.922414100308181</c:v>
                </c:pt>
                <c:pt idx="16">
                  <c:v>52.522110272870854</c:v>
                </c:pt>
                <c:pt idx="17">
                  <c:v>67.252781263932121</c:v>
                </c:pt>
                <c:pt idx="18">
                  <c:v>84.757882898946633</c:v>
                </c:pt>
                <c:pt idx="19">
                  <c:v>108.73311449003563</c:v>
                </c:pt>
                <c:pt idx="20">
                  <c:v>144.10573357971268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8CA-4578-BBFE-F9BC21A0002B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Dados!$P$2:$P$22</c:f>
              <c:numCache>
                <c:formatCode>General</c:formatCode>
                <c:ptCount val="21"/>
                <c:pt idx="0">
                  <c:v>1</c:v>
                </c:pt>
                <c:pt idx="1">
                  <c:v>1.3389286841203341</c:v>
                </c:pt>
                <c:pt idx="2">
                  <c:v>1.748428590987857</c:v>
                </c:pt>
                <c:pt idx="3">
                  <c:v>2.3475391716283251</c:v>
                </c:pt>
                <c:pt idx="4">
                  <c:v>2.9311858849438339</c:v>
                </c:pt>
                <c:pt idx="5">
                  <c:v>3.6389226601252394</c:v>
                </c:pt>
                <c:pt idx="6">
                  <c:v>4.6727530339805599</c:v>
                </c:pt>
                <c:pt idx="7">
                  <c:v>6.0068892296610432</c:v>
                </c:pt>
                <c:pt idx="8">
                  <c:v>7.686963447772504</c:v>
                </c:pt>
                <c:pt idx="9">
                  <c:v>10.103324085889271</c:v>
                </c:pt>
                <c:pt idx="10">
                  <c:v>12.449236068318045</c:v>
                </c:pt>
                <c:pt idx="11">
                  <c:v>16.172585287461569</c:v>
                </c:pt>
                <c:pt idx="12">
                  <c:v>20.945866079444112</c:v>
                </c:pt>
                <c:pt idx="13">
                  <c:v>28.223316811793559</c:v>
                </c:pt>
                <c:pt idx="14">
                  <c:v>37.942171991407257</c:v>
                </c:pt>
                <c:pt idx="15">
                  <c:v>50.758203673235435</c:v>
                </c:pt>
                <c:pt idx="16">
                  <c:v>66.20564561194081</c:v>
                </c:pt>
                <c:pt idx="17">
                  <c:v>86.774537100898371</c:v>
                </c:pt>
                <c:pt idx="18">
                  <c:v>112.85158530567439</c:v>
                </c:pt>
                <c:pt idx="19">
                  <c:v>151.87038799036154</c:v>
                </c:pt>
                <c:pt idx="20">
                  <c:v>202.31707447495165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8CA-4578-BBFE-F9BC21A0002B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Dados!$Q$2:$Q$22</c:f>
              <c:numCache>
                <c:formatCode>General</c:formatCode>
                <c:ptCount val="21"/>
                <c:pt idx="0">
                  <c:v>1</c:v>
                </c:pt>
                <c:pt idx="1">
                  <c:v>1.345168256935402</c:v>
                </c:pt>
                <c:pt idx="2">
                  <c:v>1.6714281443980916</c:v>
                </c:pt>
                <c:pt idx="3">
                  <c:v>2.2132319359124115</c:v>
                </c:pt>
                <c:pt idx="4">
                  <c:v>2.8506943613435158</c:v>
                </c:pt>
                <c:pt idx="5">
                  <c:v>3.5851696845559342</c:v>
                </c:pt>
                <c:pt idx="6">
                  <c:v>4.486887234515323</c:v>
                </c:pt>
                <c:pt idx="7">
                  <c:v>5.5465310447734621</c:v>
                </c:pt>
                <c:pt idx="8">
                  <c:v>6.8562736374077762</c:v>
                </c:pt>
                <c:pt idx="9">
                  <c:v>8.6756143840647031</c:v>
                </c:pt>
                <c:pt idx="10">
                  <c:v>10.895512795670497</c:v>
                </c:pt>
                <c:pt idx="11">
                  <c:v>13.755275816805993</c:v>
                </c:pt>
                <c:pt idx="12">
                  <c:v>17.493974489255383</c:v>
                </c:pt>
                <c:pt idx="13">
                  <c:v>22.849782360577073</c:v>
                </c:pt>
                <c:pt idx="14">
                  <c:v>29.098062386396624</c:v>
                </c:pt>
                <c:pt idx="15">
                  <c:v>38.292715906601842</c:v>
                </c:pt>
                <c:pt idx="16">
                  <c:v>47.460859177799307</c:v>
                </c:pt>
                <c:pt idx="17">
                  <c:v>63.218243372839929</c:v>
                </c:pt>
                <c:pt idx="18">
                  <c:v>84.310314842842615</c:v>
                </c:pt>
                <c:pt idx="19">
                  <c:v>109.07997394162572</c:v>
                </c:pt>
                <c:pt idx="20">
                  <c:v>145.46886505666075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8CA-4578-BBFE-F9BC21A0002B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Dados!$R$2:$R$22</c:f>
              <c:numCache>
                <c:formatCode>General</c:formatCode>
                <c:ptCount val="21"/>
                <c:pt idx="0">
                  <c:v>1</c:v>
                </c:pt>
                <c:pt idx="1">
                  <c:v>1.2219047505445149</c:v>
                </c:pt>
                <c:pt idx="2">
                  <c:v>1.618438098508943</c:v>
                </c:pt>
                <c:pt idx="3">
                  <c:v>2.1033817856027786</c:v>
                </c:pt>
                <c:pt idx="4">
                  <c:v>2.7087981940622927</c:v>
                </c:pt>
                <c:pt idx="5">
                  <c:v>3.5951968041254649</c:v>
                </c:pt>
                <c:pt idx="6">
                  <c:v>4.8149320217355376</c:v>
                </c:pt>
                <c:pt idx="7">
                  <c:v>5.9018317752990797</c:v>
                </c:pt>
                <c:pt idx="8">
                  <c:v>7.3534985084409739</c:v>
                </c:pt>
                <c:pt idx="9">
                  <c:v>9.4157909380161975</c:v>
                </c:pt>
                <c:pt idx="10">
                  <c:v>12.049733327103064</c:v>
                </c:pt>
                <c:pt idx="11">
                  <c:v>14.809762376997115</c:v>
                </c:pt>
                <c:pt idx="12">
                  <c:v>18.837484678088384</c:v>
                </c:pt>
                <c:pt idx="13">
                  <c:v>24.948386678926596</c:v>
                </c:pt>
                <c:pt idx="14">
                  <c:v>30.967314346339261</c:v>
                </c:pt>
                <c:pt idx="15">
                  <c:v>40.451566707089953</c:v>
                </c:pt>
                <c:pt idx="16">
                  <c:v>51.577493364555785</c:v>
                </c:pt>
                <c:pt idx="17">
                  <c:v>63.057253808171012</c:v>
                </c:pt>
                <c:pt idx="18">
                  <c:v>77.857489380094833</c:v>
                </c:pt>
                <c:pt idx="19">
                  <c:v>104.73644832954368</c:v>
                </c:pt>
                <c:pt idx="20">
                  <c:v>130.65755144064127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8CA-4578-BBFE-F9BC21A0002B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Dados!$S$2:$S$22</c:f>
              <c:numCache>
                <c:formatCode>General</c:formatCode>
                <c:ptCount val="21"/>
                <c:pt idx="0">
                  <c:v>1</c:v>
                </c:pt>
                <c:pt idx="1">
                  <c:v>1.2754310859312499</c:v>
                </c:pt>
                <c:pt idx="2">
                  <c:v>1.5972169776325367</c:v>
                </c:pt>
                <c:pt idx="3">
                  <c:v>2.0191473508002824</c:v>
                </c:pt>
                <c:pt idx="4">
                  <c:v>2.4664263777867665</c:v>
                </c:pt>
                <c:pt idx="5">
                  <c:v>3.1425118333590278</c:v>
                </c:pt>
                <c:pt idx="6">
                  <c:v>3.8998812672433094</c:v>
                </c:pt>
                <c:pt idx="7">
                  <c:v>5.2008117732354551</c:v>
                </c:pt>
                <c:pt idx="8">
                  <c:v>6.6501569037104389</c:v>
                </c:pt>
                <c:pt idx="9">
                  <c:v>8.3700479074593801</c:v>
                </c:pt>
                <c:pt idx="10">
                  <c:v>10.413537108275412</c:v>
                </c:pt>
                <c:pt idx="11">
                  <c:v>13.916337119794191</c:v>
                </c:pt>
                <c:pt idx="12">
                  <c:v>17.244418707001696</c:v>
                </c:pt>
                <c:pt idx="13">
                  <c:v>22.229912508610898</c:v>
                </c:pt>
                <c:pt idx="14">
                  <c:v>29.920348576319746</c:v>
                </c:pt>
                <c:pt idx="15">
                  <c:v>38.048987502724081</c:v>
                </c:pt>
                <c:pt idx="16">
                  <c:v>50.146073985679649</c:v>
                </c:pt>
                <c:pt idx="17">
                  <c:v>65.632336743993164</c:v>
                </c:pt>
                <c:pt idx="18">
                  <c:v>86.805780350907483</c:v>
                </c:pt>
                <c:pt idx="19">
                  <c:v>108.60668998505894</c:v>
                </c:pt>
                <c:pt idx="20">
                  <c:v>141.62832277065627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8CA-4578-BBFE-F9BC21A0002B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Dados!$T$2:$T$22</c:f>
              <c:numCache>
                <c:formatCode>General</c:formatCode>
                <c:ptCount val="21"/>
                <c:pt idx="0">
                  <c:v>1</c:v>
                </c:pt>
                <c:pt idx="1">
                  <c:v>1.3039336490700264</c:v>
                </c:pt>
                <c:pt idx="2">
                  <c:v>1.6437037669267389</c:v>
                </c:pt>
                <c:pt idx="3">
                  <c:v>2.0631537273500546</c:v>
                </c:pt>
                <c:pt idx="4">
                  <c:v>2.7703929214816916</c:v>
                </c:pt>
                <c:pt idx="5">
                  <c:v>3.6892558722514468</c:v>
                </c:pt>
                <c:pt idx="6">
                  <c:v>4.5495629046090702</c:v>
                </c:pt>
                <c:pt idx="7">
                  <c:v>5.9973464082010457</c:v>
                </c:pt>
                <c:pt idx="8">
                  <c:v>7.4593149514684338</c:v>
                </c:pt>
                <c:pt idx="9">
                  <c:v>9.6645095528032954</c:v>
                </c:pt>
                <c:pt idx="10">
                  <c:v>12.603004835122134</c:v>
                </c:pt>
                <c:pt idx="11">
                  <c:v>16.084610889992565</c:v>
                </c:pt>
                <c:pt idx="12">
                  <c:v>20.851387905501344</c:v>
                </c:pt>
                <c:pt idx="13">
                  <c:v>25.700932183745909</c:v>
                </c:pt>
                <c:pt idx="14">
                  <c:v>33.930919016931135</c:v>
                </c:pt>
                <c:pt idx="15">
                  <c:v>43.969781867771296</c:v>
                </c:pt>
                <c:pt idx="16">
                  <c:v>55.385029139262834</c:v>
                </c:pt>
                <c:pt idx="17">
                  <c:v>69.160478605085018</c:v>
                </c:pt>
                <c:pt idx="18">
                  <c:v>86.768095868871882</c:v>
                </c:pt>
                <c:pt idx="19">
                  <c:v>116.13534521068493</c:v>
                </c:pt>
                <c:pt idx="20">
                  <c:v>142.47368316371356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8CA-4578-BBFE-F9BC21A0002B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Dados!$U$2:$U$22</c:f>
              <c:numCache>
                <c:formatCode>General</c:formatCode>
                <c:ptCount val="21"/>
                <c:pt idx="0">
                  <c:v>1</c:v>
                </c:pt>
                <c:pt idx="1">
                  <c:v>1.3279346521372544</c:v>
                </c:pt>
                <c:pt idx="2">
                  <c:v>1.6468843190951048</c:v>
                </c:pt>
                <c:pt idx="3">
                  <c:v>2.063399182402454</c:v>
                </c:pt>
                <c:pt idx="4">
                  <c:v>2.7057697017190474</c:v>
                </c:pt>
                <c:pt idx="5">
                  <c:v>3.4941962256501058</c:v>
                </c:pt>
                <c:pt idx="6">
                  <c:v>4.5123720892653285</c:v>
                </c:pt>
                <c:pt idx="7">
                  <c:v>5.8591647275370464</c:v>
                </c:pt>
                <c:pt idx="8">
                  <c:v>7.6955685174472697</c:v>
                </c:pt>
                <c:pt idx="9">
                  <c:v>10.109323530456962</c:v>
                </c:pt>
                <c:pt idx="10">
                  <c:v>13.541246430709085</c:v>
                </c:pt>
                <c:pt idx="11">
                  <c:v>16.936366931780253</c:v>
                </c:pt>
                <c:pt idx="12">
                  <c:v>21.693261471793168</c:v>
                </c:pt>
                <c:pt idx="13">
                  <c:v>28.097041949743087</c:v>
                </c:pt>
                <c:pt idx="14">
                  <c:v>35.210225001745378</c:v>
                </c:pt>
                <c:pt idx="15">
                  <c:v>43.927742532260261</c:v>
                </c:pt>
                <c:pt idx="16">
                  <c:v>56.201100042670006</c:v>
                </c:pt>
                <c:pt idx="17">
                  <c:v>71.138745551788276</c:v>
                </c:pt>
                <c:pt idx="18">
                  <c:v>90.430302350898685</c:v>
                </c:pt>
                <c:pt idx="19">
                  <c:v>116.11884750222437</c:v>
                </c:pt>
                <c:pt idx="20">
                  <c:v>153.08298624626985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8CA-4578-BBFE-F9BC21A0002B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Dados!$V$2:$V$22</c:f>
              <c:numCache>
                <c:formatCode>General</c:formatCode>
                <c:ptCount val="21"/>
                <c:pt idx="0">
                  <c:v>1</c:v>
                </c:pt>
                <c:pt idx="1">
                  <c:v>1.2844111137405381</c:v>
                </c:pt>
                <c:pt idx="2">
                  <c:v>1.6729300664328861</c:v>
                </c:pt>
                <c:pt idx="3">
                  <c:v>2.1533839450949137</c:v>
                </c:pt>
                <c:pt idx="4">
                  <c:v>2.8736620009861022</c:v>
                </c:pt>
                <c:pt idx="5">
                  <c:v>3.6278564352336056</c:v>
                </c:pt>
                <c:pt idx="6">
                  <c:v>4.5516354376742401</c:v>
                </c:pt>
                <c:pt idx="7">
                  <c:v>5.6633509011082923</c:v>
                </c:pt>
                <c:pt idx="8">
                  <c:v>7.4993458415887568</c:v>
                </c:pt>
                <c:pt idx="9">
                  <c:v>9.6755011449225492</c:v>
                </c:pt>
                <c:pt idx="10">
                  <c:v>12.762987319421404</c:v>
                </c:pt>
                <c:pt idx="11">
                  <c:v>16.999310599721905</c:v>
                </c:pt>
                <c:pt idx="12">
                  <c:v>21.705857519517835</c:v>
                </c:pt>
                <c:pt idx="13">
                  <c:v>27.724398941091881</c:v>
                </c:pt>
                <c:pt idx="14">
                  <c:v>35.304598625661711</c:v>
                </c:pt>
                <c:pt idx="15">
                  <c:v>45.589913009874138</c:v>
                </c:pt>
                <c:pt idx="16">
                  <c:v>56.825659208945538</c:v>
                </c:pt>
                <c:pt idx="17">
                  <c:v>73.575380736000085</c:v>
                </c:pt>
                <c:pt idx="18">
                  <c:v>91.551388630581471</c:v>
                </c:pt>
                <c:pt idx="19">
                  <c:v>121.58225702225251</c:v>
                </c:pt>
                <c:pt idx="20">
                  <c:v>150.85852316708267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8CA-4578-BBFE-F9BC21A0002B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Dados!$W$2:$W$22</c:f>
              <c:numCache>
                <c:formatCode>General</c:formatCode>
                <c:ptCount val="21"/>
                <c:pt idx="0">
                  <c:v>1</c:v>
                </c:pt>
                <c:pt idx="1">
                  <c:v>1.2500197550576222</c:v>
                </c:pt>
                <c:pt idx="2">
                  <c:v>1.6781765177432642</c:v>
                </c:pt>
                <c:pt idx="3">
                  <c:v>2.1767853189887751</c:v>
                </c:pt>
                <c:pt idx="4">
                  <c:v>2.7797313554380052</c:v>
                </c:pt>
                <c:pt idx="5">
                  <c:v>3.677604046088633</c:v>
                </c:pt>
                <c:pt idx="6">
                  <c:v>4.9218414328142641</c:v>
                </c:pt>
                <c:pt idx="7">
                  <c:v>6.0378406923748171</c:v>
                </c:pt>
                <c:pt idx="8">
                  <c:v>7.6223504110405882</c:v>
                </c:pt>
                <c:pt idx="9">
                  <c:v>10.062477128536871</c:v>
                </c:pt>
                <c:pt idx="10">
                  <c:v>13.559348023590521</c:v>
                </c:pt>
                <c:pt idx="11">
                  <c:v>17.761848571807597</c:v>
                </c:pt>
                <c:pt idx="12">
                  <c:v>23.10148908512841</c:v>
                </c:pt>
                <c:pt idx="13">
                  <c:v>29.465583309161339</c:v>
                </c:pt>
                <c:pt idx="14">
                  <c:v>38.515082268468532</c:v>
                </c:pt>
                <c:pt idx="15">
                  <c:v>47.451739911025818</c:v>
                </c:pt>
                <c:pt idx="16">
                  <c:v>59.754239262897443</c:v>
                </c:pt>
                <c:pt idx="17">
                  <c:v>79.231086969386254</c:v>
                </c:pt>
                <c:pt idx="18">
                  <c:v>99.548980782684566</c:v>
                </c:pt>
                <c:pt idx="19">
                  <c:v>126.30483054085954</c:v>
                </c:pt>
                <c:pt idx="20">
                  <c:v>159.14090207741185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8CA-4578-BBFE-F9BC21A0002B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Dados!$X$2:$X$22</c:f>
              <c:numCache>
                <c:formatCode>General</c:formatCode>
                <c:ptCount val="21"/>
                <c:pt idx="0">
                  <c:v>1</c:v>
                </c:pt>
                <c:pt idx="1">
                  <c:v>1.3480091461350823</c:v>
                </c:pt>
                <c:pt idx="2">
                  <c:v>1.8103848650011531</c:v>
                </c:pt>
                <c:pt idx="3">
                  <c:v>2.2438039986474942</c:v>
                </c:pt>
                <c:pt idx="4">
                  <c:v>2.8493897925531093</c:v>
                </c:pt>
                <c:pt idx="5">
                  <c:v>3.7399168176035991</c:v>
                </c:pt>
                <c:pt idx="6">
                  <c:v>4.7534023524915838</c:v>
                </c:pt>
                <c:pt idx="7">
                  <c:v>5.9679384752525184</c:v>
                </c:pt>
                <c:pt idx="8">
                  <c:v>7.7762864273720798</c:v>
                </c:pt>
                <c:pt idx="9">
                  <c:v>9.5951706495694609</c:v>
                </c:pt>
                <c:pt idx="10">
                  <c:v>12.344338454152391</c:v>
                </c:pt>
                <c:pt idx="11">
                  <c:v>15.345180254083647</c:v>
                </c:pt>
                <c:pt idx="12">
                  <c:v>19.17780554853962</c:v>
                </c:pt>
                <c:pt idx="13">
                  <c:v>24.225891711031913</c:v>
                </c:pt>
                <c:pt idx="14">
                  <c:v>30.893452701831272</c:v>
                </c:pt>
                <c:pt idx="15">
                  <c:v>37.933832910232724</c:v>
                </c:pt>
                <c:pt idx="16">
                  <c:v>49.798725425664742</c:v>
                </c:pt>
                <c:pt idx="17">
                  <c:v>62.701514183899462</c:v>
                </c:pt>
                <c:pt idx="18">
                  <c:v>77.223835841148585</c:v>
                </c:pt>
                <c:pt idx="19">
                  <c:v>96.154779836293798</c:v>
                </c:pt>
                <c:pt idx="20">
                  <c:v>128.07757716498111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8CA-4578-BBFE-F9BC21A0002B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Dados!$Y$2:$Y$22</c:f>
              <c:numCache>
                <c:formatCode>General</c:formatCode>
                <c:ptCount val="21"/>
                <c:pt idx="0">
                  <c:v>1</c:v>
                </c:pt>
                <c:pt idx="1">
                  <c:v>1.2544596513199435</c:v>
                </c:pt>
                <c:pt idx="2">
                  <c:v>1.6349337903756931</c:v>
                </c:pt>
                <c:pt idx="3">
                  <c:v>2.0431239791096276</c:v>
                </c:pt>
                <c:pt idx="4">
                  <c:v>2.7196099505242506</c:v>
                </c:pt>
                <c:pt idx="5">
                  <c:v>3.6483145283693847</c:v>
                </c:pt>
                <c:pt idx="6">
                  <c:v>4.9098441362598715</c:v>
                </c:pt>
                <c:pt idx="7">
                  <c:v>6.5646643849697659</c:v>
                </c:pt>
                <c:pt idx="8">
                  <c:v>8.6206147320993054</c:v>
                </c:pt>
                <c:pt idx="9">
                  <c:v>11.514420633133913</c:v>
                </c:pt>
                <c:pt idx="10">
                  <c:v>14.741750247629492</c:v>
                </c:pt>
                <c:pt idx="11">
                  <c:v>19.318853453330817</c:v>
                </c:pt>
                <c:pt idx="12">
                  <c:v>25.839249699823533</c:v>
                </c:pt>
                <c:pt idx="13">
                  <c:v>33.841641841106053</c:v>
                </c:pt>
                <c:pt idx="14">
                  <c:v>44.467879645996739</c:v>
                </c:pt>
                <c:pt idx="15">
                  <c:v>55.663959627983665</c:v>
                </c:pt>
                <c:pt idx="16">
                  <c:v>69.045160619638395</c:v>
                </c:pt>
                <c:pt idx="17">
                  <c:v>89.92877558741759</c:v>
                </c:pt>
                <c:pt idx="18">
                  <c:v>119.22015268733634</c:v>
                </c:pt>
                <c:pt idx="19">
                  <c:v>146.49777524784631</c:v>
                </c:pt>
                <c:pt idx="20">
                  <c:v>179.64264617675866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8CA-4578-BBFE-F9BC21A0002B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Dados!$Z$2:$Z$22</c:f>
              <c:numCache>
                <c:formatCode>General</c:formatCode>
                <c:ptCount val="21"/>
                <c:pt idx="0">
                  <c:v>1</c:v>
                </c:pt>
                <c:pt idx="1">
                  <c:v>1.2908094640151113</c:v>
                </c:pt>
                <c:pt idx="2">
                  <c:v>1.6750474547879597</c:v>
                </c:pt>
                <c:pt idx="3">
                  <c:v>2.1003011732711836</c:v>
                </c:pt>
                <c:pt idx="4">
                  <c:v>2.596240682600619</c:v>
                </c:pt>
                <c:pt idx="5">
                  <c:v>3.4280314560595189</c:v>
                </c:pt>
                <c:pt idx="6">
                  <c:v>4.6173945344697147</c:v>
                </c:pt>
                <c:pt idx="7">
                  <c:v>5.7673308147824951</c:v>
                </c:pt>
                <c:pt idx="8">
                  <c:v>7.2471472621920308</c:v>
                </c:pt>
                <c:pt idx="9">
                  <c:v>8.880866484382052</c:v>
                </c:pt>
                <c:pt idx="10">
                  <c:v>11.598739698869949</c:v>
                </c:pt>
                <c:pt idx="11">
                  <c:v>14.389125559396099</c:v>
                </c:pt>
                <c:pt idx="12">
                  <c:v>18.403251079017092</c:v>
                </c:pt>
                <c:pt idx="13">
                  <c:v>22.939225797877249</c:v>
                </c:pt>
                <c:pt idx="14">
                  <c:v>30.572455815207658</c:v>
                </c:pt>
                <c:pt idx="15">
                  <c:v>39.931322368773777</c:v>
                </c:pt>
                <c:pt idx="16">
                  <c:v>53.313032560033278</c:v>
                </c:pt>
                <c:pt idx="17">
                  <c:v>69.965190148928173</c:v>
                </c:pt>
                <c:pt idx="18">
                  <c:v>86.661025597104725</c:v>
                </c:pt>
                <c:pt idx="19">
                  <c:v>108.99230314364245</c:v>
                </c:pt>
                <c:pt idx="20">
                  <c:v>142.08229995333517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8CA-4578-BBFE-F9BC21A0002B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Dados!$AA$2:$AA$22</c:f>
              <c:numCache>
                <c:formatCode>General</c:formatCode>
                <c:ptCount val="21"/>
                <c:pt idx="0">
                  <c:v>1</c:v>
                </c:pt>
                <c:pt idx="1">
                  <c:v>1.2471832638959122</c:v>
                </c:pt>
                <c:pt idx="2">
                  <c:v>1.6711464672619374</c:v>
                </c:pt>
                <c:pt idx="3">
                  <c:v>2.1171392845801567</c:v>
                </c:pt>
                <c:pt idx="4">
                  <c:v>2.6921178937439429</c:v>
                </c:pt>
                <c:pt idx="5">
                  <c:v>3.4855409337076289</c:v>
                </c:pt>
                <c:pt idx="6">
                  <c:v>4.3431715883160535</c:v>
                </c:pt>
                <c:pt idx="7">
                  <c:v>5.7183279599474846</c:v>
                </c:pt>
                <c:pt idx="8">
                  <c:v>7.3480452593998171</c:v>
                </c:pt>
                <c:pt idx="9">
                  <c:v>9.3015169479380742</c:v>
                </c:pt>
                <c:pt idx="10">
                  <c:v>12.471717997011375</c:v>
                </c:pt>
                <c:pt idx="11">
                  <c:v>15.911390780008063</c:v>
                </c:pt>
                <c:pt idx="12">
                  <c:v>19.957214320375083</c:v>
                </c:pt>
                <c:pt idx="13">
                  <c:v>26.642297098235606</c:v>
                </c:pt>
                <c:pt idx="14">
                  <c:v>35.420759624742779</c:v>
                </c:pt>
                <c:pt idx="15">
                  <c:v>47.633239846567577</c:v>
                </c:pt>
                <c:pt idx="16">
                  <c:v>59.636194889498817</c:v>
                </c:pt>
                <c:pt idx="17">
                  <c:v>74.730143671343583</c:v>
                </c:pt>
                <c:pt idx="18">
                  <c:v>95.626762357193996</c:v>
                </c:pt>
                <c:pt idx="19">
                  <c:v>122.32155115880718</c:v>
                </c:pt>
                <c:pt idx="20">
                  <c:v>158.32634295557031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8CA-4578-BBFE-F9BC21A0002B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Dados!$AB$2:$AB$22</c:f>
              <c:numCache>
                <c:formatCode>General</c:formatCode>
                <c:ptCount val="21"/>
                <c:pt idx="0">
                  <c:v>1</c:v>
                </c:pt>
                <c:pt idx="1">
                  <c:v>1.2532419651811901</c:v>
                </c:pt>
                <c:pt idx="2">
                  <c:v>1.642119538036396</c:v>
                </c:pt>
                <c:pt idx="3">
                  <c:v>2.0579116184743276</c:v>
                </c:pt>
                <c:pt idx="4">
                  <c:v>2.528659125531509</c:v>
                </c:pt>
                <c:pt idx="5">
                  <c:v>3.2133564199775027</c:v>
                </c:pt>
                <c:pt idx="6">
                  <c:v>4.2347995064997477</c:v>
                </c:pt>
                <c:pt idx="7">
                  <c:v>5.6031462016770055</c:v>
                </c:pt>
                <c:pt idx="8">
                  <c:v>6.9464503119491416</c:v>
                </c:pt>
                <c:pt idx="9">
                  <c:v>9.3642511582359003</c:v>
                </c:pt>
                <c:pt idx="10">
                  <c:v>12.128566091780337</c:v>
                </c:pt>
                <c:pt idx="11">
                  <c:v>15.363760631384118</c:v>
                </c:pt>
                <c:pt idx="12">
                  <c:v>20.579794473298868</c:v>
                </c:pt>
                <c:pt idx="13">
                  <c:v>27.079093273357955</c:v>
                </c:pt>
                <c:pt idx="14">
                  <c:v>36.441581959803301</c:v>
                </c:pt>
                <c:pt idx="15">
                  <c:v>48.238176445790678</c:v>
                </c:pt>
                <c:pt idx="16">
                  <c:v>59.525473974741047</c:v>
                </c:pt>
                <c:pt idx="17">
                  <c:v>76.49328782291272</c:v>
                </c:pt>
                <c:pt idx="18">
                  <c:v>98.031161054222309</c:v>
                </c:pt>
                <c:pt idx="19">
                  <c:v>126.66141994878049</c:v>
                </c:pt>
                <c:pt idx="20">
                  <c:v>155.36328209215318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8CA-4578-BBFE-F9BC21A0002B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Dados!$AC$2:$AC$22</c:f>
              <c:numCache>
                <c:formatCode>General</c:formatCode>
                <c:ptCount val="21"/>
                <c:pt idx="0">
                  <c:v>1</c:v>
                </c:pt>
                <c:pt idx="1">
                  <c:v>1.3240290307844036</c:v>
                </c:pt>
                <c:pt idx="2">
                  <c:v>1.7132813566554548</c:v>
                </c:pt>
                <c:pt idx="3">
                  <c:v>2.1272768847175509</c:v>
                </c:pt>
                <c:pt idx="4">
                  <c:v>2.6707165438469493</c:v>
                </c:pt>
                <c:pt idx="5">
                  <c:v>3.489507755089202</c:v>
                </c:pt>
                <c:pt idx="6">
                  <c:v>4.2979961617052123</c:v>
                </c:pt>
                <c:pt idx="7">
                  <c:v>5.2951183611019097</c:v>
                </c:pt>
                <c:pt idx="8">
                  <c:v>6.9983271726664302</c:v>
                </c:pt>
                <c:pt idx="9">
                  <c:v>8.7919623879217461</c:v>
                </c:pt>
                <c:pt idx="10">
                  <c:v>11.649947865251624</c:v>
                </c:pt>
                <c:pt idx="11">
                  <c:v>14.282530092463741</c:v>
                </c:pt>
                <c:pt idx="12">
                  <c:v>18.356697852973056</c:v>
                </c:pt>
                <c:pt idx="13">
                  <c:v>22.74122356727246</c:v>
                </c:pt>
                <c:pt idx="14">
                  <c:v>30.136204760977456</c:v>
                </c:pt>
                <c:pt idx="15">
                  <c:v>39.847224789885935</c:v>
                </c:pt>
                <c:pt idx="16">
                  <c:v>52.562373286750827</c:v>
                </c:pt>
                <c:pt idx="17">
                  <c:v>67.859200171199291</c:v>
                </c:pt>
                <c:pt idx="18">
                  <c:v>85.766281251398894</c:v>
                </c:pt>
                <c:pt idx="19">
                  <c:v>113.10512473103732</c:v>
                </c:pt>
                <c:pt idx="20">
                  <c:v>147.3298722157526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8CA-4578-BBFE-F9BC21A0002B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Dados!$AD$2:$AD$22</c:f>
              <c:numCache>
                <c:formatCode>General</c:formatCode>
                <c:ptCount val="21"/>
                <c:pt idx="0">
                  <c:v>1</c:v>
                </c:pt>
                <c:pt idx="1">
                  <c:v>1.2367107962731194</c:v>
                </c:pt>
                <c:pt idx="2">
                  <c:v>1.5335783170049955</c:v>
                </c:pt>
                <c:pt idx="3">
                  <c:v>2.01218293949516</c:v>
                </c:pt>
                <c:pt idx="4">
                  <c:v>2.5659561943710401</c:v>
                </c:pt>
                <c:pt idx="5">
                  <c:v>3.1776238173045854</c:v>
                </c:pt>
                <c:pt idx="6">
                  <c:v>4.1937957161834785</c:v>
                </c:pt>
                <c:pt idx="7">
                  <c:v>5.5895618730672441</c:v>
                </c:pt>
                <c:pt idx="8">
                  <c:v>7.1028903611410916</c:v>
                </c:pt>
                <c:pt idx="9">
                  <c:v>8.8928578976914956</c:v>
                </c:pt>
                <c:pt idx="10">
                  <c:v>11.139235304861057</c:v>
                </c:pt>
                <c:pt idx="11">
                  <c:v>14.718494566246887</c:v>
                </c:pt>
                <c:pt idx="12">
                  <c:v>18.577680240492352</c:v>
                </c:pt>
                <c:pt idx="13">
                  <c:v>23.927631113104908</c:v>
                </c:pt>
                <c:pt idx="14">
                  <c:v>32.210317555377017</c:v>
                </c:pt>
                <c:pt idx="15">
                  <c:v>41.054086412966448</c:v>
                </c:pt>
                <c:pt idx="16">
                  <c:v>53.019741738585992</c:v>
                </c:pt>
                <c:pt idx="17">
                  <c:v>67.63254108215736</c:v>
                </c:pt>
                <c:pt idx="18">
                  <c:v>86.322552275774228</c:v>
                </c:pt>
                <c:pt idx="19">
                  <c:v>110.27526076819223</c:v>
                </c:pt>
                <c:pt idx="20">
                  <c:v>136.31223735933031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8CA-4578-BBFE-F9BC21A0002B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Dados!$AE$2:$AE$22</c:f>
              <c:numCache>
                <c:formatCode>General</c:formatCode>
                <c:ptCount val="21"/>
                <c:pt idx="0">
                  <c:v>1</c:v>
                </c:pt>
                <c:pt idx="1">
                  <c:v>1.3467153499232993</c:v>
                </c:pt>
                <c:pt idx="2">
                  <c:v>1.6768906179979226</c:v>
                </c:pt>
                <c:pt idx="3">
                  <c:v>2.228248237735925</c:v>
                </c:pt>
                <c:pt idx="4">
                  <c:v>2.95950418359587</c:v>
                </c:pt>
                <c:pt idx="5">
                  <c:v>3.6679145250784799</c:v>
                </c:pt>
                <c:pt idx="6">
                  <c:v>4.8765664776557935</c:v>
                </c:pt>
                <c:pt idx="7">
                  <c:v>5.9639623128388255</c:v>
                </c:pt>
                <c:pt idx="8">
                  <c:v>7.3261712388686426</c:v>
                </c:pt>
                <c:pt idx="9">
                  <c:v>9.8319634399291207</c:v>
                </c:pt>
                <c:pt idx="10">
                  <c:v>12.161881834499338</c:v>
                </c:pt>
                <c:pt idx="11">
                  <c:v>15.994224562583467</c:v>
                </c:pt>
                <c:pt idx="12">
                  <c:v>21.037649493626599</c:v>
                </c:pt>
                <c:pt idx="13">
                  <c:v>26.526567706546555</c:v>
                </c:pt>
                <c:pt idx="14">
                  <c:v>34.237576493669685</c:v>
                </c:pt>
                <c:pt idx="15">
                  <c:v>44.291811262982513</c:v>
                </c:pt>
                <c:pt idx="16">
                  <c:v>57.347105607081062</c:v>
                </c:pt>
                <c:pt idx="17">
                  <c:v>71.322577721909369</c:v>
                </c:pt>
                <c:pt idx="18">
                  <c:v>91.611307342161737</c:v>
                </c:pt>
                <c:pt idx="19">
                  <c:v>117.47370890664378</c:v>
                </c:pt>
                <c:pt idx="20">
                  <c:v>146.50712764440661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8CA-4578-BBFE-F9BC21A0002B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Dados!$AF$2:$AF$22</c:f>
              <c:numCache>
                <c:formatCode>General</c:formatCode>
                <c:ptCount val="21"/>
                <c:pt idx="0">
                  <c:v>1</c:v>
                </c:pt>
                <c:pt idx="1">
                  <c:v>1.2640817286220623</c:v>
                </c:pt>
                <c:pt idx="2">
                  <c:v>1.6835775802496877</c:v>
                </c:pt>
                <c:pt idx="3">
                  <c:v>2.0638215505661344</c:v>
                </c:pt>
                <c:pt idx="4">
                  <c:v>2.5573338824673169</c:v>
                </c:pt>
                <c:pt idx="5">
                  <c:v>3.2378177046350198</c:v>
                </c:pt>
                <c:pt idx="6">
                  <c:v>4.2343540103603843</c:v>
                </c:pt>
                <c:pt idx="7">
                  <c:v>5.3842376572468043</c:v>
                </c:pt>
                <c:pt idx="8">
                  <c:v>6.6333222262811962</c:v>
                </c:pt>
                <c:pt idx="9">
                  <c:v>8.8354601821145309</c:v>
                </c:pt>
                <c:pt idx="10">
                  <c:v>11.109379066022127</c:v>
                </c:pt>
                <c:pt idx="11">
                  <c:v>13.764833643986112</c:v>
                </c:pt>
                <c:pt idx="12">
                  <c:v>18.106932713500449</c:v>
                </c:pt>
                <c:pt idx="13">
                  <c:v>24.341161923705275</c:v>
                </c:pt>
                <c:pt idx="14">
                  <c:v>32.68725443183807</c:v>
                </c:pt>
                <c:pt idx="15">
                  <c:v>42.125327337913703</c:v>
                </c:pt>
                <c:pt idx="16">
                  <c:v>51.474815152646777</c:v>
                </c:pt>
                <c:pt idx="17">
                  <c:v>64.135304601767032</c:v>
                </c:pt>
                <c:pt idx="18">
                  <c:v>82.178135335392795</c:v>
                </c:pt>
                <c:pt idx="19">
                  <c:v>107.05949390337121</c:v>
                </c:pt>
                <c:pt idx="20">
                  <c:v>143.39202994846033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8CA-4578-BBFE-F9BC21A0002B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Dados!$AG$2:$AG$22</c:f>
              <c:numCache>
                <c:formatCode>General</c:formatCode>
                <c:ptCount val="21"/>
                <c:pt idx="0">
                  <c:v>1</c:v>
                </c:pt>
                <c:pt idx="1">
                  <c:v>1.2549117532647018</c:v>
                </c:pt>
                <c:pt idx="2">
                  <c:v>1.5784738848813491</c:v>
                </c:pt>
                <c:pt idx="3">
                  <c:v>2.1029015274755967</c:v>
                </c:pt>
                <c:pt idx="4">
                  <c:v>2.8046725726283577</c:v>
                </c:pt>
                <c:pt idx="5">
                  <c:v>3.6915063148351317</c:v>
                </c:pt>
                <c:pt idx="6">
                  <c:v>4.6808680974261785</c:v>
                </c:pt>
                <c:pt idx="7">
                  <c:v>5.9689794527630786</c:v>
                </c:pt>
                <c:pt idx="8">
                  <c:v>7.7076981203354293</c:v>
                </c:pt>
                <c:pt idx="9">
                  <c:v>9.6212473561718461</c:v>
                </c:pt>
                <c:pt idx="10">
                  <c:v>12.32351232277766</c:v>
                </c:pt>
                <c:pt idx="11">
                  <c:v>16.152458184627839</c:v>
                </c:pt>
                <c:pt idx="12">
                  <c:v>21.211932822668594</c:v>
                </c:pt>
                <c:pt idx="13">
                  <c:v>25.999396866091185</c:v>
                </c:pt>
                <c:pt idx="14">
                  <c:v>32.289460483848885</c:v>
                </c:pt>
                <c:pt idx="15">
                  <c:v>40.309094102115445</c:v>
                </c:pt>
                <c:pt idx="16">
                  <c:v>51.835309314034006</c:v>
                </c:pt>
                <c:pt idx="17">
                  <c:v>69.473278002316192</c:v>
                </c:pt>
                <c:pt idx="18">
                  <c:v>85.919907243699626</c:v>
                </c:pt>
                <c:pt idx="19">
                  <c:v>109.33869428149873</c:v>
                </c:pt>
                <c:pt idx="20">
                  <c:v>141.72599797959708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8CA-4578-BBFE-F9BC21A0002B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Dados!$AH$2:$AH$22</c:f>
              <c:numCache>
                <c:formatCode>General</c:formatCode>
                <c:ptCount val="21"/>
                <c:pt idx="0">
                  <c:v>1</c:v>
                </c:pt>
                <c:pt idx="1">
                  <c:v>1.2859898286365761</c:v>
                </c:pt>
                <c:pt idx="2">
                  <c:v>1.6187138886664012</c:v>
                </c:pt>
                <c:pt idx="3">
                  <c:v>2.1444673974252177</c:v>
                </c:pt>
                <c:pt idx="4">
                  <c:v>2.7205139558121814</c:v>
                </c:pt>
                <c:pt idx="5">
                  <c:v>3.4622236772873762</c:v>
                </c:pt>
                <c:pt idx="6">
                  <c:v>4.6624128559720388</c:v>
                </c:pt>
                <c:pt idx="7">
                  <c:v>5.8423727676678423</c:v>
                </c:pt>
                <c:pt idx="8">
                  <c:v>7.722990005806591</c:v>
                </c:pt>
                <c:pt idx="9">
                  <c:v>9.5444843750794437</c:v>
                </c:pt>
                <c:pt idx="10">
                  <c:v>12.346813290140499</c:v>
                </c:pt>
                <c:pt idx="11">
                  <c:v>16.549152275377828</c:v>
                </c:pt>
                <c:pt idx="12">
                  <c:v>20.618013833008931</c:v>
                </c:pt>
                <c:pt idx="13">
                  <c:v>25.38224469614174</c:v>
                </c:pt>
                <c:pt idx="14">
                  <c:v>31.508347855514419</c:v>
                </c:pt>
                <c:pt idx="15">
                  <c:v>40.102047862753899</c:v>
                </c:pt>
                <c:pt idx="16">
                  <c:v>53.997377493331342</c:v>
                </c:pt>
                <c:pt idx="17">
                  <c:v>70.741969862858639</c:v>
                </c:pt>
                <c:pt idx="18">
                  <c:v>92.264647306983704</c:v>
                </c:pt>
                <c:pt idx="19">
                  <c:v>122.35691728224936</c:v>
                </c:pt>
                <c:pt idx="20">
                  <c:v>161.14198490664893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8CA-4578-BBFE-F9BC21A0002B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Dados!$AI$2:$AI$22</c:f>
              <c:numCache>
                <c:formatCode>General</c:formatCode>
                <c:ptCount val="21"/>
                <c:pt idx="0">
                  <c:v>1</c:v>
                </c:pt>
                <c:pt idx="1">
                  <c:v>1.3032517282772949</c:v>
                </c:pt>
                <c:pt idx="2">
                  <c:v>1.6031558090294495</c:v>
                </c:pt>
                <c:pt idx="3">
                  <c:v>2.1550228654511425</c:v>
                </c:pt>
                <c:pt idx="4">
                  <c:v>2.841202931418624</c:v>
                </c:pt>
                <c:pt idx="5">
                  <c:v>3.5493854843270896</c:v>
                </c:pt>
                <c:pt idx="6">
                  <c:v>4.7693391506952274</c:v>
                </c:pt>
                <c:pt idx="7">
                  <c:v>6.4191043313662091</c:v>
                </c:pt>
                <c:pt idx="8">
                  <c:v>7.9998887538181904</c:v>
                </c:pt>
                <c:pt idx="9">
                  <c:v>9.8368212256066876</c:v>
                </c:pt>
                <c:pt idx="10">
                  <c:v>12.963860632226393</c:v>
                </c:pt>
                <c:pt idx="11">
                  <c:v>17.066328743154742</c:v>
                </c:pt>
                <c:pt idx="12">
                  <c:v>22.42341033144562</c:v>
                </c:pt>
                <c:pt idx="13">
                  <c:v>29.182456281463793</c:v>
                </c:pt>
                <c:pt idx="14">
                  <c:v>38.762125070262371</c:v>
                </c:pt>
                <c:pt idx="15">
                  <c:v>49.971067510023026</c:v>
                </c:pt>
                <c:pt idx="16">
                  <c:v>65.226596251767646</c:v>
                </c:pt>
                <c:pt idx="17">
                  <c:v>83.71312289020716</c:v>
                </c:pt>
                <c:pt idx="18">
                  <c:v>107.8734674414565</c:v>
                </c:pt>
                <c:pt idx="19">
                  <c:v>132.36200632229728</c:v>
                </c:pt>
                <c:pt idx="20">
                  <c:v>171.11903645926267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8CA-4578-BBFE-F9BC21A0002B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Dados!$AJ$2:$AJ$22</c:f>
              <c:numCache>
                <c:formatCode>General</c:formatCode>
                <c:ptCount val="21"/>
                <c:pt idx="0">
                  <c:v>1</c:v>
                </c:pt>
                <c:pt idx="1">
                  <c:v>1.2215753926405843</c:v>
                </c:pt>
                <c:pt idx="2">
                  <c:v>1.6186921474560274</c:v>
                </c:pt>
                <c:pt idx="3">
                  <c:v>2.0049147820466384</c:v>
                </c:pt>
                <c:pt idx="4">
                  <c:v>2.4685434171065213</c:v>
                </c:pt>
                <c:pt idx="5">
                  <c:v>3.189987793853065</c:v>
                </c:pt>
                <c:pt idx="6">
                  <c:v>4.2404024353986509</c:v>
                </c:pt>
                <c:pt idx="7">
                  <c:v>5.2787058269621276</c:v>
                </c:pt>
                <c:pt idx="8">
                  <c:v>6.5237913618074419</c:v>
                </c:pt>
                <c:pt idx="9">
                  <c:v>8.2354847388285428</c:v>
                </c:pt>
                <c:pt idx="10">
                  <c:v>10.302402951373301</c:v>
                </c:pt>
                <c:pt idx="11">
                  <c:v>13.605312301747196</c:v>
                </c:pt>
                <c:pt idx="12">
                  <c:v>17.823003795912967</c:v>
                </c:pt>
                <c:pt idx="13">
                  <c:v>21.998158908027591</c:v>
                </c:pt>
                <c:pt idx="14">
                  <c:v>27.932812859459681</c:v>
                </c:pt>
                <c:pt idx="15">
                  <c:v>37.131092716718754</c:v>
                </c:pt>
                <c:pt idx="16">
                  <c:v>45.537151566589834</c:v>
                </c:pt>
                <c:pt idx="17">
                  <c:v>57.459216971681556</c:v>
                </c:pt>
                <c:pt idx="18">
                  <c:v>76.568268605539842</c:v>
                </c:pt>
                <c:pt idx="19">
                  <c:v>93.782188916548208</c:v>
                </c:pt>
                <c:pt idx="20">
                  <c:v>120.97633247645237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8CA-4578-BBFE-F9BC21A0002B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Dados!$AK$2:$AK$22</c:f>
              <c:numCache>
                <c:formatCode>General</c:formatCode>
                <c:ptCount val="21"/>
                <c:pt idx="0">
                  <c:v>1</c:v>
                </c:pt>
                <c:pt idx="1">
                  <c:v>1.273890142815383</c:v>
                </c:pt>
                <c:pt idx="2">
                  <c:v>1.637620485145505</c:v>
                </c:pt>
                <c:pt idx="3">
                  <c:v>2.1571266729189094</c:v>
                </c:pt>
                <c:pt idx="4">
                  <c:v>2.7858867263305642</c:v>
                </c:pt>
                <c:pt idx="5">
                  <c:v>3.6514287164933741</c:v>
                </c:pt>
                <c:pt idx="6">
                  <c:v>4.9216111837292598</c:v>
                </c:pt>
                <c:pt idx="7">
                  <c:v>6.1152151409788571</c:v>
                </c:pt>
                <c:pt idx="8">
                  <c:v>7.5820941895547671</c:v>
                </c:pt>
                <c:pt idx="9">
                  <c:v>10.121709314072524</c:v>
                </c:pt>
                <c:pt idx="10">
                  <c:v>12.55205487807803</c:v>
                </c:pt>
                <c:pt idx="11">
                  <c:v>16.614842732377877</c:v>
                </c:pt>
                <c:pt idx="12">
                  <c:v>20.328628833367333</c:v>
                </c:pt>
                <c:pt idx="13">
                  <c:v>25.15478557619533</c:v>
                </c:pt>
                <c:pt idx="14">
                  <c:v>31.060223554627221</c:v>
                </c:pt>
                <c:pt idx="15">
                  <c:v>39.052314856035842</c:v>
                </c:pt>
                <c:pt idx="16">
                  <c:v>49.716872590808165</c:v>
                </c:pt>
                <c:pt idx="17">
                  <c:v>64.974753361022763</c:v>
                </c:pt>
                <c:pt idx="18">
                  <c:v>84.031844371646329</c:v>
                </c:pt>
                <c:pt idx="19">
                  <c:v>113.16513199834522</c:v>
                </c:pt>
                <c:pt idx="20">
                  <c:v>150.23246302389796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8CA-4578-BBFE-F9BC21A0002B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Dados!$AL$2:$AL$22</c:f>
              <c:numCache>
                <c:formatCode>General</c:formatCode>
                <c:ptCount val="21"/>
                <c:pt idx="0">
                  <c:v>1</c:v>
                </c:pt>
                <c:pt idx="1">
                  <c:v>1.2235198836134016</c:v>
                </c:pt>
                <c:pt idx="2">
                  <c:v>1.6386192913420643</c:v>
                </c:pt>
                <c:pt idx="3">
                  <c:v>2.1954827039475977</c:v>
                </c:pt>
                <c:pt idx="4">
                  <c:v>2.763865288253553</c:v>
                </c:pt>
                <c:pt idx="5">
                  <c:v>3.5623400532155101</c:v>
                </c:pt>
                <c:pt idx="6">
                  <c:v>4.7557695558433917</c:v>
                </c:pt>
                <c:pt idx="7">
                  <c:v>5.974781186953301</c:v>
                </c:pt>
                <c:pt idx="8">
                  <c:v>7.554065653438844</c:v>
                </c:pt>
                <c:pt idx="9">
                  <c:v>9.373903826608684</c:v>
                </c:pt>
                <c:pt idx="10">
                  <c:v>11.742735883703533</c:v>
                </c:pt>
                <c:pt idx="11">
                  <c:v>15.375420357639063</c:v>
                </c:pt>
                <c:pt idx="12">
                  <c:v>20.202122748205767</c:v>
                </c:pt>
                <c:pt idx="13">
                  <c:v>25.381042520641785</c:v>
                </c:pt>
                <c:pt idx="14">
                  <c:v>32.303971550983512</c:v>
                </c:pt>
                <c:pt idx="15">
                  <c:v>40.157192094014206</c:v>
                </c:pt>
                <c:pt idx="16">
                  <c:v>53.063494543015366</c:v>
                </c:pt>
                <c:pt idx="17">
                  <c:v>68.417062148185352</c:v>
                </c:pt>
                <c:pt idx="18">
                  <c:v>85.358800814359569</c:v>
                </c:pt>
                <c:pt idx="19">
                  <c:v>108.96564085122435</c:v>
                </c:pt>
                <c:pt idx="20">
                  <c:v>134.38857556224198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8CA-4578-BBFE-F9BC21A0002B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Dados!$AM$2:$AM$22</c:f>
              <c:numCache>
                <c:formatCode>General</c:formatCode>
                <c:ptCount val="21"/>
                <c:pt idx="0">
                  <c:v>1</c:v>
                </c:pt>
                <c:pt idx="1">
                  <c:v>1.2338599515323854</c:v>
                </c:pt>
                <c:pt idx="2">
                  <c:v>1.6514045152246981</c:v>
                </c:pt>
                <c:pt idx="3">
                  <c:v>2.1964530678806216</c:v>
                </c:pt>
                <c:pt idx="4">
                  <c:v>2.7030513802100948</c:v>
                </c:pt>
                <c:pt idx="5">
                  <c:v>3.3354312570936284</c:v>
                </c:pt>
                <c:pt idx="6">
                  <c:v>4.1569761825280374</c:v>
                </c:pt>
                <c:pt idx="7">
                  <c:v>5.2120625371237557</c:v>
                </c:pt>
                <c:pt idx="8">
                  <c:v>6.8818077808946017</c:v>
                </c:pt>
                <c:pt idx="9">
                  <c:v>9.0549579255267236</c:v>
                </c:pt>
                <c:pt idx="10">
                  <c:v>11.603942519208582</c:v>
                </c:pt>
                <c:pt idx="11">
                  <c:v>14.653465440795577</c:v>
                </c:pt>
                <c:pt idx="12">
                  <c:v>19.561964060695995</c:v>
                </c:pt>
                <c:pt idx="13">
                  <c:v>26.208248610056948</c:v>
                </c:pt>
                <c:pt idx="14">
                  <c:v>32.426890750250038</c:v>
                </c:pt>
                <c:pt idx="15">
                  <c:v>40.718082395013766</c:v>
                </c:pt>
                <c:pt idx="16">
                  <c:v>49.781300175089157</c:v>
                </c:pt>
                <c:pt idx="17">
                  <c:v>64.565121449845606</c:v>
                </c:pt>
                <c:pt idx="18">
                  <c:v>79.763671602855936</c:v>
                </c:pt>
                <c:pt idx="19">
                  <c:v>104.25814845642515</c:v>
                </c:pt>
                <c:pt idx="20">
                  <c:v>136.05342417004232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8CA-4578-BBFE-F9BC21A0002B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Dados!$AN$2:$AN$22</c:f>
              <c:numCache>
                <c:formatCode>General</c:formatCode>
                <c:ptCount val="21"/>
                <c:pt idx="0">
                  <c:v>1</c:v>
                </c:pt>
                <c:pt idx="1">
                  <c:v>1.2791242876952109</c:v>
                </c:pt>
                <c:pt idx="2">
                  <c:v>1.6510319156630373</c:v>
                </c:pt>
                <c:pt idx="3">
                  <c:v>2.1834091702628831</c:v>
                </c:pt>
                <c:pt idx="4">
                  <c:v>2.9101446036430212</c:v>
                </c:pt>
                <c:pt idx="5">
                  <c:v>3.630663966040212</c:v>
                </c:pt>
                <c:pt idx="6">
                  <c:v>4.6946729525539972</c:v>
                </c:pt>
                <c:pt idx="7">
                  <c:v>5.8061074548963019</c:v>
                </c:pt>
                <c:pt idx="8">
                  <c:v>7.7508442638329011</c:v>
                </c:pt>
                <c:pt idx="9">
                  <c:v>10.388569748999</c:v>
                </c:pt>
                <c:pt idx="10">
                  <c:v>13.750110088434985</c:v>
                </c:pt>
                <c:pt idx="11">
                  <c:v>17.215831135569875</c:v>
                </c:pt>
                <c:pt idx="12">
                  <c:v>22.741497310096104</c:v>
                </c:pt>
                <c:pt idx="13">
                  <c:v>28.774931598192364</c:v>
                </c:pt>
                <c:pt idx="14">
                  <c:v>35.563272793046664</c:v>
                </c:pt>
                <c:pt idx="15">
                  <c:v>45.299917503356525</c:v>
                </c:pt>
                <c:pt idx="16">
                  <c:v>58.373164183495263</c:v>
                </c:pt>
                <c:pt idx="17">
                  <c:v>71.324287011886398</c:v>
                </c:pt>
                <c:pt idx="18">
                  <c:v>87.228781740831678</c:v>
                </c:pt>
                <c:pt idx="19">
                  <c:v>111.19362394855189</c:v>
                </c:pt>
                <c:pt idx="20">
                  <c:v>137.13919838388981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8CA-4578-BBFE-F9BC21A0002B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Dados!$AO$2:$AO$22</c:f>
              <c:numCache>
                <c:formatCode>General</c:formatCode>
                <c:ptCount val="21"/>
                <c:pt idx="0">
                  <c:v>1</c:v>
                </c:pt>
                <c:pt idx="1">
                  <c:v>1.2565479217202982</c:v>
                </c:pt>
                <c:pt idx="2">
                  <c:v>1.653549716638951</c:v>
                </c:pt>
                <c:pt idx="3">
                  <c:v>2.0994959458089166</c:v>
                </c:pt>
                <c:pt idx="4">
                  <c:v>2.8182281610507163</c:v>
                </c:pt>
                <c:pt idx="5">
                  <c:v>3.4467060539831653</c:v>
                </c:pt>
                <c:pt idx="6">
                  <c:v>4.2752760162045265</c:v>
                </c:pt>
                <c:pt idx="7">
                  <c:v>5.3291659327112795</c:v>
                </c:pt>
                <c:pt idx="8">
                  <c:v>6.933633900914205</c:v>
                </c:pt>
                <c:pt idx="9">
                  <c:v>9.0340113196005873</c:v>
                </c:pt>
                <c:pt idx="10">
                  <c:v>11.504082287102237</c:v>
                </c:pt>
                <c:pt idx="11">
                  <c:v>14.95974552544696</c:v>
                </c:pt>
                <c:pt idx="12">
                  <c:v>19.811683523370775</c:v>
                </c:pt>
                <c:pt idx="13">
                  <c:v>24.825867184912045</c:v>
                </c:pt>
                <c:pt idx="14">
                  <c:v>30.540601742760547</c:v>
                </c:pt>
                <c:pt idx="15">
                  <c:v>38.858953126906648</c:v>
                </c:pt>
                <c:pt idx="16">
                  <c:v>48.413103157840112</c:v>
                </c:pt>
                <c:pt idx="17">
                  <c:v>64.642304470545298</c:v>
                </c:pt>
                <c:pt idx="18">
                  <c:v>84.006180551878856</c:v>
                </c:pt>
                <c:pt idx="19">
                  <c:v>112.75228538747793</c:v>
                </c:pt>
                <c:pt idx="20">
                  <c:v>147.3868045196657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8CA-4578-BBFE-F9BC21A0002B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Dados!$AP$2:$AP$22</c:f>
              <c:numCache>
                <c:formatCode>General</c:formatCode>
                <c:ptCount val="21"/>
                <c:pt idx="0">
                  <c:v>1</c:v>
                </c:pt>
                <c:pt idx="1">
                  <c:v>1.2884124385407019</c:v>
                </c:pt>
                <c:pt idx="2">
                  <c:v>1.5778181258807071</c:v>
                </c:pt>
                <c:pt idx="3">
                  <c:v>2.0995830848507633</c:v>
                </c:pt>
                <c:pt idx="4">
                  <c:v>2.800164163664653</c:v>
                </c:pt>
                <c:pt idx="5">
                  <c:v>3.486855820617361</c:v>
                </c:pt>
                <c:pt idx="6">
                  <c:v>4.5546212949897953</c:v>
                </c:pt>
                <c:pt idx="7">
                  <c:v>5.6823107089751588</c:v>
                </c:pt>
                <c:pt idx="8">
                  <c:v>6.9911712718710621</c:v>
                </c:pt>
                <c:pt idx="9">
                  <c:v>8.828009305213369</c:v>
                </c:pt>
                <c:pt idx="10">
                  <c:v>11.201552069523308</c:v>
                </c:pt>
                <c:pt idx="11">
                  <c:v>14.518695928802568</c:v>
                </c:pt>
                <c:pt idx="12">
                  <c:v>17.831796021130081</c:v>
                </c:pt>
                <c:pt idx="13">
                  <c:v>22.460338136038249</c:v>
                </c:pt>
                <c:pt idx="14">
                  <c:v>29.639068220605107</c:v>
                </c:pt>
                <c:pt idx="15">
                  <c:v>37.911615392802759</c:v>
                </c:pt>
                <c:pt idx="16">
                  <c:v>49.436814455393275</c:v>
                </c:pt>
                <c:pt idx="17">
                  <c:v>60.997117300884</c:v>
                </c:pt>
                <c:pt idx="18">
                  <c:v>77.536467387965047</c:v>
                </c:pt>
                <c:pt idx="19">
                  <c:v>103.2236895524257</c:v>
                </c:pt>
                <c:pt idx="20">
                  <c:v>129.63306286764762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8CA-4578-BBFE-F9BC21A0002B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Dados!$AQ$2:$AQ$22</c:f>
              <c:numCache>
                <c:formatCode>General</c:formatCode>
                <c:ptCount val="21"/>
                <c:pt idx="0">
                  <c:v>1</c:v>
                </c:pt>
                <c:pt idx="1">
                  <c:v>1.2446605836228861</c:v>
                </c:pt>
                <c:pt idx="2">
                  <c:v>1.6239948089282599</c:v>
                </c:pt>
                <c:pt idx="3">
                  <c:v>2.1463570910665868</c:v>
                </c:pt>
                <c:pt idx="4">
                  <c:v>2.7017242663842835</c:v>
                </c:pt>
                <c:pt idx="5">
                  <c:v>3.6377495369335917</c:v>
                </c:pt>
                <c:pt idx="6">
                  <c:v>4.505407172231866</c:v>
                </c:pt>
                <c:pt idx="7">
                  <c:v>5.7844141800678832</c:v>
                </c:pt>
                <c:pt idx="8">
                  <c:v>7.1916350684222277</c:v>
                </c:pt>
                <c:pt idx="9">
                  <c:v>9.4702458969782786</c:v>
                </c:pt>
                <c:pt idx="10">
                  <c:v>12.413098505234997</c:v>
                </c:pt>
                <c:pt idx="11">
                  <c:v>15.687491625750395</c:v>
                </c:pt>
                <c:pt idx="12">
                  <c:v>19.974899167915179</c:v>
                </c:pt>
                <c:pt idx="13">
                  <c:v>26.382608879827465</c:v>
                </c:pt>
                <c:pt idx="14">
                  <c:v>32.800439826442847</c:v>
                </c:pt>
                <c:pt idx="15">
                  <c:v>40.754322654487311</c:v>
                </c:pt>
                <c:pt idx="16">
                  <c:v>53.129960632068112</c:v>
                </c:pt>
                <c:pt idx="17">
                  <c:v>69.304245707559659</c:v>
                </c:pt>
                <c:pt idx="18">
                  <c:v>87.15610709436136</c:v>
                </c:pt>
                <c:pt idx="19">
                  <c:v>111.42349836458105</c:v>
                </c:pt>
                <c:pt idx="20">
                  <c:v>148.29104166159797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8CA-4578-BBFE-F9BC21A0002B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Dados!$AR$2:$AR$22</c:f>
              <c:numCache>
                <c:formatCode>General</c:formatCode>
                <c:ptCount val="21"/>
                <c:pt idx="0">
                  <c:v>1</c:v>
                </c:pt>
                <c:pt idx="1">
                  <c:v>1.3258825830933172</c:v>
                </c:pt>
                <c:pt idx="2">
                  <c:v>1.7493736671603177</c:v>
                </c:pt>
                <c:pt idx="3">
                  <c:v>2.332530528137347</c:v>
                </c:pt>
                <c:pt idx="4">
                  <c:v>3.1346689589648649</c:v>
                </c:pt>
                <c:pt idx="5">
                  <c:v>3.8328257723353847</c:v>
                </c:pt>
                <c:pt idx="6">
                  <c:v>5.0668291290890073</c:v>
                </c:pt>
                <c:pt idx="7">
                  <c:v>6.572354583798858</c:v>
                </c:pt>
                <c:pt idx="8">
                  <c:v>8.3199669905942901</c:v>
                </c:pt>
                <c:pt idx="9">
                  <c:v>10.172371878666505</c:v>
                </c:pt>
                <c:pt idx="10">
                  <c:v>13.112750963148034</c:v>
                </c:pt>
                <c:pt idx="11">
                  <c:v>16.303961768351165</c:v>
                </c:pt>
                <c:pt idx="12">
                  <c:v>21.381476904283893</c:v>
                </c:pt>
                <c:pt idx="13">
                  <c:v>26.318925745450372</c:v>
                </c:pt>
                <c:pt idx="14">
                  <c:v>32.597731692088573</c:v>
                </c:pt>
                <c:pt idx="15">
                  <c:v>40.736672529173539</c:v>
                </c:pt>
                <c:pt idx="16">
                  <c:v>51.456571137087593</c:v>
                </c:pt>
                <c:pt idx="17">
                  <c:v>63.977463754338764</c:v>
                </c:pt>
                <c:pt idx="18">
                  <c:v>85.396189595506129</c:v>
                </c:pt>
                <c:pt idx="19">
                  <c:v>107.66662315860545</c:v>
                </c:pt>
                <c:pt idx="20">
                  <c:v>133.18996627458489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8CA-4578-BBFE-F9BC21A0002B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Dados!$AS$2:$AS$22</c:f>
              <c:numCache>
                <c:formatCode>General</c:formatCode>
                <c:ptCount val="21"/>
                <c:pt idx="0">
                  <c:v>1</c:v>
                </c:pt>
                <c:pt idx="1">
                  <c:v>1.3068737206478516</c:v>
                </c:pt>
                <c:pt idx="2">
                  <c:v>1.7483261620077548</c:v>
                </c:pt>
                <c:pt idx="3">
                  <c:v>2.1854924132479727</c:v>
                </c:pt>
                <c:pt idx="4">
                  <c:v>2.755523318855345</c:v>
                </c:pt>
                <c:pt idx="5">
                  <c:v>3.5708079158205726</c:v>
                </c:pt>
                <c:pt idx="6">
                  <c:v>4.7031164551417532</c:v>
                </c:pt>
                <c:pt idx="7">
                  <c:v>6.2619060127504698</c:v>
                </c:pt>
                <c:pt idx="8">
                  <c:v>8.2080379898306077</c:v>
                </c:pt>
                <c:pt idx="9">
                  <c:v>10.713366848679497</c:v>
                </c:pt>
                <c:pt idx="10">
                  <c:v>13.143547103294059</c:v>
                </c:pt>
                <c:pt idx="11">
                  <c:v>16.329664712198007</c:v>
                </c:pt>
                <c:pt idx="12">
                  <c:v>20.050598079317894</c:v>
                </c:pt>
                <c:pt idx="13">
                  <c:v>26.507106546741859</c:v>
                </c:pt>
                <c:pt idx="14">
                  <c:v>33.613974369620493</c:v>
                </c:pt>
                <c:pt idx="15">
                  <c:v>42.557204179962035</c:v>
                </c:pt>
                <c:pt idx="16">
                  <c:v>55.275771464422846</c:v>
                </c:pt>
                <c:pt idx="17">
                  <c:v>74.201463892494601</c:v>
                </c:pt>
                <c:pt idx="18">
                  <c:v>92.717742261308047</c:v>
                </c:pt>
                <c:pt idx="19">
                  <c:v>118.52956764840769</c:v>
                </c:pt>
                <c:pt idx="20">
                  <c:v>152.26365371073314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8CA-4578-BBFE-F9BC21A0002B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Dados!$AT$2:$AT$22</c:f>
              <c:numCache>
                <c:formatCode>General</c:formatCode>
                <c:ptCount val="21"/>
                <c:pt idx="0">
                  <c:v>1</c:v>
                </c:pt>
                <c:pt idx="1">
                  <c:v>1.3157966668393755</c:v>
                </c:pt>
                <c:pt idx="2">
                  <c:v>1.6308594894492581</c:v>
                </c:pt>
                <c:pt idx="3">
                  <c:v>2.1090160864930088</c:v>
                </c:pt>
                <c:pt idx="4">
                  <c:v>2.830858602070653</c:v>
                </c:pt>
                <c:pt idx="5">
                  <c:v>3.623473680993138</c:v>
                </c:pt>
                <c:pt idx="6">
                  <c:v>4.8865598081363508</c:v>
                </c:pt>
                <c:pt idx="7">
                  <c:v>6.2921079161049445</c:v>
                </c:pt>
                <c:pt idx="8">
                  <c:v>7.9687657661526128</c:v>
                </c:pt>
                <c:pt idx="9">
                  <c:v>10.408934122052548</c:v>
                </c:pt>
                <c:pt idx="10">
                  <c:v>13.460255072747135</c:v>
                </c:pt>
                <c:pt idx="11">
                  <c:v>16.820564779238545</c:v>
                </c:pt>
                <c:pt idx="12">
                  <c:v>22.108851206609973</c:v>
                </c:pt>
                <c:pt idx="13">
                  <c:v>27.544226403608736</c:v>
                </c:pt>
                <c:pt idx="14">
                  <c:v>35.710772299359967</c:v>
                </c:pt>
                <c:pt idx="15">
                  <c:v>46.247500699400945</c:v>
                </c:pt>
                <c:pt idx="16">
                  <c:v>62.231354401916008</c:v>
                </c:pt>
                <c:pt idx="17">
                  <c:v>83.57544482234529</c:v>
                </c:pt>
                <c:pt idx="18">
                  <c:v>105.9895358961865</c:v>
                </c:pt>
                <c:pt idx="19">
                  <c:v>132.00856746701544</c:v>
                </c:pt>
                <c:pt idx="20">
                  <c:v>177.15923502702165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F8CA-4578-BBFE-F9BC21A0002B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Dados!$AU$2:$AU$22</c:f>
              <c:numCache>
                <c:formatCode>General</c:formatCode>
                <c:ptCount val="21"/>
                <c:pt idx="0">
                  <c:v>1</c:v>
                </c:pt>
                <c:pt idx="1">
                  <c:v>1.3431337874616205</c:v>
                </c:pt>
                <c:pt idx="2">
                  <c:v>1.7165814689901258</c:v>
                </c:pt>
                <c:pt idx="3">
                  <c:v>2.2124109607820883</c:v>
                </c:pt>
                <c:pt idx="4">
                  <c:v>2.9647458680443557</c:v>
                </c:pt>
                <c:pt idx="5">
                  <c:v>3.7608778753790539</c:v>
                </c:pt>
                <c:pt idx="6">
                  <c:v>4.9125182156337583</c:v>
                </c:pt>
                <c:pt idx="7">
                  <c:v>6.3834975203491195</c:v>
                </c:pt>
                <c:pt idx="8">
                  <c:v>8.0790281206248977</c:v>
                </c:pt>
                <c:pt idx="9">
                  <c:v>10.601449290125844</c:v>
                </c:pt>
                <c:pt idx="10">
                  <c:v>14.001059902030308</c:v>
                </c:pt>
                <c:pt idx="11">
                  <c:v>18.75450264628477</c:v>
                </c:pt>
                <c:pt idx="12">
                  <c:v>24.407223539554131</c:v>
                </c:pt>
                <c:pt idx="13">
                  <c:v>30.221080012253584</c:v>
                </c:pt>
                <c:pt idx="14">
                  <c:v>38.167037356565835</c:v>
                </c:pt>
                <c:pt idx="15">
                  <c:v>50.843746988482792</c:v>
                </c:pt>
                <c:pt idx="16">
                  <c:v>68.070022463569472</c:v>
                </c:pt>
                <c:pt idx="17">
                  <c:v>87.388091927316466</c:v>
                </c:pt>
                <c:pt idx="18">
                  <c:v>110.23643517037368</c:v>
                </c:pt>
                <c:pt idx="19">
                  <c:v>147.27479065125999</c:v>
                </c:pt>
                <c:pt idx="20">
                  <c:v>185.09120351031908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8CA-4578-BBFE-F9BC21A0002B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Dados!$AV$2:$AV$22</c:f>
              <c:numCache>
                <c:formatCode>General</c:formatCode>
                <c:ptCount val="21"/>
                <c:pt idx="0">
                  <c:v>1</c:v>
                </c:pt>
                <c:pt idx="1">
                  <c:v>1.2368531217691943</c:v>
                </c:pt>
                <c:pt idx="2">
                  <c:v>1.6178045780762862</c:v>
                </c:pt>
                <c:pt idx="3">
                  <c:v>2.0819808359936336</c:v>
                </c:pt>
                <c:pt idx="4">
                  <c:v>2.5463417637610308</c:v>
                </c:pt>
                <c:pt idx="5">
                  <c:v>3.329428287468482</c:v>
                </c:pt>
                <c:pt idx="6">
                  <c:v>4.3562723547538207</c:v>
                </c:pt>
                <c:pt idx="7">
                  <c:v>5.8644531815186518</c:v>
                </c:pt>
                <c:pt idx="8">
                  <c:v>7.1736163874341097</c:v>
                </c:pt>
                <c:pt idx="9">
                  <c:v>9.3632214057221397</c:v>
                </c:pt>
                <c:pt idx="10">
                  <c:v>12.524324751491559</c:v>
                </c:pt>
                <c:pt idx="11">
                  <c:v>15.859208834392737</c:v>
                </c:pt>
                <c:pt idx="12">
                  <c:v>20.665333066995217</c:v>
                </c:pt>
                <c:pt idx="13">
                  <c:v>26.483440177768166</c:v>
                </c:pt>
                <c:pt idx="14">
                  <c:v>33.249809642330291</c:v>
                </c:pt>
                <c:pt idx="15">
                  <c:v>42.727805725981618</c:v>
                </c:pt>
                <c:pt idx="16">
                  <c:v>57.01003231188691</c:v>
                </c:pt>
                <c:pt idx="17">
                  <c:v>75.183654108754538</c:v>
                </c:pt>
                <c:pt idx="18">
                  <c:v>95.718015141914719</c:v>
                </c:pt>
                <c:pt idx="19">
                  <c:v>124.84845717812473</c:v>
                </c:pt>
                <c:pt idx="20">
                  <c:v>157.41335838627506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8CA-4578-BBFE-F9BC21A0002B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Dados!$AW$2:$AW$22</c:f>
              <c:numCache>
                <c:formatCode>General</c:formatCode>
                <c:ptCount val="21"/>
                <c:pt idx="0">
                  <c:v>1</c:v>
                </c:pt>
                <c:pt idx="1">
                  <c:v>1.2872734491469218</c:v>
                </c:pt>
                <c:pt idx="2">
                  <c:v>1.5956992020442982</c:v>
                </c:pt>
                <c:pt idx="3">
                  <c:v>1.9744318229486237</c:v>
                </c:pt>
                <c:pt idx="4">
                  <c:v>2.5261833114731957</c:v>
                </c:pt>
                <c:pt idx="5">
                  <c:v>3.2221866546333464</c:v>
                </c:pt>
                <c:pt idx="6">
                  <c:v>4.0690128267998542</c:v>
                </c:pt>
                <c:pt idx="7">
                  <c:v>5.0855150769474022</c:v>
                </c:pt>
                <c:pt idx="8">
                  <c:v>6.5325335691268656</c:v>
                </c:pt>
                <c:pt idx="9">
                  <c:v>8.479607978192</c:v>
                </c:pt>
                <c:pt idx="10">
                  <c:v>11.253923793401503</c:v>
                </c:pt>
                <c:pt idx="11">
                  <c:v>13.786413400752592</c:v>
                </c:pt>
                <c:pt idx="12">
                  <c:v>17.526729804324983</c:v>
                </c:pt>
                <c:pt idx="13">
                  <c:v>23.652588036256883</c:v>
                </c:pt>
                <c:pt idx="14">
                  <c:v>29.162125350458417</c:v>
                </c:pt>
                <c:pt idx="15">
                  <c:v>37.096075789840256</c:v>
                </c:pt>
                <c:pt idx="16">
                  <c:v>47.967525788498911</c:v>
                </c:pt>
                <c:pt idx="17">
                  <c:v>59.720127409296026</c:v>
                </c:pt>
                <c:pt idx="18">
                  <c:v>74.208779722548471</c:v>
                </c:pt>
                <c:pt idx="19">
                  <c:v>98.397452884691845</c:v>
                </c:pt>
                <c:pt idx="20">
                  <c:v>125.46032571436173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8CA-4578-BBFE-F9BC21A0002B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Dados!$AX$2:$AX$22</c:f>
              <c:numCache>
                <c:formatCode>General</c:formatCode>
                <c:ptCount val="21"/>
                <c:pt idx="0">
                  <c:v>1</c:v>
                </c:pt>
                <c:pt idx="1">
                  <c:v>1.3439810829247505</c:v>
                </c:pt>
                <c:pt idx="2">
                  <c:v>1.7432375690298758</c:v>
                </c:pt>
                <c:pt idx="3">
                  <c:v>2.351360800988239</c:v>
                </c:pt>
                <c:pt idx="4">
                  <c:v>3.1026474924805814</c:v>
                </c:pt>
                <c:pt idx="5">
                  <c:v>4.1218485934403937</c:v>
                </c:pt>
                <c:pt idx="6">
                  <c:v>5.3539070497413936</c:v>
                </c:pt>
                <c:pt idx="7">
                  <c:v>6.6055297677232696</c:v>
                </c:pt>
                <c:pt idx="8">
                  <c:v>8.2987728620458618</c:v>
                </c:pt>
                <c:pt idx="9">
                  <c:v>10.270424008216883</c:v>
                </c:pt>
                <c:pt idx="10">
                  <c:v>12.871420448517068</c:v>
                </c:pt>
                <c:pt idx="11">
                  <c:v>17.093703949588683</c:v>
                </c:pt>
                <c:pt idx="12">
                  <c:v>23.037741511799037</c:v>
                </c:pt>
                <c:pt idx="13">
                  <c:v>28.661623623970844</c:v>
                </c:pt>
                <c:pt idx="14">
                  <c:v>37.189637444866385</c:v>
                </c:pt>
                <c:pt idx="15">
                  <c:v>50.083814641598536</c:v>
                </c:pt>
                <c:pt idx="16">
                  <c:v>66.407106315358021</c:v>
                </c:pt>
                <c:pt idx="17">
                  <c:v>84.79478476407381</c:v>
                </c:pt>
                <c:pt idx="18">
                  <c:v>108.97629763467231</c:v>
                </c:pt>
                <c:pt idx="19">
                  <c:v>147.05712578408495</c:v>
                </c:pt>
                <c:pt idx="20">
                  <c:v>182.03472487372559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F8CA-4578-BBFE-F9BC21A0002B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Dados!$AY$2:$AY$22</c:f>
              <c:numCache>
                <c:formatCode>General</c:formatCode>
                <c:ptCount val="21"/>
                <c:pt idx="0">
                  <c:v>1</c:v>
                </c:pt>
                <c:pt idx="1">
                  <c:v>1.239646780562768</c:v>
                </c:pt>
                <c:pt idx="2">
                  <c:v>1.6119967167630744</c:v>
                </c:pt>
                <c:pt idx="3">
                  <c:v>2.0852540115852669</c:v>
                </c:pt>
                <c:pt idx="4">
                  <c:v>2.7940282507471399</c:v>
                </c:pt>
                <c:pt idx="5">
                  <c:v>3.4977630020468404</c:v>
                </c:pt>
                <c:pt idx="6">
                  <c:v>4.377734219319259</c:v>
                </c:pt>
                <c:pt idx="7">
                  <c:v>5.8959228004385347</c:v>
                </c:pt>
                <c:pt idx="8">
                  <c:v>7.519508013532116</c:v>
                </c:pt>
                <c:pt idx="9">
                  <c:v>9.9419591314732862</c:v>
                </c:pt>
                <c:pt idx="10">
                  <c:v>12.143538387377831</c:v>
                </c:pt>
                <c:pt idx="11">
                  <c:v>15.513072582598241</c:v>
                </c:pt>
                <c:pt idx="12">
                  <c:v>20.807661247842905</c:v>
                </c:pt>
                <c:pt idx="13">
                  <c:v>27.499053833396697</c:v>
                </c:pt>
                <c:pt idx="14">
                  <c:v>35.259537371099597</c:v>
                </c:pt>
                <c:pt idx="15">
                  <c:v>47.077972806368898</c:v>
                </c:pt>
                <c:pt idx="16">
                  <c:v>59.277491658767794</c:v>
                </c:pt>
                <c:pt idx="17">
                  <c:v>74.785496431252326</c:v>
                </c:pt>
                <c:pt idx="18">
                  <c:v>97.080243872383733</c:v>
                </c:pt>
                <c:pt idx="19">
                  <c:v>128.1443428882348</c:v>
                </c:pt>
                <c:pt idx="20">
                  <c:v>172.81276992045724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8CA-4578-BBFE-F9BC21A0002B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Dados!$AZ$2:$AZ$22</c:f>
              <c:numCache>
                <c:formatCode>General</c:formatCode>
                <c:ptCount val="21"/>
                <c:pt idx="0">
                  <c:v>1</c:v>
                </c:pt>
                <c:pt idx="1">
                  <c:v>1.2774837765251668</c:v>
                </c:pt>
                <c:pt idx="2">
                  <c:v>1.7187476879107633</c:v>
                </c:pt>
                <c:pt idx="3">
                  <c:v>2.2614802405531895</c:v>
                </c:pt>
                <c:pt idx="4">
                  <c:v>2.9957740377493938</c:v>
                </c:pt>
                <c:pt idx="5">
                  <c:v>3.6808721026230162</c:v>
                </c:pt>
                <c:pt idx="6">
                  <c:v>4.6776426594319762</c:v>
                </c:pt>
                <c:pt idx="7">
                  <c:v>6.2475597174187216</c:v>
                </c:pt>
                <c:pt idx="8">
                  <c:v>7.7726297400190631</c:v>
                </c:pt>
                <c:pt idx="9">
                  <c:v>9.987721178128071</c:v>
                </c:pt>
                <c:pt idx="10">
                  <c:v>12.335207798118883</c:v>
                </c:pt>
                <c:pt idx="11">
                  <c:v>16.337270271136259</c:v>
                </c:pt>
                <c:pt idx="12">
                  <c:v>20.165715353925801</c:v>
                </c:pt>
                <c:pt idx="13">
                  <c:v>26.894134960144971</c:v>
                </c:pt>
                <c:pt idx="14">
                  <c:v>35.479891937934546</c:v>
                </c:pt>
                <c:pt idx="15">
                  <c:v>45.685288755209406</c:v>
                </c:pt>
                <c:pt idx="16">
                  <c:v>56.539960762128452</c:v>
                </c:pt>
                <c:pt idx="17">
                  <c:v>70.505145921345616</c:v>
                </c:pt>
                <c:pt idx="18">
                  <c:v>91.816695430904034</c:v>
                </c:pt>
                <c:pt idx="19">
                  <c:v>123.70609901906774</c:v>
                </c:pt>
                <c:pt idx="20">
                  <c:v>155.45367818120459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8CA-4578-BBFE-F9BC21A00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828456"/>
        <c:axId val="369828848"/>
      </c:lineChart>
      <c:catAx>
        <c:axId val="369828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00"/>
                  <a:t>tempo </a:t>
                </a:r>
                <a:r>
                  <a:rPr lang="pt-BR" sz="10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69828848"/>
        <c:crosses val="autoZero"/>
        <c:auto val="1"/>
        <c:lblAlgn val="ctr"/>
        <c:lblOffset val="100"/>
        <c:tickLblSkip val="1"/>
        <c:noMultiLvlLbl val="0"/>
      </c:catAx>
      <c:valAx>
        <c:axId val="36982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pt-BR" sz="12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69828456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69466316710421"/>
          <c:y val="5.0925925925925923E-2"/>
          <c:w val="0.83874978127734034"/>
          <c:h val="0.76169181977252942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Dados!$BB$2:$BB$22</c:f>
              <c:numCache>
                <c:formatCode>General</c:formatCode>
                <c:ptCount val="21"/>
                <c:pt idx="0">
                  <c:v>1</c:v>
                </c:pt>
                <c:pt idx="1">
                  <c:v>1.2215753926405843</c:v>
                </c:pt>
                <c:pt idx="2">
                  <c:v>1.5335783170049955</c:v>
                </c:pt>
                <c:pt idx="3">
                  <c:v>1.9744318229486237</c:v>
                </c:pt>
                <c:pt idx="4">
                  <c:v>2.4664263777867665</c:v>
                </c:pt>
                <c:pt idx="5">
                  <c:v>3.1425118333590278</c:v>
                </c:pt>
                <c:pt idx="6">
                  <c:v>3.8998812672433094</c:v>
                </c:pt>
                <c:pt idx="7">
                  <c:v>5.0036950109186487</c:v>
                </c:pt>
                <c:pt idx="8">
                  <c:v>6.5237913618074419</c:v>
                </c:pt>
                <c:pt idx="9">
                  <c:v>8.2354847388285428</c:v>
                </c:pt>
                <c:pt idx="10">
                  <c:v>10.302402951373301</c:v>
                </c:pt>
                <c:pt idx="11">
                  <c:v>13.56881047904373</c:v>
                </c:pt>
                <c:pt idx="12">
                  <c:v>17.244418707001696</c:v>
                </c:pt>
                <c:pt idx="13">
                  <c:v>21.849453022142278</c:v>
                </c:pt>
                <c:pt idx="14">
                  <c:v>27.932812859459681</c:v>
                </c:pt>
                <c:pt idx="15">
                  <c:v>36.386304158527231</c:v>
                </c:pt>
                <c:pt idx="16">
                  <c:v>45.537151566589834</c:v>
                </c:pt>
                <c:pt idx="17">
                  <c:v>57.459216971681556</c:v>
                </c:pt>
                <c:pt idx="18">
                  <c:v>74.208779722548471</c:v>
                </c:pt>
                <c:pt idx="19">
                  <c:v>93.782188916548208</c:v>
                </c:pt>
                <c:pt idx="20">
                  <c:v>120.97633247645237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B-4E22-B642-C8E0AD138F1B}"/>
            </c:ext>
          </c:extLst>
        </c:ser>
        <c:ser>
          <c:idx val="0"/>
          <c:order val="1"/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Dados!$BC$2:$BC$22</c:f>
              <c:numCache>
                <c:formatCode>General</c:formatCode>
                <c:ptCount val="21"/>
                <c:pt idx="0">
                  <c:v>1</c:v>
                </c:pt>
                <c:pt idx="1">
                  <c:v>1.345168256935402</c:v>
                </c:pt>
                <c:pt idx="2">
                  <c:v>1.748428590987857</c:v>
                </c:pt>
                <c:pt idx="3">
                  <c:v>2.332530528137347</c:v>
                </c:pt>
                <c:pt idx="4">
                  <c:v>2.9957740377493938</c:v>
                </c:pt>
                <c:pt idx="5">
                  <c:v>3.7608778753790539</c:v>
                </c:pt>
                <c:pt idx="6">
                  <c:v>4.9218414328142641</c:v>
                </c:pt>
                <c:pt idx="7">
                  <c:v>6.5646643849697659</c:v>
                </c:pt>
                <c:pt idx="8">
                  <c:v>8.2987728620458618</c:v>
                </c:pt>
                <c:pt idx="9">
                  <c:v>10.601449290125844</c:v>
                </c:pt>
                <c:pt idx="10">
                  <c:v>13.750110088434985</c:v>
                </c:pt>
                <c:pt idx="11">
                  <c:v>17.761848571807597</c:v>
                </c:pt>
                <c:pt idx="12">
                  <c:v>23.10148908512841</c:v>
                </c:pt>
                <c:pt idx="13">
                  <c:v>29.465583309161339</c:v>
                </c:pt>
                <c:pt idx="14">
                  <c:v>38.515082268468532</c:v>
                </c:pt>
                <c:pt idx="15">
                  <c:v>50.758203673235435</c:v>
                </c:pt>
                <c:pt idx="16">
                  <c:v>66.407106315358021</c:v>
                </c:pt>
                <c:pt idx="17">
                  <c:v>86.774537100898371</c:v>
                </c:pt>
                <c:pt idx="18">
                  <c:v>110.23643517037368</c:v>
                </c:pt>
                <c:pt idx="19">
                  <c:v>147.05712578408495</c:v>
                </c:pt>
                <c:pt idx="20">
                  <c:v>182.03472487372559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B-4E22-B642-C8E0AD138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001392"/>
        <c:axId val="368006880"/>
      </c:lineChart>
      <c:catAx>
        <c:axId val="36800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00"/>
                  <a:t>tempo </a:t>
                </a:r>
                <a:r>
                  <a:rPr lang="pt-BR" sz="10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68006880"/>
        <c:crosses val="autoZero"/>
        <c:auto val="1"/>
        <c:lblAlgn val="ctr"/>
        <c:lblOffset val="100"/>
        <c:tickLblSkip val="1"/>
        <c:noMultiLvlLbl val="0"/>
      </c:catAx>
      <c:valAx>
        <c:axId val="36800688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pt-BR" sz="12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6800139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07174103237094"/>
          <c:y val="2.7989821882951658E-2"/>
          <c:w val="0.82681014873140857"/>
          <c:h val="0.78711358996792036"/>
        </c:manualLayout>
      </c:layout>
      <c:scatterChart>
        <c:scatterStyle val="lineMarker"/>
        <c:varyColors val="0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gráficos!$AH$4:$AZ$4</c:f>
              <c:numCache>
                <c:formatCode>General</c:formatCode>
                <c:ptCount val="19"/>
                <c:pt idx="0">
                  <c:v>0.6</c:v>
                </c:pt>
                <c:pt idx="1">
                  <c:v>1.4</c:v>
                </c:pt>
                <c:pt idx="2">
                  <c:v>1</c:v>
                </c:pt>
                <c:pt idx="3">
                  <c:v>1</c:v>
                </c:pt>
                <c:pt idx="4">
                  <c:v>0.6</c:v>
                </c:pt>
                <c:pt idx="5">
                  <c:v>0.6</c:v>
                </c:pt>
                <c:pt idx="6">
                  <c:v>1.4</c:v>
                </c:pt>
                <c:pt idx="7">
                  <c:v>1.4</c:v>
                </c:pt>
                <c:pt idx="8">
                  <c:v>1</c:v>
                </c:pt>
                <c:pt idx="9">
                  <c:v>1</c:v>
                </c:pt>
                <c:pt idx="10">
                  <c:v>0.6</c:v>
                </c:pt>
                <c:pt idx="11">
                  <c:v>1.4</c:v>
                </c:pt>
                <c:pt idx="12">
                  <c:v>1</c:v>
                </c:pt>
                <c:pt idx="13">
                  <c:v>1</c:v>
                </c:pt>
                <c:pt idx="14">
                  <c:v>0.6</c:v>
                </c:pt>
                <c:pt idx="15">
                  <c:v>0.6</c:v>
                </c:pt>
                <c:pt idx="16">
                  <c:v>1.4</c:v>
                </c:pt>
                <c:pt idx="17">
                  <c:v>1.4</c:v>
                </c:pt>
                <c:pt idx="18">
                  <c:v>1</c:v>
                </c:pt>
              </c:numCache>
            </c:numRef>
          </c:xVal>
          <c:yVal>
            <c:numRef>
              <c:f>gráficos!$N$4:$AF$4</c:f>
              <c:numCache>
                <c:formatCode>General</c:formatCode>
                <c:ptCount val="19"/>
                <c:pt idx="0">
                  <c:v>1.2215753926405843</c:v>
                </c:pt>
                <c:pt idx="1">
                  <c:v>1.2215753926405843</c:v>
                </c:pt>
                <c:pt idx="2">
                  <c:v>1.2215753926405843</c:v>
                </c:pt>
                <c:pt idx="3">
                  <c:v>1.2449119566821207</c:v>
                </c:pt>
                <c:pt idx="4">
                  <c:v>1.2449119566821207</c:v>
                </c:pt>
                <c:pt idx="5">
                  <c:v>1.2758757322065744</c:v>
                </c:pt>
                <c:pt idx="6">
                  <c:v>1.2758757322065744</c:v>
                </c:pt>
                <c:pt idx="7">
                  <c:v>1.3037631688718436</c:v>
                </c:pt>
                <c:pt idx="8">
                  <c:v>1.3037631688718436</c:v>
                </c:pt>
                <c:pt idx="9">
                  <c:v>1.3480091461350823</c:v>
                </c:pt>
                <c:pt idx="10">
                  <c:v>1.3480091461350823</c:v>
                </c:pt>
                <c:pt idx="11">
                  <c:v>1.3480091461350823</c:v>
                </c:pt>
                <c:pt idx="12">
                  <c:v>1.3480091461350823</c:v>
                </c:pt>
                <c:pt idx="13">
                  <c:v>1.3037631688718436</c:v>
                </c:pt>
                <c:pt idx="14">
                  <c:v>1.3037631688718436</c:v>
                </c:pt>
                <c:pt idx="15">
                  <c:v>1.2758757322065744</c:v>
                </c:pt>
                <c:pt idx="16">
                  <c:v>1.2758757322065744</c:v>
                </c:pt>
                <c:pt idx="17">
                  <c:v>1.2449119566821207</c:v>
                </c:pt>
                <c:pt idx="18">
                  <c:v>1.2449119566821207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EE-4328-9C35-DA6BE4E736FC}"/>
            </c:ext>
          </c:extLst>
        </c:ser>
        <c:ser>
          <c:idx val="1"/>
          <c:order val="1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gráficos!$AH$5:$AZ$5</c:f>
              <c:numCache>
                <c:formatCode>General</c:formatCode>
                <c:ptCount val="19"/>
                <c:pt idx="0">
                  <c:v>1.6</c:v>
                </c:pt>
                <c:pt idx="1">
                  <c:v>2.4</c:v>
                </c:pt>
                <c:pt idx="2">
                  <c:v>2</c:v>
                </c:pt>
                <c:pt idx="3">
                  <c:v>2</c:v>
                </c:pt>
                <c:pt idx="4">
                  <c:v>1.6</c:v>
                </c:pt>
                <c:pt idx="5">
                  <c:v>1.6</c:v>
                </c:pt>
                <c:pt idx="6">
                  <c:v>2.4</c:v>
                </c:pt>
                <c:pt idx="7">
                  <c:v>2.4</c:v>
                </c:pt>
                <c:pt idx="8">
                  <c:v>2</c:v>
                </c:pt>
                <c:pt idx="9">
                  <c:v>2</c:v>
                </c:pt>
                <c:pt idx="10">
                  <c:v>1.6</c:v>
                </c:pt>
                <c:pt idx="11">
                  <c:v>2.4</c:v>
                </c:pt>
                <c:pt idx="12">
                  <c:v>2</c:v>
                </c:pt>
                <c:pt idx="13">
                  <c:v>2</c:v>
                </c:pt>
                <c:pt idx="14">
                  <c:v>1.6</c:v>
                </c:pt>
                <c:pt idx="15">
                  <c:v>1.6</c:v>
                </c:pt>
                <c:pt idx="16">
                  <c:v>2.4</c:v>
                </c:pt>
                <c:pt idx="17">
                  <c:v>2.4</c:v>
                </c:pt>
                <c:pt idx="18">
                  <c:v>2</c:v>
                </c:pt>
              </c:numCache>
            </c:numRef>
          </c:xVal>
          <c:yVal>
            <c:numRef>
              <c:f>gráficos!$N$5:$AF$5</c:f>
              <c:numCache>
                <c:formatCode>General</c:formatCode>
                <c:ptCount val="19"/>
                <c:pt idx="0">
                  <c:v>1.5335783170049955</c:v>
                </c:pt>
                <c:pt idx="1">
                  <c:v>1.5335783170049955</c:v>
                </c:pt>
                <c:pt idx="2">
                  <c:v>1.5335783170049955</c:v>
                </c:pt>
                <c:pt idx="3">
                  <c:v>1.6185016107457142</c:v>
                </c:pt>
                <c:pt idx="4">
                  <c:v>1.6185016107457142</c:v>
                </c:pt>
                <c:pt idx="5">
                  <c:v>1.6434860281977661</c:v>
                </c:pt>
                <c:pt idx="6">
                  <c:v>1.6434860281977661</c:v>
                </c:pt>
                <c:pt idx="7">
                  <c:v>1.6764298271954319</c:v>
                </c:pt>
                <c:pt idx="8">
                  <c:v>1.6764298271954319</c:v>
                </c:pt>
                <c:pt idx="9">
                  <c:v>1.8103848650011531</c:v>
                </c:pt>
                <c:pt idx="10">
                  <c:v>1.8103848650011531</c:v>
                </c:pt>
                <c:pt idx="11">
                  <c:v>1.8103848650011531</c:v>
                </c:pt>
                <c:pt idx="12">
                  <c:v>1.8103848650011531</c:v>
                </c:pt>
                <c:pt idx="13">
                  <c:v>1.6764298271954319</c:v>
                </c:pt>
                <c:pt idx="14">
                  <c:v>1.6764298271954319</c:v>
                </c:pt>
                <c:pt idx="15">
                  <c:v>1.6434860281977661</c:v>
                </c:pt>
                <c:pt idx="16">
                  <c:v>1.6434860281977661</c:v>
                </c:pt>
                <c:pt idx="17">
                  <c:v>1.6185016107457142</c:v>
                </c:pt>
                <c:pt idx="18">
                  <c:v>1.6185016107457142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EE-4328-9C35-DA6BE4E736FC}"/>
            </c:ext>
          </c:extLst>
        </c:ser>
        <c:ser>
          <c:idx val="2"/>
          <c:order val="2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gráficos!$AH$6:$AZ$6</c:f>
              <c:numCache>
                <c:formatCode>General</c:formatCode>
                <c:ptCount val="19"/>
                <c:pt idx="0">
                  <c:v>2.6</c:v>
                </c:pt>
                <c:pt idx="1">
                  <c:v>3.4</c:v>
                </c:pt>
                <c:pt idx="2">
                  <c:v>3</c:v>
                </c:pt>
                <c:pt idx="3">
                  <c:v>3</c:v>
                </c:pt>
                <c:pt idx="4">
                  <c:v>2.6</c:v>
                </c:pt>
                <c:pt idx="5">
                  <c:v>2.6</c:v>
                </c:pt>
                <c:pt idx="6">
                  <c:v>3.4</c:v>
                </c:pt>
                <c:pt idx="7">
                  <c:v>3.4</c:v>
                </c:pt>
                <c:pt idx="8">
                  <c:v>3</c:v>
                </c:pt>
                <c:pt idx="9">
                  <c:v>3</c:v>
                </c:pt>
                <c:pt idx="10">
                  <c:v>2.6</c:v>
                </c:pt>
                <c:pt idx="11">
                  <c:v>3.4</c:v>
                </c:pt>
                <c:pt idx="12">
                  <c:v>3</c:v>
                </c:pt>
                <c:pt idx="13">
                  <c:v>3</c:v>
                </c:pt>
                <c:pt idx="14">
                  <c:v>2.6</c:v>
                </c:pt>
                <c:pt idx="15">
                  <c:v>2.6</c:v>
                </c:pt>
                <c:pt idx="16">
                  <c:v>3.4</c:v>
                </c:pt>
                <c:pt idx="17">
                  <c:v>3.4</c:v>
                </c:pt>
                <c:pt idx="18">
                  <c:v>3</c:v>
                </c:pt>
              </c:numCache>
            </c:numRef>
          </c:xVal>
          <c:yVal>
            <c:numRef>
              <c:f>gráficos!$N$6:$AF$6</c:f>
              <c:numCache>
                <c:formatCode>General</c:formatCode>
                <c:ptCount val="19"/>
                <c:pt idx="0">
                  <c:v>1.9744318229486237</c:v>
                </c:pt>
                <c:pt idx="1">
                  <c:v>1.9744318229486237</c:v>
                </c:pt>
                <c:pt idx="2">
                  <c:v>1.9744318229486237</c:v>
                </c:pt>
                <c:pt idx="3">
                  <c:v>2.0632150911131544</c:v>
                </c:pt>
                <c:pt idx="4">
                  <c:v>2.0632150911131544</c:v>
                </c:pt>
                <c:pt idx="5">
                  <c:v>2.1045242388059435</c:v>
                </c:pt>
                <c:pt idx="6">
                  <c:v>2.1045242388059435</c:v>
                </c:pt>
                <c:pt idx="7">
                  <c:v>2.181753207444356</c:v>
                </c:pt>
                <c:pt idx="8">
                  <c:v>2.181753207444356</c:v>
                </c:pt>
                <c:pt idx="9">
                  <c:v>2.351360800988239</c:v>
                </c:pt>
                <c:pt idx="10">
                  <c:v>2.351360800988239</c:v>
                </c:pt>
                <c:pt idx="11">
                  <c:v>2.351360800988239</c:v>
                </c:pt>
                <c:pt idx="12">
                  <c:v>2.351360800988239</c:v>
                </c:pt>
                <c:pt idx="13">
                  <c:v>2.181753207444356</c:v>
                </c:pt>
                <c:pt idx="14">
                  <c:v>2.181753207444356</c:v>
                </c:pt>
                <c:pt idx="15">
                  <c:v>2.1045242388059435</c:v>
                </c:pt>
                <c:pt idx="16">
                  <c:v>2.1045242388059435</c:v>
                </c:pt>
                <c:pt idx="17">
                  <c:v>2.0632150911131544</c:v>
                </c:pt>
                <c:pt idx="18">
                  <c:v>2.0632150911131544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EE-4328-9C35-DA6BE4E736FC}"/>
            </c:ext>
          </c:extLst>
        </c:ser>
        <c:ser>
          <c:idx val="3"/>
          <c:order val="3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gráficos!$AH$7:$AZ$7</c:f>
              <c:numCache>
                <c:formatCode>General</c:formatCode>
                <c:ptCount val="19"/>
                <c:pt idx="0">
                  <c:v>3.6</c:v>
                </c:pt>
                <c:pt idx="1">
                  <c:v>4.4000000000000004</c:v>
                </c:pt>
                <c:pt idx="2">
                  <c:v>4</c:v>
                </c:pt>
                <c:pt idx="3">
                  <c:v>4</c:v>
                </c:pt>
                <c:pt idx="4">
                  <c:v>3.6</c:v>
                </c:pt>
                <c:pt idx="5">
                  <c:v>3.6</c:v>
                </c:pt>
                <c:pt idx="6">
                  <c:v>4.4000000000000004</c:v>
                </c:pt>
                <c:pt idx="7">
                  <c:v>4.4000000000000004</c:v>
                </c:pt>
                <c:pt idx="8">
                  <c:v>4</c:v>
                </c:pt>
                <c:pt idx="9">
                  <c:v>4</c:v>
                </c:pt>
                <c:pt idx="10">
                  <c:v>3.6</c:v>
                </c:pt>
                <c:pt idx="11">
                  <c:v>4.4000000000000004</c:v>
                </c:pt>
                <c:pt idx="12">
                  <c:v>4</c:v>
                </c:pt>
                <c:pt idx="13">
                  <c:v>4</c:v>
                </c:pt>
                <c:pt idx="14">
                  <c:v>3.6</c:v>
                </c:pt>
                <c:pt idx="15">
                  <c:v>3.6</c:v>
                </c:pt>
                <c:pt idx="16">
                  <c:v>4.4000000000000004</c:v>
                </c:pt>
                <c:pt idx="17">
                  <c:v>4.4000000000000004</c:v>
                </c:pt>
                <c:pt idx="18">
                  <c:v>4</c:v>
                </c:pt>
              </c:numCache>
            </c:numRef>
          </c:xVal>
          <c:yVal>
            <c:numRef>
              <c:f>gráficos!$N$7:$AF$7</c:f>
              <c:numCache>
                <c:formatCode>General</c:formatCode>
                <c:ptCount val="19"/>
                <c:pt idx="0">
                  <c:v>2.4664263777867665</c:v>
                </c:pt>
                <c:pt idx="1">
                  <c:v>2.4664263777867665</c:v>
                </c:pt>
                <c:pt idx="2">
                  <c:v>2.4664263777867665</c:v>
                </c:pt>
                <c:pt idx="3">
                  <c:v>2.625962247232688</c:v>
                </c:pt>
                <c:pt idx="4">
                  <c:v>2.625962247232688</c:v>
                </c:pt>
                <c:pt idx="5">
                  <c:v>2.7330717922093313</c:v>
                </c:pt>
                <c:pt idx="6">
                  <c:v>2.7330717922093313</c:v>
                </c:pt>
                <c:pt idx="7">
                  <c:v>2.8175763681822081</c:v>
                </c:pt>
                <c:pt idx="8">
                  <c:v>2.8175763681822081</c:v>
                </c:pt>
                <c:pt idx="9">
                  <c:v>3.1346689589648649</c:v>
                </c:pt>
                <c:pt idx="10">
                  <c:v>3.1346689589648649</c:v>
                </c:pt>
                <c:pt idx="11">
                  <c:v>3.1346689589648649</c:v>
                </c:pt>
                <c:pt idx="12">
                  <c:v>3.1346689589648649</c:v>
                </c:pt>
                <c:pt idx="13">
                  <c:v>2.8175763681822081</c:v>
                </c:pt>
                <c:pt idx="14">
                  <c:v>2.8175763681822081</c:v>
                </c:pt>
                <c:pt idx="15">
                  <c:v>2.7330717922093313</c:v>
                </c:pt>
                <c:pt idx="16">
                  <c:v>2.7330717922093313</c:v>
                </c:pt>
                <c:pt idx="17">
                  <c:v>2.625962247232688</c:v>
                </c:pt>
                <c:pt idx="18">
                  <c:v>2.625962247232688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EE-4328-9C35-DA6BE4E736FC}"/>
            </c:ext>
          </c:extLst>
        </c:ser>
        <c:ser>
          <c:idx val="4"/>
          <c:order val="4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gráficos!$AH$8:$AZ$8</c:f>
              <c:numCache>
                <c:formatCode>General</c:formatCode>
                <c:ptCount val="19"/>
                <c:pt idx="0">
                  <c:v>4.5999999999999996</c:v>
                </c:pt>
                <c:pt idx="1">
                  <c:v>5.4</c:v>
                </c:pt>
                <c:pt idx="2">
                  <c:v>5</c:v>
                </c:pt>
                <c:pt idx="3">
                  <c:v>5</c:v>
                </c:pt>
                <c:pt idx="4">
                  <c:v>4.5999999999999996</c:v>
                </c:pt>
                <c:pt idx="5">
                  <c:v>4.5999999999999996</c:v>
                </c:pt>
                <c:pt idx="6">
                  <c:v>5.4</c:v>
                </c:pt>
                <c:pt idx="7">
                  <c:v>5.4</c:v>
                </c:pt>
                <c:pt idx="8">
                  <c:v>5</c:v>
                </c:pt>
                <c:pt idx="9">
                  <c:v>5</c:v>
                </c:pt>
                <c:pt idx="10">
                  <c:v>4.5999999999999996</c:v>
                </c:pt>
                <c:pt idx="11">
                  <c:v>5.4</c:v>
                </c:pt>
                <c:pt idx="12">
                  <c:v>5</c:v>
                </c:pt>
                <c:pt idx="13">
                  <c:v>5</c:v>
                </c:pt>
                <c:pt idx="14">
                  <c:v>4.5999999999999996</c:v>
                </c:pt>
                <c:pt idx="15">
                  <c:v>4.5999999999999996</c:v>
                </c:pt>
                <c:pt idx="16">
                  <c:v>5.4</c:v>
                </c:pt>
                <c:pt idx="17">
                  <c:v>5.4</c:v>
                </c:pt>
                <c:pt idx="18">
                  <c:v>5</c:v>
                </c:pt>
              </c:numCache>
            </c:numRef>
          </c:xVal>
          <c:yVal>
            <c:numRef>
              <c:f>gráficos!$N$8:$AF$8</c:f>
              <c:numCache>
                <c:formatCode>General</c:formatCode>
                <c:ptCount val="19"/>
                <c:pt idx="0">
                  <c:v>3.1425118333590278</c:v>
                </c:pt>
                <c:pt idx="1">
                  <c:v>3.1425118333590278</c:v>
                </c:pt>
                <c:pt idx="2">
                  <c:v>3.1425118333590278</c:v>
                </c:pt>
                <c:pt idx="3">
                  <c:v>3.3937656287136608</c:v>
                </c:pt>
                <c:pt idx="4">
                  <c:v>3.3937656287136608</c:v>
                </c:pt>
                <c:pt idx="5">
                  <c:v>3.5365199991045455</c:v>
                </c:pt>
                <c:pt idx="6">
                  <c:v>3.5365199991045455</c:v>
                </c:pt>
                <c:pt idx="7">
                  <c:v>3.6459665613083483</c:v>
                </c:pt>
                <c:pt idx="8">
                  <c:v>3.6459665613083483</c:v>
                </c:pt>
                <c:pt idx="9">
                  <c:v>4.1218485934403937</c:v>
                </c:pt>
                <c:pt idx="10">
                  <c:v>4.1218485934403937</c:v>
                </c:pt>
                <c:pt idx="11">
                  <c:v>4.1218485934403937</c:v>
                </c:pt>
                <c:pt idx="12">
                  <c:v>4.1218485934403937</c:v>
                </c:pt>
                <c:pt idx="13">
                  <c:v>3.6459665613083483</c:v>
                </c:pt>
                <c:pt idx="14">
                  <c:v>3.6459665613083483</c:v>
                </c:pt>
                <c:pt idx="15">
                  <c:v>3.5365199991045455</c:v>
                </c:pt>
                <c:pt idx="16">
                  <c:v>3.5365199991045455</c:v>
                </c:pt>
                <c:pt idx="17">
                  <c:v>3.3937656287136608</c:v>
                </c:pt>
                <c:pt idx="18">
                  <c:v>3.3937656287136608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EE-4328-9C35-DA6BE4E736FC}"/>
            </c:ext>
          </c:extLst>
        </c:ser>
        <c:ser>
          <c:idx val="5"/>
          <c:order val="5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gráficos!$AH$9:$AZ$9</c:f>
              <c:numCache>
                <c:formatCode>General</c:formatCode>
                <c:ptCount val="19"/>
                <c:pt idx="0">
                  <c:v>5.6</c:v>
                </c:pt>
                <c:pt idx="1">
                  <c:v>6.4</c:v>
                </c:pt>
                <c:pt idx="2">
                  <c:v>6</c:v>
                </c:pt>
                <c:pt idx="3">
                  <c:v>6</c:v>
                </c:pt>
                <c:pt idx="4">
                  <c:v>5.6</c:v>
                </c:pt>
                <c:pt idx="5">
                  <c:v>5.6</c:v>
                </c:pt>
                <c:pt idx="6">
                  <c:v>6.4</c:v>
                </c:pt>
                <c:pt idx="7">
                  <c:v>6.4</c:v>
                </c:pt>
                <c:pt idx="8">
                  <c:v>6</c:v>
                </c:pt>
                <c:pt idx="9">
                  <c:v>6</c:v>
                </c:pt>
                <c:pt idx="10">
                  <c:v>5.6</c:v>
                </c:pt>
                <c:pt idx="11">
                  <c:v>6.4</c:v>
                </c:pt>
                <c:pt idx="12">
                  <c:v>6</c:v>
                </c:pt>
                <c:pt idx="13">
                  <c:v>6</c:v>
                </c:pt>
                <c:pt idx="14">
                  <c:v>5.6</c:v>
                </c:pt>
                <c:pt idx="15">
                  <c:v>5.6</c:v>
                </c:pt>
                <c:pt idx="16">
                  <c:v>6.4</c:v>
                </c:pt>
                <c:pt idx="17">
                  <c:v>6.4</c:v>
                </c:pt>
                <c:pt idx="18">
                  <c:v>6</c:v>
                </c:pt>
              </c:numCache>
            </c:numRef>
          </c:xVal>
          <c:yVal>
            <c:numRef>
              <c:f>gráficos!$N$9:$AF$9</c:f>
              <c:numCache>
                <c:formatCode>General</c:formatCode>
                <c:ptCount val="19"/>
                <c:pt idx="0">
                  <c:v>3.8998812672433094</c:v>
                </c:pt>
                <c:pt idx="1">
                  <c:v>3.8998812672433094</c:v>
                </c:pt>
                <c:pt idx="2">
                  <c:v>3.8998812672433094</c:v>
                </c:pt>
                <c:pt idx="3">
                  <c:v>4.346284016491242</c:v>
                </c:pt>
                <c:pt idx="4">
                  <c:v>4.346284016491242</c:v>
                </c:pt>
                <c:pt idx="5">
                  <c:v>4.5505991711416556</c:v>
                </c:pt>
                <c:pt idx="6">
                  <c:v>4.5505991711416556</c:v>
                </c:pt>
                <c:pt idx="7">
                  <c:v>4.7408308781541262</c:v>
                </c:pt>
                <c:pt idx="8">
                  <c:v>4.7408308781541262</c:v>
                </c:pt>
                <c:pt idx="9">
                  <c:v>5.3539070497413936</c:v>
                </c:pt>
                <c:pt idx="10">
                  <c:v>5.3539070497413936</c:v>
                </c:pt>
                <c:pt idx="11">
                  <c:v>5.3539070497413936</c:v>
                </c:pt>
                <c:pt idx="12">
                  <c:v>5.3539070497413936</c:v>
                </c:pt>
                <c:pt idx="13">
                  <c:v>4.7408308781541262</c:v>
                </c:pt>
                <c:pt idx="14">
                  <c:v>4.7408308781541262</c:v>
                </c:pt>
                <c:pt idx="15">
                  <c:v>4.5505991711416556</c:v>
                </c:pt>
                <c:pt idx="16">
                  <c:v>4.5505991711416556</c:v>
                </c:pt>
                <c:pt idx="17">
                  <c:v>4.346284016491242</c:v>
                </c:pt>
                <c:pt idx="18">
                  <c:v>4.346284016491242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EE-4328-9C35-DA6BE4E736FC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gráficos!$AH$10:$AZ$10</c:f>
              <c:numCache>
                <c:formatCode>General</c:formatCode>
                <c:ptCount val="19"/>
                <c:pt idx="0">
                  <c:v>6.6</c:v>
                </c:pt>
                <c:pt idx="1">
                  <c:v>7.4</c:v>
                </c:pt>
                <c:pt idx="2">
                  <c:v>7</c:v>
                </c:pt>
                <c:pt idx="3">
                  <c:v>7</c:v>
                </c:pt>
                <c:pt idx="4">
                  <c:v>6.6</c:v>
                </c:pt>
                <c:pt idx="5">
                  <c:v>6.6</c:v>
                </c:pt>
                <c:pt idx="6">
                  <c:v>7.4</c:v>
                </c:pt>
                <c:pt idx="7">
                  <c:v>7.4</c:v>
                </c:pt>
                <c:pt idx="8">
                  <c:v>7</c:v>
                </c:pt>
                <c:pt idx="9">
                  <c:v>7</c:v>
                </c:pt>
                <c:pt idx="10">
                  <c:v>6.6</c:v>
                </c:pt>
                <c:pt idx="11">
                  <c:v>7.4</c:v>
                </c:pt>
                <c:pt idx="12">
                  <c:v>7</c:v>
                </c:pt>
                <c:pt idx="13">
                  <c:v>7</c:v>
                </c:pt>
                <c:pt idx="14">
                  <c:v>6.6</c:v>
                </c:pt>
                <c:pt idx="15">
                  <c:v>6.6</c:v>
                </c:pt>
                <c:pt idx="16">
                  <c:v>7.4</c:v>
                </c:pt>
                <c:pt idx="17">
                  <c:v>7.4</c:v>
                </c:pt>
                <c:pt idx="18">
                  <c:v>7</c:v>
                </c:pt>
              </c:numCache>
            </c:numRef>
          </c:xVal>
          <c:yVal>
            <c:numRef>
              <c:f>gráficos!$N$10:$AF$10</c:f>
              <c:numCache>
                <c:formatCode>General</c:formatCode>
                <c:ptCount val="19"/>
                <c:pt idx="0">
                  <c:v>5.0036950109186487</c:v>
                </c:pt>
                <c:pt idx="1">
                  <c:v>5.0036950109186487</c:v>
                </c:pt>
                <c:pt idx="2">
                  <c:v>5.0036950109186487</c:v>
                </c:pt>
                <c:pt idx="3">
                  <c:v>5.5545658226363157</c:v>
                </c:pt>
                <c:pt idx="4">
                  <c:v>5.5545658226363157</c:v>
                </c:pt>
                <c:pt idx="5">
                  <c:v>5.8242401112820721</c:v>
                </c:pt>
                <c:pt idx="6">
                  <c:v>5.8242401112820721</c:v>
                </c:pt>
                <c:pt idx="7">
                  <c:v>5.9947537681006642</c:v>
                </c:pt>
                <c:pt idx="8">
                  <c:v>5.9947537681006642</c:v>
                </c:pt>
                <c:pt idx="9">
                  <c:v>6.6055297677232696</c:v>
                </c:pt>
                <c:pt idx="10">
                  <c:v>6.6055297677232696</c:v>
                </c:pt>
                <c:pt idx="11">
                  <c:v>6.6055297677232696</c:v>
                </c:pt>
                <c:pt idx="12">
                  <c:v>6.6055297677232696</c:v>
                </c:pt>
                <c:pt idx="13">
                  <c:v>5.9947537681006642</c:v>
                </c:pt>
                <c:pt idx="14">
                  <c:v>5.9947537681006642</c:v>
                </c:pt>
                <c:pt idx="15">
                  <c:v>5.8242401112820721</c:v>
                </c:pt>
                <c:pt idx="16">
                  <c:v>5.8242401112820721</c:v>
                </c:pt>
                <c:pt idx="17">
                  <c:v>5.5545658226363157</c:v>
                </c:pt>
                <c:pt idx="18">
                  <c:v>5.5545658226363157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EEE-4328-9C35-DA6BE4E736FC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gráficos!$AH$11:$AZ$11</c:f>
              <c:numCache>
                <c:formatCode>General</c:formatCode>
                <c:ptCount val="19"/>
                <c:pt idx="0">
                  <c:v>7.6</c:v>
                </c:pt>
                <c:pt idx="1">
                  <c:v>8.4</c:v>
                </c:pt>
                <c:pt idx="2">
                  <c:v>8</c:v>
                </c:pt>
                <c:pt idx="3">
                  <c:v>8</c:v>
                </c:pt>
                <c:pt idx="4">
                  <c:v>7.6</c:v>
                </c:pt>
                <c:pt idx="5">
                  <c:v>7.6</c:v>
                </c:pt>
                <c:pt idx="6">
                  <c:v>8.4</c:v>
                </c:pt>
                <c:pt idx="7">
                  <c:v>8.4</c:v>
                </c:pt>
                <c:pt idx="8">
                  <c:v>8</c:v>
                </c:pt>
                <c:pt idx="9">
                  <c:v>8</c:v>
                </c:pt>
                <c:pt idx="10">
                  <c:v>7.6</c:v>
                </c:pt>
                <c:pt idx="11">
                  <c:v>8.4</c:v>
                </c:pt>
                <c:pt idx="12">
                  <c:v>8</c:v>
                </c:pt>
                <c:pt idx="13">
                  <c:v>8</c:v>
                </c:pt>
                <c:pt idx="14">
                  <c:v>7.6</c:v>
                </c:pt>
                <c:pt idx="15">
                  <c:v>7.6</c:v>
                </c:pt>
                <c:pt idx="16">
                  <c:v>8.4</c:v>
                </c:pt>
                <c:pt idx="17">
                  <c:v>8.4</c:v>
                </c:pt>
                <c:pt idx="18">
                  <c:v>8</c:v>
                </c:pt>
              </c:numCache>
            </c:numRef>
          </c:xVal>
          <c:yVal>
            <c:numRef>
              <c:f>gráficos!$N$11:$AF$11</c:f>
              <c:numCache>
                <c:formatCode>General</c:formatCode>
                <c:ptCount val="19"/>
                <c:pt idx="0">
                  <c:v>6.5237913618074419</c:v>
                </c:pt>
                <c:pt idx="1">
                  <c:v>6.5237913618074419</c:v>
                </c:pt>
                <c:pt idx="2">
                  <c:v>6.5237913618074419</c:v>
                </c:pt>
                <c:pt idx="3">
                  <c:v>7.0108490714035874</c:v>
                </c:pt>
                <c:pt idx="4">
                  <c:v>7.0108490714035874</c:v>
                </c:pt>
                <c:pt idx="5">
                  <c:v>7.3816785317696993</c:v>
                </c:pt>
                <c:pt idx="6">
                  <c:v>7.3816785317696993</c:v>
                </c:pt>
                <c:pt idx="7">
                  <c:v>7.7075907848166088</c:v>
                </c:pt>
                <c:pt idx="8">
                  <c:v>7.7075907848166088</c:v>
                </c:pt>
                <c:pt idx="9">
                  <c:v>8.6206147320993054</c:v>
                </c:pt>
                <c:pt idx="10">
                  <c:v>8.6206147320993054</c:v>
                </c:pt>
                <c:pt idx="11">
                  <c:v>8.6206147320993054</c:v>
                </c:pt>
                <c:pt idx="12">
                  <c:v>8.6206147320993054</c:v>
                </c:pt>
                <c:pt idx="13">
                  <c:v>7.7075907848166088</c:v>
                </c:pt>
                <c:pt idx="14">
                  <c:v>7.7075907848166088</c:v>
                </c:pt>
                <c:pt idx="15">
                  <c:v>7.3816785317696993</c:v>
                </c:pt>
                <c:pt idx="16">
                  <c:v>7.3816785317696993</c:v>
                </c:pt>
                <c:pt idx="17">
                  <c:v>7.0108490714035874</c:v>
                </c:pt>
                <c:pt idx="18">
                  <c:v>7.0108490714035874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EE-4328-9C35-DA6BE4E736FC}"/>
            </c:ext>
          </c:extLst>
        </c:ser>
        <c:ser>
          <c:idx val="8"/>
          <c:order val="8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gráficos!$AH$12:$AZ$12</c:f>
              <c:numCache>
                <c:formatCode>General</c:formatCode>
                <c:ptCount val="19"/>
                <c:pt idx="0">
                  <c:v>8.6</c:v>
                </c:pt>
                <c:pt idx="1">
                  <c:v>9.4</c:v>
                </c:pt>
                <c:pt idx="2">
                  <c:v>9</c:v>
                </c:pt>
                <c:pt idx="3">
                  <c:v>9</c:v>
                </c:pt>
                <c:pt idx="4">
                  <c:v>8.6</c:v>
                </c:pt>
                <c:pt idx="5">
                  <c:v>8.6</c:v>
                </c:pt>
                <c:pt idx="6">
                  <c:v>9.4</c:v>
                </c:pt>
                <c:pt idx="7">
                  <c:v>9.4</c:v>
                </c:pt>
                <c:pt idx="8">
                  <c:v>9</c:v>
                </c:pt>
                <c:pt idx="9">
                  <c:v>9</c:v>
                </c:pt>
                <c:pt idx="10">
                  <c:v>8.6</c:v>
                </c:pt>
                <c:pt idx="11">
                  <c:v>9.4</c:v>
                </c:pt>
                <c:pt idx="12">
                  <c:v>9</c:v>
                </c:pt>
                <c:pt idx="13">
                  <c:v>9</c:v>
                </c:pt>
                <c:pt idx="14">
                  <c:v>8.6</c:v>
                </c:pt>
                <c:pt idx="15">
                  <c:v>8.6</c:v>
                </c:pt>
                <c:pt idx="16">
                  <c:v>9.4</c:v>
                </c:pt>
                <c:pt idx="17">
                  <c:v>9.4</c:v>
                </c:pt>
                <c:pt idx="18">
                  <c:v>9</c:v>
                </c:pt>
              </c:numCache>
            </c:numRef>
          </c:xVal>
          <c:yVal>
            <c:numRef>
              <c:f>gráficos!$N$12:$AF$12</c:f>
              <c:numCache>
                <c:formatCode>General</c:formatCode>
                <c:ptCount val="19"/>
                <c:pt idx="0">
                  <c:v>8.2354847388285428</c:v>
                </c:pt>
                <c:pt idx="1">
                  <c:v>8.2354847388285428</c:v>
                </c:pt>
                <c:pt idx="2">
                  <c:v>8.2354847388285428</c:v>
                </c:pt>
                <c:pt idx="3">
                  <c:v>8.8838643377094133</c:v>
                </c:pt>
                <c:pt idx="4">
                  <c:v>8.8838643377094133</c:v>
                </c:pt>
                <c:pt idx="5">
                  <c:v>9.4430184174972389</c:v>
                </c:pt>
                <c:pt idx="6">
                  <c:v>9.4430184174972389</c:v>
                </c:pt>
                <c:pt idx="7">
                  <c:v>9.9762806664643744</c:v>
                </c:pt>
                <c:pt idx="8">
                  <c:v>9.9762806664643744</c:v>
                </c:pt>
                <c:pt idx="9">
                  <c:v>11.514420633133913</c:v>
                </c:pt>
                <c:pt idx="10">
                  <c:v>11.514420633133913</c:v>
                </c:pt>
                <c:pt idx="11">
                  <c:v>11.514420633133913</c:v>
                </c:pt>
                <c:pt idx="12">
                  <c:v>11.514420633133913</c:v>
                </c:pt>
                <c:pt idx="13">
                  <c:v>9.9762806664643744</c:v>
                </c:pt>
                <c:pt idx="14">
                  <c:v>9.9762806664643744</c:v>
                </c:pt>
                <c:pt idx="15">
                  <c:v>9.4430184174972389</c:v>
                </c:pt>
                <c:pt idx="16">
                  <c:v>9.4430184174972389</c:v>
                </c:pt>
                <c:pt idx="17">
                  <c:v>8.8838643377094133</c:v>
                </c:pt>
                <c:pt idx="18">
                  <c:v>8.8838643377094133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EEE-4328-9C35-DA6BE4E736FC}"/>
            </c:ext>
          </c:extLst>
        </c:ser>
        <c:ser>
          <c:idx val="9"/>
          <c:order val="9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gráficos!$AH$13:$AZ$13</c:f>
              <c:numCache>
                <c:formatCode>General</c:formatCode>
                <c:ptCount val="19"/>
                <c:pt idx="0">
                  <c:v>9.6</c:v>
                </c:pt>
                <c:pt idx="1">
                  <c:v>10.4</c:v>
                </c:pt>
                <c:pt idx="2">
                  <c:v>10</c:v>
                </c:pt>
                <c:pt idx="3">
                  <c:v>10</c:v>
                </c:pt>
                <c:pt idx="4">
                  <c:v>9.6</c:v>
                </c:pt>
                <c:pt idx="5">
                  <c:v>9.6</c:v>
                </c:pt>
                <c:pt idx="6">
                  <c:v>10.4</c:v>
                </c:pt>
                <c:pt idx="7">
                  <c:v>10.4</c:v>
                </c:pt>
                <c:pt idx="8">
                  <c:v>10</c:v>
                </c:pt>
                <c:pt idx="9">
                  <c:v>10</c:v>
                </c:pt>
                <c:pt idx="10">
                  <c:v>9.6</c:v>
                </c:pt>
                <c:pt idx="11">
                  <c:v>10.4</c:v>
                </c:pt>
                <c:pt idx="12">
                  <c:v>10</c:v>
                </c:pt>
                <c:pt idx="13">
                  <c:v>10</c:v>
                </c:pt>
                <c:pt idx="14">
                  <c:v>9.6</c:v>
                </c:pt>
                <c:pt idx="15">
                  <c:v>9.6</c:v>
                </c:pt>
                <c:pt idx="16">
                  <c:v>10.4</c:v>
                </c:pt>
                <c:pt idx="17">
                  <c:v>10.4</c:v>
                </c:pt>
                <c:pt idx="18">
                  <c:v>10</c:v>
                </c:pt>
              </c:numCache>
            </c:numRef>
          </c:xVal>
          <c:yVal>
            <c:numRef>
              <c:f>gráficos!$N$13:$AF$13</c:f>
              <c:numCache>
                <c:formatCode>General</c:formatCode>
                <c:ptCount val="19"/>
                <c:pt idx="0">
                  <c:v>10.302402951373301</c:v>
                </c:pt>
                <c:pt idx="1">
                  <c:v>10.302402951373301</c:v>
                </c:pt>
                <c:pt idx="2">
                  <c:v>10.302402951373301</c:v>
                </c:pt>
                <c:pt idx="3">
                  <c:v>11.527746640044166</c:v>
                </c:pt>
                <c:pt idx="4">
                  <c:v>11.527746640044166</c:v>
                </c:pt>
                <c:pt idx="5">
                  <c:v>12.136052239579083</c:v>
                </c:pt>
                <c:pt idx="6">
                  <c:v>12.136052239579083</c:v>
                </c:pt>
                <c:pt idx="7">
                  <c:v>12.595284185492133</c:v>
                </c:pt>
                <c:pt idx="8">
                  <c:v>12.595284185492133</c:v>
                </c:pt>
                <c:pt idx="9">
                  <c:v>14.741750247629492</c:v>
                </c:pt>
                <c:pt idx="10">
                  <c:v>14.741750247629492</c:v>
                </c:pt>
                <c:pt idx="11">
                  <c:v>14.741750247629492</c:v>
                </c:pt>
                <c:pt idx="12">
                  <c:v>14.741750247629492</c:v>
                </c:pt>
                <c:pt idx="13">
                  <c:v>12.595284185492133</c:v>
                </c:pt>
                <c:pt idx="14">
                  <c:v>12.595284185492133</c:v>
                </c:pt>
                <c:pt idx="15">
                  <c:v>12.136052239579083</c:v>
                </c:pt>
                <c:pt idx="16">
                  <c:v>12.136052239579083</c:v>
                </c:pt>
                <c:pt idx="17">
                  <c:v>11.527746640044166</c:v>
                </c:pt>
                <c:pt idx="18">
                  <c:v>11.527746640044166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EE-4328-9C35-DA6BE4E736FC}"/>
            </c:ext>
          </c:extLst>
        </c:ser>
        <c:ser>
          <c:idx val="10"/>
          <c:order val="10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gráficos!$AH$14:$AZ$14</c:f>
              <c:numCache>
                <c:formatCode>General</c:formatCode>
                <c:ptCount val="19"/>
                <c:pt idx="0">
                  <c:v>10.6</c:v>
                </c:pt>
                <c:pt idx="1">
                  <c:v>11.4</c:v>
                </c:pt>
                <c:pt idx="2">
                  <c:v>11</c:v>
                </c:pt>
                <c:pt idx="3">
                  <c:v>11</c:v>
                </c:pt>
                <c:pt idx="4">
                  <c:v>10.6</c:v>
                </c:pt>
                <c:pt idx="5">
                  <c:v>10.6</c:v>
                </c:pt>
                <c:pt idx="6">
                  <c:v>11.4</c:v>
                </c:pt>
                <c:pt idx="7">
                  <c:v>11.4</c:v>
                </c:pt>
                <c:pt idx="8">
                  <c:v>11</c:v>
                </c:pt>
                <c:pt idx="9">
                  <c:v>11</c:v>
                </c:pt>
                <c:pt idx="10">
                  <c:v>10.6</c:v>
                </c:pt>
                <c:pt idx="11">
                  <c:v>11.4</c:v>
                </c:pt>
                <c:pt idx="12">
                  <c:v>11</c:v>
                </c:pt>
                <c:pt idx="13">
                  <c:v>11</c:v>
                </c:pt>
                <c:pt idx="14">
                  <c:v>10.6</c:v>
                </c:pt>
                <c:pt idx="15">
                  <c:v>10.6</c:v>
                </c:pt>
                <c:pt idx="16">
                  <c:v>11.4</c:v>
                </c:pt>
                <c:pt idx="17">
                  <c:v>11.4</c:v>
                </c:pt>
                <c:pt idx="18">
                  <c:v>11</c:v>
                </c:pt>
              </c:numCache>
            </c:numRef>
          </c:xVal>
          <c:yVal>
            <c:numRef>
              <c:f>gráficos!$N$14:$AF$14</c:f>
              <c:numCache>
                <c:formatCode>General</c:formatCode>
                <c:ptCount val="19"/>
                <c:pt idx="0">
                  <c:v>13.56881047904373</c:v>
                </c:pt>
                <c:pt idx="1">
                  <c:v>13.56881047904373</c:v>
                </c:pt>
                <c:pt idx="2">
                  <c:v>13.56881047904373</c:v>
                </c:pt>
                <c:pt idx="3">
                  <c:v>14.669722722158404</c:v>
                </c:pt>
                <c:pt idx="4">
                  <c:v>14.669722722158404</c:v>
                </c:pt>
                <c:pt idx="5">
                  <c:v>15.392151779268579</c:v>
                </c:pt>
                <c:pt idx="6">
                  <c:v>15.392151779268579</c:v>
                </c:pt>
                <c:pt idx="7">
                  <c:v>16.335368881401696</c:v>
                </c:pt>
                <c:pt idx="8">
                  <c:v>16.335368881401696</c:v>
                </c:pt>
                <c:pt idx="9">
                  <c:v>19.318853453330817</c:v>
                </c:pt>
                <c:pt idx="10">
                  <c:v>19.318853453330817</c:v>
                </c:pt>
                <c:pt idx="11">
                  <c:v>19.318853453330817</c:v>
                </c:pt>
                <c:pt idx="12">
                  <c:v>19.318853453330817</c:v>
                </c:pt>
                <c:pt idx="13">
                  <c:v>16.335368881401696</c:v>
                </c:pt>
                <c:pt idx="14">
                  <c:v>16.335368881401696</c:v>
                </c:pt>
                <c:pt idx="15">
                  <c:v>15.392151779268579</c:v>
                </c:pt>
                <c:pt idx="16">
                  <c:v>15.392151779268579</c:v>
                </c:pt>
                <c:pt idx="17">
                  <c:v>14.669722722158404</c:v>
                </c:pt>
                <c:pt idx="18">
                  <c:v>14.669722722158404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EEE-4328-9C35-DA6BE4E736FC}"/>
            </c:ext>
          </c:extLst>
        </c:ser>
        <c:ser>
          <c:idx val="11"/>
          <c:order val="11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gráficos!$AH$15:$AZ$15</c:f>
              <c:numCache>
                <c:formatCode>General</c:formatCode>
                <c:ptCount val="19"/>
                <c:pt idx="0">
                  <c:v>11.6</c:v>
                </c:pt>
                <c:pt idx="1">
                  <c:v>12.4</c:v>
                </c:pt>
                <c:pt idx="2">
                  <c:v>12</c:v>
                </c:pt>
                <c:pt idx="3">
                  <c:v>12</c:v>
                </c:pt>
                <c:pt idx="4">
                  <c:v>11.6</c:v>
                </c:pt>
                <c:pt idx="5">
                  <c:v>11.6</c:v>
                </c:pt>
                <c:pt idx="6">
                  <c:v>12.4</c:v>
                </c:pt>
                <c:pt idx="7">
                  <c:v>12.4</c:v>
                </c:pt>
                <c:pt idx="8">
                  <c:v>12</c:v>
                </c:pt>
                <c:pt idx="9">
                  <c:v>12</c:v>
                </c:pt>
                <c:pt idx="10">
                  <c:v>11.6</c:v>
                </c:pt>
                <c:pt idx="11">
                  <c:v>12.4</c:v>
                </c:pt>
                <c:pt idx="12">
                  <c:v>12</c:v>
                </c:pt>
                <c:pt idx="13">
                  <c:v>12</c:v>
                </c:pt>
                <c:pt idx="14">
                  <c:v>11.6</c:v>
                </c:pt>
                <c:pt idx="15">
                  <c:v>11.6</c:v>
                </c:pt>
                <c:pt idx="16">
                  <c:v>12.4</c:v>
                </c:pt>
                <c:pt idx="17">
                  <c:v>12.4</c:v>
                </c:pt>
                <c:pt idx="18">
                  <c:v>12</c:v>
                </c:pt>
              </c:numCache>
            </c:numRef>
          </c:xVal>
          <c:yVal>
            <c:numRef>
              <c:f>gráficos!$N$15:$AF$15</c:f>
              <c:numCache>
                <c:formatCode>General</c:formatCode>
                <c:ptCount val="19"/>
                <c:pt idx="0">
                  <c:v>17.244418707001696</c:v>
                </c:pt>
                <c:pt idx="1">
                  <c:v>17.244418707001696</c:v>
                </c:pt>
                <c:pt idx="2">
                  <c:v>17.244418707001696</c:v>
                </c:pt>
                <c:pt idx="3">
                  <c:v>18.74960864170431</c:v>
                </c:pt>
                <c:pt idx="4">
                  <c:v>18.74960864170431</c:v>
                </c:pt>
                <c:pt idx="5">
                  <c:v>19.884448921872931</c:v>
                </c:pt>
                <c:pt idx="6">
                  <c:v>19.884448921872931</c:v>
                </c:pt>
                <c:pt idx="7">
                  <c:v>20.922246535958422</c:v>
                </c:pt>
                <c:pt idx="8">
                  <c:v>20.922246535958422</c:v>
                </c:pt>
                <c:pt idx="9">
                  <c:v>24.407223539554131</c:v>
                </c:pt>
                <c:pt idx="10">
                  <c:v>24.407223539554131</c:v>
                </c:pt>
                <c:pt idx="11">
                  <c:v>24.407223539554131</c:v>
                </c:pt>
                <c:pt idx="12">
                  <c:v>24.407223539554131</c:v>
                </c:pt>
                <c:pt idx="13">
                  <c:v>20.922246535958422</c:v>
                </c:pt>
                <c:pt idx="14">
                  <c:v>20.922246535958422</c:v>
                </c:pt>
                <c:pt idx="15">
                  <c:v>19.884448921872931</c:v>
                </c:pt>
                <c:pt idx="16">
                  <c:v>19.884448921872931</c:v>
                </c:pt>
                <c:pt idx="17">
                  <c:v>18.74960864170431</c:v>
                </c:pt>
                <c:pt idx="18">
                  <c:v>18.74960864170431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EEE-4328-9C35-DA6BE4E736FC}"/>
            </c:ext>
          </c:extLst>
        </c:ser>
        <c:ser>
          <c:idx val="12"/>
          <c:order val="12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gráficos!$AH$16:$AZ$16</c:f>
              <c:numCache>
                <c:formatCode>General</c:formatCode>
                <c:ptCount val="19"/>
                <c:pt idx="0">
                  <c:v>12.6</c:v>
                </c:pt>
                <c:pt idx="1">
                  <c:v>13.4</c:v>
                </c:pt>
                <c:pt idx="2">
                  <c:v>13</c:v>
                </c:pt>
                <c:pt idx="3">
                  <c:v>13</c:v>
                </c:pt>
                <c:pt idx="4">
                  <c:v>12.6</c:v>
                </c:pt>
                <c:pt idx="5">
                  <c:v>12.6</c:v>
                </c:pt>
                <c:pt idx="6">
                  <c:v>13.4</c:v>
                </c:pt>
                <c:pt idx="7">
                  <c:v>13.4</c:v>
                </c:pt>
                <c:pt idx="8">
                  <c:v>13</c:v>
                </c:pt>
                <c:pt idx="9">
                  <c:v>13</c:v>
                </c:pt>
                <c:pt idx="10">
                  <c:v>12.6</c:v>
                </c:pt>
                <c:pt idx="11">
                  <c:v>13.4</c:v>
                </c:pt>
                <c:pt idx="12">
                  <c:v>13</c:v>
                </c:pt>
                <c:pt idx="13">
                  <c:v>13</c:v>
                </c:pt>
                <c:pt idx="14">
                  <c:v>12.6</c:v>
                </c:pt>
                <c:pt idx="15">
                  <c:v>12.6</c:v>
                </c:pt>
                <c:pt idx="16">
                  <c:v>13.4</c:v>
                </c:pt>
                <c:pt idx="17">
                  <c:v>13.4</c:v>
                </c:pt>
                <c:pt idx="18">
                  <c:v>13</c:v>
                </c:pt>
              </c:numCache>
            </c:numRef>
          </c:xVal>
          <c:yVal>
            <c:numRef>
              <c:f>gráficos!$N$16:$AF$16</c:f>
              <c:numCache>
                <c:formatCode>General</c:formatCode>
                <c:ptCount val="19"/>
                <c:pt idx="0">
                  <c:v>21.849453022142278</c:v>
                </c:pt>
                <c:pt idx="1">
                  <c:v>21.849453022142278</c:v>
                </c:pt>
                <c:pt idx="2">
                  <c:v>21.849453022142278</c:v>
                </c:pt>
                <c:pt idx="3">
                  <c:v>23.796235090279264</c:v>
                </c:pt>
                <c:pt idx="4">
                  <c:v>23.796235090279264</c:v>
                </c:pt>
                <c:pt idx="5">
                  <c:v>25.344478621363223</c:v>
                </c:pt>
                <c:pt idx="6">
                  <c:v>25.344478621363223</c:v>
                </c:pt>
                <c:pt idx="7">
                  <c:v>26.83117549466763</c:v>
                </c:pt>
                <c:pt idx="8">
                  <c:v>26.83117549466763</c:v>
                </c:pt>
                <c:pt idx="9">
                  <c:v>33.841641841106053</c:v>
                </c:pt>
                <c:pt idx="10">
                  <c:v>33.841641841106053</c:v>
                </c:pt>
                <c:pt idx="11">
                  <c:v>33.841641841106053</c:v>
                </c:pt>
                <c:pt idx="12">
                  <c:v>33.841641841106053</c:v>
                </c:pt>
                <c:pt idx="13">
                  <c:v>26.83117549466763</c:v>
                </c:pt>
                <c:pt idx="14">
                  <c:v>26.83117549466763</c:v>
                </c:pt>
                <c:pt idx="15">
                  <c:v>25.344478621363223</c:v>
                </c:pt>
                <c:pt idx="16">
                  <c:v>25.344478621363223</c:v>
                </c:pt>
                <c:pt idx="17">
                  <c:v>23.796235090279264</c:v>
                </c:pt>
                <c:pt idx="18">
                  <c:v>23.796235090279264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EEE-4328-9C35-DA6BE4E736FC}"/>
            </c:ext>
          </c:extLst>
        </c:ser>
        <c:ser>
          <c:idx val="13"/>
          <c:order val="13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gráficos!$AH$17:$AZ$17</c:f>
              <c:numCache>
                <c:formatCode>General</c:formatCode>
                <c:ptCount val="19"/>
                <c:pt idx="0">
                  <c:v>13.6</c:v>
                </c:pt>
                <c:pt idx="1">
                  <c:v>14.4</c:v>
                </c:pt>
                <c:pt idx="2">
                  <c:v>14</c:v>
                </c:pt>
                <c:pt idx="3">
                  <c:v>14</c:v>
                </c:pt>
                <c:pt idx="4">
                  <c:v>13.6</c:v>
                </c:pt>
                <c:pt idx="5">
                  <c:v>13.6</c:v>
                </c:pt>
                <c:pt idx="6">
                  <c:v>14.4</c:v>
                </c:pt>
                <c:pt idx="7">
                  <c:v>14.4</c:v>
                </c:pt>
                <c:pt idx="8">
                  <c:v>14</c:v>
                </c:pt>
                <c:pt idx="9">
                  <c:v>14</c:v>
                </c:pt>
                <c:pt idx="10">
                  <c:v>13.6</c:v>
                </c:pt>
                <c:pt idx="11">
                  <c:v>14.4</c:v>
                </c:pt>
                <c:pt idx="12">
                  <c:v>14</c:v>
                </c:pt>
                <c:pt idx="13">
                  <c:v>14</c:v>
                </c:pt>
                <c:pt idx="14">
                  <c:v>13.6</c:v>
                </c:pt>
                <c:pt idx="15">
                  <c:v>13.6</c:v>
                </c:pt>
                <c:pt idx="16">
                  <c:v>14.4</c:v>
                </c:pt>
                <c:pt idx="17">
                  <c:v>14.4</c:v>
                </c:pt>
                <c:pt idx="18">
                  <c:v>14</c:v>
                </c:pt>
              </c:numCache>
            </c:numRef>
          </c:xVal>
          <c:yVal>
            <c:numRef>
              <c:f>gráficos!$N$17:$AF$17</c:f>
              <c:numCache>
                <c:formatCode>General</c:formatCode>
                <c:ptCount val="19"/>
                <c:pt idx="0">
                  <c:v>27.932812859459681</c:v>
                </c:pt>
                <c:pt idx="1">
                  <c:v>27.932812859459681</c:v>
                </c:pt>
                <c:pt idx="2">
                  <c:v>27.932812859459681</c:v>
                </c:pt>
                <c:pt idx="3">
                  <c:v>30.990541648411252</c:v>
                </c:pt>
                <c:pt idx="4">
                  <c:v>30.990541648411252</c:v>
                </c:pt>
                <c:pt idx="5">
                  <c:v>32.43667859429506</c:v>
                </c:pt>
                <c:pt idx="6">
                  <c:v>32.43667859429506</c:v>
                </c:pt>
                <c:pt idx="7">
                  <c:v>35.247209278761041</c:v>
                </c:pt>
                <c:pt idx="8">
                  <c:v>35.247209278761041</c:v>
                </c:pt>
                <c:pt idx="9">
                  <c:v>44.467879645996739</c:v>
                </c:pt>
                <c:pt idx="10">
                  <c:v>44.467879645996739</c:v>
                </c:pt>
                <c:pt idx="11">
                  <c:v>44.467879645996739</c:v>
                </c:pt>
                <c:pt idx="12">
                  <c:v>44.467879645996739</c:v>
                </c:pt>
                <c:pt idx="13">
                  <c:v>35.247209278761041</c:v>
                </c:pt>
                <c:pt idx="14">
                  <c:v>35.247209278761041</c:v>
                </c:pt>
                <c:pt idx="15">
                  <c:v>32.43667859429506</c:v>
                </c:pt>
                <c:pt idx="16">
                  <c:v>32.43667859429506</c:v>
                </c:pt>
                <c:pt idx="17">
                  <c:v>30.990541648411252</c:v>
                </c:pt>
                <c:pt idx="18">
                  <c:v>30.990541648411252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EEE-4328-9C35-DA6BE4E736FC}"/>
            </c:ext>
          </c:extLst>
        </c:ser>
        <c:ser>
          <c:idx val="14"/>
          <c:order val="14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gráficos!$AH$18:$AZ$18</c:f>
              <c:numCache>
                <c:formatCode>General</c:formatCode>
                <c:ptCount val="19"/>
                <c:pt idx="0">
                  <c:v>14.6</c:v>
                </c:pt>
                <c:pt idx="1">
                  <c:v>15.4</c:v>
                </c:pt>
                <c:pt idx="2">
                  <c:v>15</c:v>
                </c:pt>
                <c:pt idx="3">
                  <c:v>15</c:v>
                </c:pt>
                <c:pt idx="4">
                  <c:v>14.6</c:v>
                </c:pt>
                <c:pt idx="5">
                  <c:v>14.6</c:v>
                </c:pt>
                <c:pt idx="6">
                  <c:v>15.4</c:v>
                </c:pt>
                <c:pt idx="7">
                  <c:v>15.4</c:v>
                </c:pt>
                <c:pt idx="8">
                  <c:v>15</c:v>
                </c:pt>
                <c:pt idx="9">
                  <c:v>15</c:v>
                </c:pt>
                <c:pt idx="10">
                  <c:v>14.6</c:v>
                </c:pt>
                <c:pt idx="11">
                  <c:v>15.4</c:v>
                </c:pt>
                <c:pt idx="12">
                  <c:v>15</c:v>
                </c:pt>
                <c:pt idx="13">
                  <c:v>15</c:v>
                </c:pt>
                <c:pt idx="14">
                  <c:v>14.6</c:v>
                </c:pt>
                <c:pt idx="15">
                  <c:v>14.6</c:v>
                </c:pt>
                <c:pt idx="16">
                  <c:v>15.4</c:v>
                </c:pt>
                <c:pt idx="17">
                  <c:v>15.4</c:v>
                </c:pt>
                <c:pt idx="18">
                  <c:v>15</c:v>
                </c:pt>
              </c:numCache>
            </c:numRef>
          </c:xVal>
          <c:yVal>
            <c:numRef>
              <c:f>gráficos!$N$18:$AF$18</c:f>
              <c:numCache>
                <c:formatCode>General</c:formatCode>
                <c:ptCount val="19"/>
                <c:pt idx="0">
                  <c:v>36.386304158527231</c:v>
                </c:pt>
                <c:pt idx="1">
                  <c:v>36.386304158527231</c:v>
                </c:pt>
                <c:pt idx="2">
                  <c:v>36.386304158527231</c:v>
                </c:pt>
                <c:pt idx="3">
                  <c:v>39.251042339498369</c:v>
                </c:pt>
                <c:pt idx="4">
                  <c:v>39.251042339498369</c:v>
                </c:pt>
                <c:pt idx="5">
                  <c:v>40.772366023886008</c:v>
                </c:pt>
                <c:pt idx="6">
                  <c:v>40.772366023886008</c:v>
                </c:pt>
                <c:pt idx="7">
                  <c:v>45.04789094326302</c:v>
                </c:pt>
                <c:pt idx="8">
                  <c:v>45.04789094326302</c:v>
                </c:pt>
                <c:pt idx="9">
                  <c:v>55.663959627983665</c:v>
                </c:pt>
                <c:pt idx="10">
                  <c:v>55.663959627983665</c:v>
                </c:pt>
                <c:pt idx="11">
                  <c:v>55.663959627983665</c:v>
                </c:pt>
                <c:pt idx="12">
                  <c:v>55.663959627983665</c:v>
                </c:pt>
                <c:pt idx="13">
                  <c:v>45.04789094326302</c:v>
                </c:pt>
                <c:pt idx="14">
                  <c:v>45.04789094326302</c:v>
                </c:pt>
                <c:pt idx="15">
                  <c:v>40.772366023886008</c:v>
                </c:pt>
                <c:pt idx="16">
                  <c:v>40.772366023886008</c:v>
                </c:pt>
                <c:pt idx="17">
                  <c:v>39.251042339498369</c:v>
                </c:pt>
                <c:pt idx="18">
                  <c:v>39.251042339498369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EEE-4328-9C35-DA6BE4E736FC}"/>
            </c:ext>
          </c:extLst>
        </c:ser>
        <c:ser>
          <c:idx val="15"/>
          <c:order val="15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gráficos!$AH$19:$AZ$19</c:f>
              <c:numCache>
                <c:formatCode>General</c:formatCode>
                <c:ptCount val="19"/>
                <c:pt idx="0">
                  <c:v>15.6</c:v>
                </c:pt>
                <c:pt idx="1">
                  <c:v>16.399999999999999</c:v>
                </c:pt>
                <c:pt idx="2">
                  <c:v>16</c:v>
                </c:pt>
                <c:pt idx="3">
                  <c:v>16</c:v>
                </c:pt>
                <c:pt idx="4">
                  <c:v>15.6</c:v>
                </c:pt>
                <c:pt idx="5">
                  <c:v>15.6</c:v>
                </c:pt>
                <c:pt idx="6">
                  <c:v>16.399999999999999</c:v>
                </c:pt>
                <c:pt idx="7">
                  <c:v>16.399999999999999</c:v>
                </c:pt>
                <c:pt idx="8">
                  <c:v>16</c:v>
                </c:pt>
                <c:pt idx="9">
                  <c:v>16</c:v>
                </c:pt>
                <c:pt idx="10">
                  <c:v>15.6</c:v>
                </c:pt>
                <c:pt idx="11">
                  <c:v>16.399999999999999</c:v>
                </c:pt>
                <c:pt idx="12">
                  <c:v>16</c:v>
                </c:pt>
                <c:pt idx="13">
                  <c:v>16</c:v>
                </c:pt>
                <c:pt idx="14">
                  <c:v>15.6</c:v>
                </c:pt>
                <c:pt idx="15">
                  <c:v>15.6</c:v>
                </c:pt>
                <c:pt idx="16">
                  <c:v>16.399999999999999</c:v>
                </c:pt>
                <c:pt idx="17">
                  <c:v>16.399999999999999</c:v>
                </c:pt>
                <c:pt idx="18">
                  <c:v>16</c:v>
                </c:pt>
              </c:numCache>
            </c:numRef>
          </c:xVal>
          <c:yVal>
            <c:numRef>
              <c:f>gráficos!$N$19:$AF$19</c:f>
              <c:numCache>
                <c:formatCode>General</c:formatCode>
                <c:ptCount val="19"/>
                <c:pt idx="0">
                  <c:v>45.537151566589834</c:v>
                </c:pt>
                <c:pt idx="1">
                  <c:v>45.537151566589834</c:v>
                </c:pt>
                <c:pt idx="2">
                  <c:v>45.537151566589834</c:v>
                </c:pt>
                <c:pt idx="3">
                  <c:v>50.777274709527759</c:v>
                </c:pt>
                <c:pt idx="4">
                  <c:v>50.777274709527759</c:v>
                </c:pt>
                <c:pt idx="5">
                  <c:v>53.096727587541736</c:v>
                </c:pt>
                <c:pt idx="6">
                  <c:v>53.096727587541736</c:v>
                </c:pt>
                <c:pt idx="7">
                  <c:v>56.963939036151565</c:v>
                </c:pt>
                <c:pt idx="8">
                  <c:v>56.963939036151565</c:v>
                </c:pt>
                <c:pt idx="9">
                  <c:v>66.407106315358021</c:v>
                </c:pt>
                <c:pt idx="10">
                  <c:v>66.407106315358021</c:v>
                </c:pt>
                <c:pt idx="11">
                  <c:v>66.407106315358021</c:v>
                </c:pt>
                <c:pt idx="12">
                  <c:v>66.407106315358021</c:v>
                </c:pt>
                <c:pt idx="13">
                  <c:v>56.963939036151565</c:v>
                </c:pt>
                <c:pt idx="14">
                  <c:v>56.963939036151565</c:v>
                </c:pt>
                <c:pt idx="15">
                  <c:v>53.096727587541736</c:v>
                </c:pt>
                <c:pt idx="16">
                  <c:v>53.096727587541736</c:v>
                </c:pt>
                <c:pt idx="17">
                  <c:v>50.777274709527759</c:v>
                </c:pt>
                <c:pt idx="18">
                  <c:v>50.777274709527759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EEE-4328-9C35-DA6BE4E736FC}"/>
            </c:ext>
          </c:extLst>
        </c:ser>
        <c:ser>
          <c:idx val="16"/>
          <c:order val="1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gráficos!$AH$20:$AZ$20</c:f>
              <c:numCache>
                <c:formatCode>General</c:formatCode>
                <c:ptCount val="19"/>
                <c:pt idx="0">
                  <c:v>16.600000000000001</c:v>
                </c:pt>
                <c:pt idx="1">
                  <c:v>17.399999999999999</c:v>
                </c:pt>
                <c:pt idx="2">
                  <c:v>17</c:v>
                </c:pt>
                <c:pt idx="3">
                  <c:v>17</c:v>
                </c:pt>
                <c:pt idx="4">
                  <c:v>16.600000000000001</c:v>
                </c:pt>
                <c:pt idx="5">
                  <c:v>16.600000000000001</c:v>
                </c:pt>
                <c:pt idx="6">
                  <c:v>17.399999999999999</c:v>
                </c:pt>
                <c:pt idx="7">
                  <c:v>17.399999999999999</c:v>
                </c:pt>
                <c:pt idx="8">
                  <c:v>17</c:v>
                </c:pt>
                <c:pt idx="9">
                  <c:v>17</c:v>
                </c:pt>
                <c:pt idx="10">
                  <c:v>16.600000000000001</c:v>
                </c:pt>
                <c:pt idx="11">
                  <c:v>17.399999999999999</c:v>
                </c:pt>
                <c:pt idx="12">
                  <c:v>17</c:v>
                </c:pt>
                <c:pt idx="13">
                  <c:v>17</c:v>
                </c:pt>
                <c:pt idx="14">
                  <c:v>16.600000000000001</c:v>
                </c:pt>
                <c:pt idx="15">
                  <c:v>16.600000000000001</c:v>
                </c:pt>
                <c:pt idx="16">
                  <c:v>17.399999999999999</c:v>
                </c:pt>
                <c:pt idx="17">
                  <c:v>17.399999999999999</c:v>
                </c:pt>
                <c:pt idx="18">
                  <c:v>17</c:v>
                </c:pt>
              </c:numCache>
            </c:numRef>
          </c:xVal>
          <c:yVal>
            <c:numRef>
              <c:f>gráficos!$N$20:$AF$20</c:f>
              <c:numCache>
                <c:formatCode>General</c:formatCode>
                <c:ptCount val="19"/>
                <c:pt idx="0">
                  <c:v>57.459216971681556</c:v>
                </c:pt>
                <c:pt idx="1">
                  <c:v>57.459216971681556</c:v>
                </c:pt>
                <c:pt idx="2">
                  <c:v>57.459216971681556</c:v>
                </c:pt>
                <c:pt idx="3">
                  <c:v>64.769551794360737</c:v>
                </c:pt>
                <c:pt idx="4">
                  <c:v>64.769551794360737</c:v>
                </c:pt>
                <c:pt idx="5">
                  <c:v>69.388761854937925</c:v>
                </c:pt>
                <c:pt idx="6">
                  <c:v>69.388761854937925</c:v>
                </c:pt>
                <c:pt idx="7">
                  <c:v>73.40422525948108</c:v>
                </c:pt>
                <c:pt idx="8">
                  <c:v>73.40422525948108</c:v>
                </c:pt>
                <c:pt idx="9">
                  <c:v>86.774537100898371</c:v>
                </c:pt>
                <c:pt idx="10">
                  <c:v>86.774537100898371</c:v>
                </c:pt>
                <c:pt idx="11">
                  <c:v>86.774537100898371</c:v>
                </c:pt>
                <c:pt idx="12">
                  <c:v>86.774537100898371</c:v>
                </c:pt>
                <c:pt idx="13">
                  <c:v>73.40422525948108</c:v>
                </c:pt>
                <c:pt idx="14">
                  <c:v>73.40422525948108</c:v>
                </c:pt>
                <c:pt idx="15">
                  <c:v>69.388761854937925</c:v>
                </c:pt>
                <c:pt idx="16">
                  <c:v>69.388761854937925</c:v>
                </c:pt>
                <c:pt idx="17">
                  <c:v>64.769551794360737</c:v>
                </c:pt>
                <c:pt idx="18">
                  <c:v>64.769551794360737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EEE-4328-9C35-DA6BE4E736FC}"/>
            </c:ext>
          </c:extLst>
        </c:ser>
        <c:ser>
          <c:idx val="17"/>
          <c:order val="1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gráficos!$AH$21:$AZ$21</c:f>
              <c:numCache>
                <c:formatCode>General</c:formatCode>
                <c:ptCount val="19"/>
                <c:pt idx="0">
                  <c:v>17.600000000000001</c:v>
                </c:pt>
                <c:pt idx="1">
                  <c:v>18.399999999999999</c:v>
                </c:pt>
                <c:pt idx="2">
                  <c:v>18</c:v>
                </c:pt>
                <c:pt idx="3">
                  <c:v>18</c:v>
                </c:pt>
                <c:pt idx="4">
                  <c:v>17.600000000000001</c:v>
                </c:pt>
                <c:pt idx="5">
                  <c:v>17.600000000000001</c:v>
                </c:pt>
                <c:pt idx="6">
                  <c:v>18.399999999999999</c:v>
                </c:pt>
                <c:pt idx="7">
                  <c:v>18.399999999999999</c:v>
                </c:pt>
                <c:pt idx="8">
                  <c:v>18</c:v>
                </c:pt>
                <c:pt idx="9">
                  <c:v>18</c:v>
                </c:pt>
                <c:pt idx="10">
                  <c:v>17.600000000000001</c:v>
                </c:pt>
                <c:pt idx="11">
                  <c:v>18.399999999999999</c:v>
                </c:pt>
                <c:pt idx="12">
                  <c:v>18</c:v>
                </c:pt>
                <c:pt idx="13">
                  <c:v>18</c:v>
                </c:pt>
                <c:pt idx="14">
                  <c:v>17.600000000000001</c:v>
                </c:pt>
                <c:pt idx="15">
                  <c:v>17.600000000000001</c:v>
                </c:pt>
                <c:pt idx="16">
                  <c:v>18.399999999999999</c:v>
                </c:pt>
                <c:pt idx="17">
                  <c:v>18.399999999999999</c:v>
                </c:pt>
                <c:pt idx="18">
                  <c:v>18</c:v>
                </c:pt>
              </c:numCache>
            </c:numRef>
          </c:xVal>
          <c:yVal>
            <c:numRef>
              <c:f>gráficos!$N$21:$AF$21</c:f>
              <c:numCache>
                <c:formatCode>General</c:formatCode>
                <c:ptCount val="19"/>
                <c:pt idx="0">
                  <c:v>74.208779722548471</c:v>
                </c:pt>
                <c:pt idx="1">
                  <c:v>74.208779722548471</c:v>
                </c:pt>
                <c:pt idx="2">
                  <c:v>74.208779722548471</c:v>
                </c:pt>
                <c:pt idx="3">
                  <c:v>84.101461989445397</c:v>
                </c:pt>
                <c:pt idx="4">
                  <c:v>84.101461989445397</c:v>
                </c:pt>
                <c:pt idx="5">
                  <c:v>86.980943722634422</c:v>
                </c:pt>
                <c:pt idx="6">
                  <c:v>86.980943722634422</c:v>
                </c:pt>
                <c:pt idx="7">
                  <c:v>92.605129530076766</c:v>
                </c:pt>
                <c:pt idx="8">
                  <c:v>92.605129530076766</c:v>
                </c:pt>
                <c:pt idx="9">
                  <c:v>105.9895358961865</c:v>
                </c:pt>
                <c:pt idx="10">
                  <c:v>105.9895358961865</c:v>
                </c:pt>
                <c:pt idx="11">
                  <c:v>105.9895358961865</c:v>
                </c:pt>
                <c:pt idx="12">
                  <c:v>105.9895358961865</c:v>
                </c:pt>
                <c:pt idx="13">
                  <c:v>92.605129530076766</c:v>
                </c:pt>
                <c:pt idx="14">
                  <c:v>92.605129530076766</c:v>
                </c:pt>
                <c:pt idx="15">
                  <c:v>86.980943722634422</c:v>
                </c:pt>
                <c:pt idx="16">
                  <c:v>86.980943722634422</c:v>
                </c:pt>
                <c:pt idx="17">
                  <c:v>84.101461989445397</c:v>
                </c:pt>
                <c:pt idx="18">
                  <c:v>84.101461989445397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EEE-4328-9C35-DA6BE4E736FC}"/>
            </c:ext>
          </c:extLst>
        </c:ser>
        <c:ser>
          <c:idx val="18"/>
          <c:order val="18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gráficos!$AH$22:$AZ$22</c:f>
              <c:numCache>
                <c:formatCode>General</c:formatCode>
                <c:ptCount val="19"/>
                <c:pt idx="0">
                  <c:v>18.600000000000001</c:v>
                </c:pt>
                <c:pt idx="1">
                  <c:v>19.399999999999999</c:v>
                </c:pt>
                <c:pt idx="2">
                  <c:v>19</c:v>
                </c:pt>
                <c:pt idx="3">
                  <c:v>19</c:v>
                </c:pt>
                <c:pt idx="4">
                  <c:v>18.600000000000001</c:v>
                </c:pt>
                <c:pt idx="5">
                  <c:v>18.600000000000001</c:v>
                </c:pt>
                <c:pt idx="6">
                  <c:v>19.399999999999999</c:v>
                </c:pt>
                <c:pt idx="7">
                  <c:v>19.399999999999999</c:v>
                </c:pt>
                <c:pt idx="8">
                  <c:v>19</c:v>
                </c:pt>
                <c:pt idx="9">
                  <c:v>19</c:v>
                </c:pt>
                <c:pt idx="10">
                  <c:v>18.600000000000001</c:v>
                </c:pt>
                <c:pt idx="11">
                  <c:v>19.399999999999999</c:v>
                </c:pt>
                <c:pt idx="12">
                  <c:v>19</c:v>
                </c:pt>
                <c:pt idx="13">
                  <c:v>19</c:v>
                </c:pt>
                <c:pt idx="14">
                  <c:v>18.600000000000001</c:v>
                </c:pt>
                <c:pt idx="15">
                  <c:v>18.600000000000001</c:v>
                </c:pt>
                <c:pt idx="16">
                  <c:v>19.399999999999999</c:v>
                </c:pt>
                <c:pt idx="17">
                  <c:v>19.399999999999999</c:v>
                </c:pt>
                <c:pt idx="18">
                  <c:v>19</c:v>
                </c:pt>
              </c:numCache>
            </c:numRef>
          </c:xVal>
          <c:yVal>
            <c:numRef>
              <c:f>gráficos!$N$22:$AF$22</c:f>
              <c:numCache>
                <c:formatCode>General</c:formatCode>
                <c:ptCount val="19"/>
                <c:pt idx="0">
                  <c:v>93.782188916548208</c:v>
                </c:pt>
                <c:pt idx="1">
                  <c:v>93.782188916548208</c:v>
                </c:pt>
                <c:pt idx="2">
                  <c:v>93.782188916548208</c:v>
                </c:pt>
                <c:pt idx="3">
                  <c:v>107.90163986521881</c:v>
                </c:pt>
                <c:pt idx="4">
                  <c:v>107.90163986521881</c:v>
                </c:pt>
                <c:pt idx="5">
                  <c:v>112.4051689953005</c:v>
                </c:pt>
                <c:pt idx="6">
                  <c:v>112.4051689953005</c:v>
                </c:pt>
                <c:pt idx="7">
                  <c:v>122.34807575138882</c:v>
                </c:pt>
                <c:pt idx="8">
                  <c:v>122.34807575138882</c:v>
                </c:pt>
                <c:pt idx="9">
                  <c:v>146.49777524784631</c:v>
                </c:pt>
                <c:pt idx="10">
                  <c:v>146.49777524784631</c:v>
                </c:pt>
                <c:pt idx="11">
                  <c:v>146.49777524784631</c:v>
                </c:pt>
                <c:pt idx="12">
                  <c:v>146.49777524784631</c:v>
                </c:pt>
                <c:pt idx="13">
                  <c:v>122.34807575138882</c:v>
                </c:pt>
                <c:pt idx="14">
                  <c:v>122.34807575138882</c:v>
                </c:pt>
                <c:pt idx="15">
                  <c:v>112.4051689953005</c:v>
                </c:pt>
                <c:pt idx="16">
                  <c:v>112.4051689953005</c:v>
                </c:pt>
                <c:pt idx="17">
                  <c:v>107.90163986521881</c:v>
                </c:pt>
                <c:pt idx="18">
                  <c:v>107.90163986521881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EEE-4328-9C35-DA6BE4E736F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gráficos!$AH$23:$AZ$23</c:f>
              <c:numCache>
                <c:formatCode>General</c:formatCode>
                <c:ptCount val="19"/>
                <c:pt idx="0">
                  <c:v>19.600000000000001</c:v>
                </c:pt>
                <c:pt idx="1">
                  <c:v>20.399999999999999</c:v>
                </c:pt>
                <c:pt idx="2">
                  <c:v>20</c:v>
                </c:pt>
                <c:pt idx="3">
                  <c:v>20</c:v>
                </c:pt>
                <c:pt idx="4">
                  <c:v>19.600000000000001</c:v>
                </c:pt>
                <c:pt idx="5">
                  <c:v>19.600000000000001</c:v>
                </c:pt>
                <c:pt idx="6">
                  <c:v>20.399999999999999</c:v>
                </c:pt>
                <c:pt idx="7">
                  <c:v>20.399999999999999</c:v>
                </c:pt>
                <c:pt idx="8">
                  <c:v>20</c:v>
                </c:pt>
                <c:pt idx="9">
                  <c:v>20</c:v>
                </c:pt>
                <c:pt idx="10">
                  <c:v>19.600000000000001</c:v>
                </c:pt>
                <c:pt idx="11">
                  <c:v>20.399999999999999</c:v>
                </c:pt>
                <c:pt idx="12">
                  <c:v>20</c:v>
                </c:pt>
                <c:pt idx="13">
                  <c:v>20</c:v>
                </c:pt>
                <c:pt idx="14">
                  <c:v>19.600000000000001</c:v>
                </c:pt>
                <c:pt idx="15">
                  <c:v>19.600000000000001</c:v>
                </c:pt>
                <c:pt idx="16">
                  <c:v>20.399999999999999</c:v>
                </c:pt>
                <c:pt idx="17">
                  <c:v>20.399999999999999</c:v>
                </c:pt>
                <c:pt idx="18">
                  <c:v>20</c:v>
                </c:pt>
              </c:numCache>
            </c:numRef>
          </c:xVal>
          <c:yVal>
            <c:numRef>
              <c:f>gráficos!$N$23:$AF$23</c:f>
              <c:numCache>
                <c:formatCode>General</c:formatCode>
                <c:ptCount val="19"/>
                <c:pt idx="0">
                  <c:v>120.97633247645237</c:v>
                </c:pt>
                <c:pt idx="1">
                  <c:v>120.97633247645237</c:v>
                </c:pt>
                <c:pt idx="2">
                  <c:v>120.97633247645237</c:v>
                </c:pt>
                <c:pt idx="3">
                  <c:v>136.51897761547019</c:v>
                </c:pt>
                <c:pt idx="4">
                  <c:v>136.51897761547019</c:v>
                </c:pt>
                <c:pt idx="5">
                  <c:v>145.98799635053368</c:v>
                </c:pt>
                <c:pt idx="6">
                  <c:v>145.98799635053368</c:v>
                </c:pt>
                <c:pt idx="7">
                  <c:v>155.31662507052314</c:v>
                </c:pt>
                <c:pt idx="8">
                  <c:v>155.31662507052314</c:v>
                </c:pt>
                <c:pt idx="9">
                  <c:v>185.09120351031908</c:v>
                </c:pt>
                <c:pt idx="10">
                  <c:v>185.09120351031908</c:v>
                </c:pt>
                <c:pt idx="11">
                  <c:v>185.09120351031908</c:v>
                </c:pt>
                <c:pt idx="12">
                  <c:v>185.09120351031908</c:v>
                </c:pt>
                <c:pt idx="13">
                  <c:v>155.31662507052314</c:v>
                </c:pt>
                <c:pt idx="14">
                  <c:v>155.31662507052314</c:v>
                </c:pt>
                <c:pt idx="15">
                  <c:v>145.98799635053368</c:v>
                </c:pt>
                <c:pt idx="16">
                  <c:v>145.98799635053368</c:v>
                </c:pt>
                <c:pt idx="17">
                  <c:v>136.51897761547019</c:v>
                </c:pt>
                <c:pt idx="18">
                  <c:v>136.51897761547019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EEE-4328-9C35-DA6BE4E73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007272"/>
        <c:axId val="368002176"/>
      </c:scatterChart>
      <c:valAx>
        <c:axId val="368007272"/>
        <c:scaling>
          <c:orientation val="minMax"/>
          <c:max val="2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50" b="0" i="1"/>
                </a:pPr>
                <a:r>
                  <a:rPr lang="pt-BR" sz="1000" b="0" i="0">
                    <a:latin typeface="Arial" pitchFamily="34" charset="0"/>
                    <a:cs typeface="Arial" pitchFamily="34" charset="0"/>
                  </a:rPr>
                  <a:t>tempo</a:t>
                </a:r>
                <a:r>
                  <a:rPr lang="pt-BR" sz="1000" b="0" i="1"/>
                  <a:t> </a:t>
                </a:r>
                <a:r>
                  <a:rPr lang="pt-BR" sz="1000" b="0" i="1">
                    <a:latin typeface="Times New Roman" pitchFamily="18" charset="0"/>
                    <a:cs typeface="Times New Roman" pitchFamily="18" charset="0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900">
                <a:latin typeface="Arial" pitchFamily="34" charset="0"/>
                <a:cs typeface="Arial" pitchFamily="34" charset="0"/>
              </a:defRPr>
            </a:pPr>
            <a:endParaRPr lang="pt-BR"/>
          </a:p>
        </c:txPr>
        <c:crossAx val="368002176"/>
        <c:crosses val="autoZero"/>
        <c:crossBetween val="midCat"/>
        <c:majorUnit val="1"/>
      </c:valAx>
      <c:valAx>
        <c:axId val="368002176"/>
        <c:scaling>
          <c:orientation val="minMax"/>
        </c:scaling>
        <c:delete val="0"/>
        <c:axPos val="l"/>
        <c:majorGridlines>
          <c:spPr>
            <a:ln>
              <a:solidFill>
                <a:srgbClr val="E6E6E6"/>
              </a:solidFill>
              <a:prstDash val="sys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i="1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pt-BR" sz="1200" b="0" i="1">
                    <a:latin typeface="Times New Roman" pitchFamily="18" charset="0"/>
                    <a:cs typeface="Times New Roman" pitchFamily="18" charset="0"/>
                  </a:rPr>
                  <a:t>X</a:t>
                </a:r>
                <a:r>
                  <a:rPr lang="pt-BR" sz="1200" b="0" i="1" baseline="-25000">
                    <a:latin typeface="Times New Roman" pitchFamily="18" charset="0"/>
                    <a:cs typeface="Times New Roman" pitchFamily="18" charset="0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>
                <a:latin typeface="Arial" pitchFamily="34" charset="0"/>
                <a:cs typeface="Arial" pitchFamily="34" charset="0"/>
              </a:defRPr>
            </a:pPr>
            <a:endParaRPr lang="pt-BR"/>
          </a:p>
        </c:txPr>
        <c:crossAx val="36800727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Cambria Math" pitchFamily="18" charset="0"/>
          <a:ea typeface="Cambria Math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69466316710421"/>
          <c:y val="5.0925925925925923E-2"/>
          <c:w val="0.83874978127734034"/>
          <c:h val="0.76169181977252942"/>
        </c:manualLayout>
      </c:layout>
      <c:lineChart>
        <c:grouping val="standard"/>
        <c:varyColors val="0"/>
        <c:ser>
          <c:idx val="1"/>
          <c:order val="0"/>
          <c:tx>
            <c:v>a = 0,2</c:v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Dados!$B$2:$B$22</c:f>
              <c:numCache>
                <c:formatCode>General</c:formatCode>
                <c:ptCount val="21"/>
                <c:pt idx="0">
                  <c:v>1</c:v>
                </c:pt>
                <c:pt idx="1">
                  <c:v>1.2214027581601699</c:v>
                </c:pt>
                <c:pt idx="2">
                  <c:v>1.4918246976412703</c:v>
                </c:pt>
                <c:pt idx="3">
                  <c:v>1.8221188003905091</c:v>
                </c:pt>
                <c:pt idx="4">
                  <c:v>2.2255409284924679</c:v>
                </c:pt>
                <c:pt idx="5">
                  <c:v>2.7182818284590455</c:v>
                </c:pt>
                <c:pt idx="6">
                  <c:v>3.3201169227365481</c:v>
                </c:pt>
                <c:pt idx="7">
                  <c:v>4.0551999668446754</c:v>
                </c:pt>
                <c:pt idx="8">
                  <c:v>4.9530324243951158</c:v>
                </c:pt>
                <c:pt idx="9">
                  <c:v>6.0496474644129474</c:v>
                </c:pt>
                <c:pt idx="10">
                  <c:v>7.3890560989306522</c:v>
                </c:pt>
                <c:pt idx="11">
                  <c:v>9.0250134994341238</c:v>
                </c:pt>
                <c:pt idx="12">
                  <c:v>11.023176380641605</c:v>
                </c:pt>
                <c:pt idx="13">
                  <c:v>13.463738035001695</c:v>
                </c:pt>
                <c:pt idx="14">
                  <c:v>16.444646771097055</c:v>
                </c:pt>
                <c:pt idx="15">
                  <c:v>20.085536923187675</c:v>
                </c:pt>
                <c:pt idx="16">
                  <c:v>24.532530197109359</c:v>
                </c:pt>
                <c:pt idx="17">
                  <c:v>29.964100047397029</c:v>
                </c:pt>
                <c:pt idx="18">
                  <c:v>36.59823444367801</c:v>
                </c:pt>
                <c:pt idx="19">
                  <c:v>44.70118449330085</c:v>
                </c:pt>
                <c:pt idx="20">
                  <c:v>54.598150033144272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01-4BAC-ACB3-440B91EB0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269160"/>
        <c:axId val="516263280"/>
      </c:lineChart>
      <c:catAx>
        <c:axId val="516269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00"/>
                  <a:t>tempo </a:t>
                </a:r>
                <a:r>
                  <a:rPr lang="pt-BR" sz="10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16263280"/>
        <c:crosses val="autoZero"/>
        <c:auto val="1"/>
        <c:lblAlgn val="ctr"/>
        <c:lblOffset val="100"/>
        <c:tickLblSkip val="1"/>
        <c:noMultiLvlLbl val="0"/>
      </c:catAx>
      <c:valAx>
        <c:axId val="51626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pt-BR" sz="12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1626916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69466316710421"/>
          <c:y val="5.0925925925925923E-2"/>
          <c:w val="0.83874978127734034"/>
          <c:h val="0.76169181977252942"/>
        </c:manualLayout>
      </c:layout>
      <c:lineChart>
        <c:grouping val="standard"/>
        <c:varyColors val="0"/>
        <c:ser>
          <c:idx val="1"/>
          <c:order val="0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Dados!$C$2:$C$22</c:f>
              <c:numCache>
                <c:formatCode>General</c:formatCode>
                <c:ptCount val="21"/>
                <c:pt idx="0">
                  <c:v>1</c:v>
                </c:pt>
                <c:pt idx="1">
                  <c:v>1.2763203784818988</c:v>
                </c:pt>
                <c:pt idx="2">
                  <c:v>1.6202071018393045</c:v>
                </c:pt>
                <c:pt idx="3">
                  <c:v>2.0244114251467296</c:v>
                </c:pt>
                <c:pt idx="4">
                  <c:v>2.5880079822686706</c:v>
                </c:pt>
                <c:pt idx="5">
                  <c:v>3.2884141248926735</c:v>
                </c:pt>
                <c:pt idx="6">
                  <c:v>4.0712785063040018</c:v>
                </c:pt>
                <c:pt idx="7">
                  <c:v>5.4086479741837552</c:v>
                </c:pt>
                <c:pt idx="8">
                  <c:v>6.9430885046699915</c:v>
                </c:pt>
                <c:pt idx="9">
                  <c:v>8.4919310828202814</c:v>
                </c:pt>
                <c:pt idx="10">
                  <c:v>10.732577262539891</c:v>
                </c:pt>
                <c:pt idx="11">
                  <c:v>14.321318458770683</c:v>
                </c:pt>
                <c:pt idx="12">
                  <c:v>18.720316629576285</c:v>
                </c:pt>
                <c:pt idx="13">
                  <c:v>23.807033712768181</c:v>
                </c:pt>
                <c:pt idx="14">
                  <c:v>32.106376717343025</c:v>
                </c:pt>
                <c:pt idx="15">
                  <c:v>41.956936721093406</c:v>
                </c:pt>
                <c:pt idx="16">
                  <c:v>55.993592412616962</c:v>
                </c:pt>
                <c:pt idx="17">
                  <c:v>70.444776254027801</c:v>
                </c:pt>
                <c:pt idx="18">
                  <c:v>87.830476780356307</c:v>
                </c:pt>
                <c:pt idx="19">
                  <c:v>109.43945339959988</c:v>
                </c:pt>
                <c:pt idx="20">
                  <c:v>144.11332102270129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A-4578-BBFE-F9BC21A0002B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Dados!$D$2:$D$22</c:f>
              <c:numCache>
                <c:formatCode>General</c:formatCode>
                <c:ptCount val="21"/>
                <c:pt idx="0">
                  <c:v>1</c:v>
                </c:pt>
                <c:pt idx="1">
                  <c:v>1.2854765017336924</c:v>
                </c:pt>
                <c:pt idx="2">
                  <c:v>1.681828172580248</c:v>
                </c:pt>
                <c:pt idx="3">
                  <c:v>2.057185946415808</c:v>
                </c:pt>
                <c:pt idx="4">
                  <c:v>2.6160713762237804</c:v>
                </c:pt>
                <c:pt idx="5">
                  <c:v>3.3929098856697557</c:v>
                </c:pt>
                <c:pt idx="6">
                  <c:v>4.3556213010168081</c:v>
                </c:pt>
                <c:pt idx="7">
                  <c:v>5.4872037837592176</c:v>
                </c:pt>
                <c:pt idx="8">
                  <c:v>7.0484147676150588</c:v>
                </c:pt>
                <c:pt idx="9">
                  <c:v>8.7755851156594691</c:v>
                </c:pt>
                <c:pt idx="10">
                  <c:v>10.764868110089923</c:v>
                </c:pt>
                <c:pt idx="11">
                  <c:v>13.56881047904373</c:v>
                </c:pt>
                <c:pt idx="12">
                  <c:v>17.715720741391042</c:v>
                </c:pt>
                <c:pt idx="13">
                  <c:v>21.849453022142278</c:v>
                </c:pt>
                <c:pt idx="14">
                  <c:v>29.433806586511182</c:v>
                </c:pt>
                <c:pt idx="15">
                  <c:v>36.386304158527231</c:v>
                </c:pt>
                <c:pt idx="16">
                  <c:v>48.730020607734353</c:v>
                </c:pt>
                <c:pt idx="17">
                  <c:v>64.369546272803063</c:v>
                </c:pt>
                <c:pt idx="18">
                  <c:v>83.851740046245197</c:v>
                </c:pt>
                <c:pt idx="19">
                  <c:v>109.96469447046375</c:v>
                </c:pt>
                <c:pt idx="20">
                  <c:v>147.926835629397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CA-4578-BBFE-F9BC21A0002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Dados!$E$2:$E$22</c:f>
              <c:numCache>
                <c:formatCode>General</c:formatCode>
                <c:ptCount val="21"/>
                <c:pt idx="0">
                  <c:v>1</c:v>
                </c:pt>
                <c:pt idx="1">
                  <c:v>1.2556499739800377</c:v>
                </c:pt>
                <c:pt idx="2">
                  <c:v>1.5858833724303933</c:v>
                </c:pt>
                <c:pt idx="3">
                  <c:v>2.0705546188077251</c:v>
                </c:pt>
                <c:pt idx="4">
                  <c:v>2.6089807356342565</c:v>
                </c:pt>
                <c:pt idx="5">
                  <c:v>3.2124592589333489</c:v>
                </c:pt>
                <c:pt idx="6">
                  <c:v>3.9610105245385903</c:v>
                </c:pt>
                <c:pt idx="7">
                  <c:v>5.0036950109186487</c:v>
                </c:pt>
                <c:pt idx="8">
                  <c:v>6.6855496428199039</c:v>
                </c:pt>
                <c:pt idx="9">
                  <c:v>8.3746204839495366</c:v>
                </c:pt>
                <c:pt idx="10">
                  <c:v>10.805694699841323</c:v>
                </c:pt>
                <c:pt idx="11">
                  <c:v>14.083816672553702</c:v>
                </c:pt>
                <c:pt idx="12">
                  <c:v>18.989215304324215</c:v>
                </c:pt>
                <c:pt idx="13">
                  <c:v>23.652266009709354</c:v>
                </c:pt>
                <c:pt idx="14">
                  <c:v>31.107947113057133</c:v>
                </c:pt>
                <c:pt idx="15">
                  <c:v>38.832199606446189</c:v>
                </c:pt>
                <c:pt idx="16">
                  <c:v>49.585994138437449</c:v>
                </c:pt>
                <c:pt idx="17">
                  <c:v>63.384959166949869</c:v>
                </c:pt>
                <c:pt idx="18">
                  <c:v>84.023995916935263</c:v>
                </c:pt>
                <c:pt idx="19">
                  <c:v>107.58298100938909</c:v>
                </c:pt>
                <c:pt idx="20">
                  <c:v>145.06153227824473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CA-4578-BBFE-F9BC21A0002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Dados!$F$2:$F$22</c:f>
              <c:numCache>
                <c:formatCode>General</c:formatCode>
                <c:ptCount val="21"/>
                <c:pt idx="0">
                  <c:v>1</c:v>
                </c:pt>
                <c:pt idx="1">
                  <c:v>1.2378756719844768</c:v>
                </c:pt>
                <c:pt idx="2">
                  <c:v>1.6432682894687936</c:v>
                </c:pt>
                <c:pt idx="3">
                  <c:v>2.0796335527071821</c:v>
                </c:pt>
                <c:pt idx="4">
                  <c:v>2.766263406128636</c:v>
                </c:pt>
                <c:pt idx="5">
                  <c:v>3.3963328578453771</c:v>
                </c:pt>
                <c:pt idx="6">
                  <c:v>4.4616382388941513</c:v>
                </c:pt>
                <c:pt idx="7">
                  <c:v>5.5786701562248755</c:v>
                </c:pt>
                <c:pt idx="8">
                  <c:v>6.9813007493670405</c:v>
                </c:pt>
                <c:pt idx="9">
                  <c:v>8.6480266483007817</c:v>
                </c:pt>
                <c:pt idx="10">
                  <c:v>11.390010639518435</c:v>
                </c:pt>
                <c:pt idx="11">
                  <c:v>14.999525592468469</c:v>
                </c:pt>
                <c:pt idx="12">
                  <c:v>19.187495736659738</c:v>
                </c:pt>
                <c:pt idx="13">
                  <c:v>25.027951150872084</c:v>
                </c:pt>
                <c:pt idx="14">
                  <c:v>32.446466438340074</c:v>
                </c:pt>
                <c:pt idx="15">
                  <c:v>41.166789968680817</c:v>
                </c:pt>
                <c:pt idx="16">
                  <c:v>53.740815632518277</c:v>
                </c:pt>
                <c:pt idx="17">
                  <c:v>71.339863933293699</c:v>
                </c:pt>
                <c:pt idx="18">
                  <c:v>90.050835223573515</c:v>
                </c:pt>
                <c:pt idx="19">
                  <c:v>112.05805260312307</c:v>
                </c:pt>
                <c:pt idx="20">
                  <c:v>139.75008512696743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CA-4578-BBFE-F9BC21A0002B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Dados!$G$2:$G$22</c:f>
              <c:numCache>
                <c:formatCode>General</c:formatCode>
                <c:ptCount val="21"/>
                <c:pt idx="0">
                  <c:v>1</c:v>
                </c:pt>
                <c:pt idx="1">
                  <c:v>1.2382934719861596</c:v>
                </c:pt>
                <c:pt idx="2">
                  <c:v>1.6368170200556453</c:v>
                </c:pt>
                <c:pt idx="3">
                  <c:v>2.0701867919346983</c:v>
                </c:pt>
                <c:pt idx="4">
                  <c:v>2.5899969955778479</c:v>
                </c:pt>
                <c:pt idx="5">
                  <c:v>3.4483875992518218</c:v>
                </c:pt>
                <c:pt idx="6">
                  <c:v>4.4686585131108263</c:v>
                </c:pt>
                <c:pt idx="7">
                  <c:v>5.519763203528651</c:v>
                </c:pt>
                <c:pt idx="8">
                  <c:v>7.4098585550984239</c:v>
                </c:pt>
                <c:pt idx="9">
                  <c:v>9.5028879268409856</c:v>
                </c:pt>
                <c:pt idx="10">
                  <c:v>11.713650918139219</c:v>
                </c:pt>
                <c:pt idx="11">
                  <c:v>14.456348541264804</c:v>
                </c:pt>
                <c:pt idx="12">
                  <c:v>18.249337984615941</c:v>
                </c:pt>
                <c:pt idx="13">
                  <c:v>23.910720473570468</c:v>
                </c:pt>
                <c:pt idx="14">
                  <c:v>31.186529610686566</c:v>
                </c:pt>
                <c:pt idx="15">
                  <c:v>39.913506537374353</c:v>
                </c:pt>
                <c:pt idx="16">
                  <c:v>51.711778030434999</c:v>
                </c:pt>
                <c:pt idx="17">
                  <c:v>67.960689032134027</c:v>
                </c:pt>
                <c:pt idx="18">
                  <c:v>83.417417094291196</c:v>
                </c:pt>
                <c:pt idx="19">
                  <c:v>102.11891900448808</c:v>
                </c:pt>
                <c:pt idx="20">
                  <c:v>130.10456712554185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CA-4578-BBFE-F9BC21A0002B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Dados!$H$2:$H$22</c:f>
              <c:numCache>
                <c:formatCode>General</c:formatCode>
                <c:ptCount val="21"/>
                <c:pt idx="0">
                  <c:v>1</c:v>
                </c:pt>
                <c:pt idx="1">
                  <c:v>1.2456660758598241</c:v>
                </c:pt>
                <c:pt idx="2">
                  <c:v>1.637930405214207</c:v>
                </c:pt>
                <c:pt idx="3">
                  <c:v>2.1953382676414148</c:v>
                </c:pt>
                <c:pt idx="4">
                  <c:v>2.8009692210437853</c:v>
                </c:pt>
                <c:pt idx="5">
                  <c:v>3.5875714709681423</c:v>
                </c:pt>
                <c:pt idx="6">
                  <c:v>4.5483624232602189</c:v>
                </c:pt>
                <c:pt idx="7">
                  <c:v>5.6224396828660899</c:v>
                </c:pt>
                <c:pt idx="8">
                  <c:v>7.2160180297842889</c:v>
                </c:pt>
                <c:pt idx="9">
                  <c:v>9.1654868182235667</c:v>
                </c:pt>
                <c:pt idx="10">
                  <c:v>11.632785237108195</c:v>
                </c:pt>
                <c:pt idx="11">
                  <c:v>15.019314882357419</c:v>
                </c:pt>
                <c:pt idx="12">
                  <c:v>18.980804452679607</c:v>
                </c:pt>
                <c:pt idx="13">
                  <c:v>23.187762933083743</c:v>
                </c:pt>
                <c:pt idx="14">
                  <c:v>28.872443321718443</c:v>
                </c:pt>
                <c:pt idx="15">
                  <c:v>38.440822926984183</c:v>
                </c:pt>
                <c:pt idx="16">
                  <c:v>50.673099218170677</c:v>
                </c:pt>
                <c:pt idx="17">
                  <c:v>67.317216887490304</c:v>
                </c:pt>
                <c:pt idx="18">
                  <c:v>85.334213394104907</c:v>
                </c:pt>
                <c:pt idx="19">
                  <c:v>106.51580650928204</c:v>
                </c:pt>
                <c:pt idx="20">
                  <c:v>132.30258769664175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CA-4578-BBFE-F9BC21A0002B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Dados!$I$2:$I$22</c:f>
              <c:numCache>
                <c:formatCode>General</c:formatCode>
                <c:ptCount val="21"/>
                <c:pt idx="0">
                  <c:v>1</c:v>
                </c:pt>
                <c:pt idx="1">
                  <c:v>1.3353172703613236</c:v>
                </c:pt>
                <c:pt idx="2">
                  <c:v>1.7025805675132237</c:v>
                </c:pt>
                <c:pt idx="3">
                  <c:v>2.1119824105185927</c:v>
                </c:pt>
                <c:pt idx="4">
                  <c:v>2.6556348602594109</c:v>
                </c:pt>
                <c:pt idx="5">
                  <c:v>3.2583527312545293</c:v>
                </c:pt>
                <c:pt idx="6">
                  <c:v>4.3712725382385926</c:v>
                </c:pt>
                <c:pt idx="7">
                  <c:v>5.8478091136758534</c:v>
                </c:pt>
                <c:pt idx="8">
                  <c:v>7.7072687782601461</c:v>
                </c:pt>
                <c:pt idx="9">
                  <c:v>10.192772521943812</c:v>
                </c:pt>
                <c:pt idx="10">
                  <c:v>12.666563129780222</c:v>
                </c:pt>
                <c:pt idx="11">
                  <c:v>16.373268926062639</c:v>
                </c:pt>
                <c:pt idx="12">
                  <c:v>20.556242311720354</c:v>
                </c:pt>
                <c:pt idx="13">
                  <c:v>25.499992707934751</c:v>
                </c:pt>
                <c:pt idx="14">
                  <c:v>33.851100962825086</c:v>
                </c:pt>
                <c:pt idx="15">
                  <c:v>41.394386316497041</c:v>
                </c:pt>
                <c:pt idx="16">
                  <c:v>55.278814959236563</c:v>
                </c:pt>
                <c:pt idx="17">
                  <c:v>72.890758829924067</c:v>
                </c:pt>
                <c:pt idx="18">
                  <c:v>97.134885021907223</c:v>
                </c:pt>
                <c:pt idx="19">
                  <c:v>119.5413218823344</c:v>
                </c:pt>
                <c:pt idx="20">
                  <c:v>153.94958410874719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CA-4578-BBFE-F9BC21A0002B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Dados!$J$2:$J$22</c:f>
              <c:numCache>
                <c:formatCode>General</c:formatCode>
                <c:ptCount val="21"/>
                <c:pt idx="0">
                  <c:v>1</c:v>
                </c:pt>
                <c:pt idx="1">
                  <c:v>1.2399216321543394</c:v>
                </c:pt>
                <c:pt idx="2">
                  <c:v>1.664404738316597</c:v>
                </c:pt>
                <c:pt idx="3">
                  <c:v>2.1564412888718003</c:v>
                </c:pt>
                <c:pt idx="4">
                  <c:v>2.8156209895766842</c:v>
                </c:pt>
                <c:pt idx="5">
                  <c:v>3.5236545138820015</c:v>
                </c:pt>
                <c:pt idx="6">
                  <c:v>4.6148575894753447</c:v>
                </c:pt>
                <c:pt idx="7">
                  <c:v>5.7512354128680165</c:v>
                </c:pt>
                <c:pt idx="8">
                  <c:v>7.0564761818170387</c:v>
                </c:pt>
                <c:pt idx="9">
                  <c:v>9.2767749909703401</c:v>
                </c:pt>
                <c:pt idx="10">
                  <c:v>12.066537380826295</c:v>
                </c:pt>
                <c:pt idx="11">
                  <c:v>14.801448101275721</c:v>
                </c:pt>
                <c:pt idx="12">
                  <c:v>19.630622471563431</c:v>
                </c:pt>
                <c:pt idx="13">
                  <c:v>25.022600674608512</c:v>
                </c:pt>
                <c:pt idx="14">
                  <c:v>30.598364295049802</c:v>
                </c:pt>
                <c:pt idx="15">
                  <c:v>40.790409393284705</c:v>
                </c:pt>
                <c:pt idx="16">
                  <c:v>52.034679065492867</c:v>
                </c:pt>
                <c:pt idx="17">
                  <c:v>65.581837344670191</c:v>
                </c:pt>
                <c:pt idx="18">
                  <c:v>80.345427963878706</c:v>
                </c:pt>
                <c:pt idx="19">
                  <c:v>105.95121168628297</c:v>
                </c:pt>
                <c:pt idx="20">
                  <c:v>129.78612635559253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CA-4578-BBFE-F9BC21A0002B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Dados!$K$2:$K$22</c:f>
              <c:numCache>
                <c:formatCode>General</c:formatCode>
                <c:ptCount val="21"/>
                <c:pt idx="0">
                  <c:v>1</c:v>
                </c:pt>
                <c:pt idx="1">
                  <c:v>1.2272651856713765</c:v>
                </c:pt>
                <c:pt idx="2">
                  <c:v>1.5562759650128692</c:v>
                </c:pt>
                <c:pt idx="3">
                  <c:v>2.022645560142232</c:v>
                </c:pt>
                <c:pt idx="4">
                  <c:v>2.5648090304976892</c:v>
                </c:pt>
                <c:pt idx="5">
                  <c:v>3.3842033226404458</c:v>
                </c:pt>
                <c:pt idx="6">
                  <c:v>4.5585084359274637</c:v>
                </c:pt>
                <c:pt idx="7">
                  <c:v>5.9869758477995205</c:v>
                </c:pt>
                <c:pt idx="8">
                  <c:v>7.7608057050981518</c:v>
                </c:pt>
                <c:pt idx="9">
                  <c:v>9.540170450507663</c:v>
                </c:pt>
                <c:pt idx="10">
                  <c:v>11.692220291096529</c:v>
                </c:pt>
                <c:pt idx="11">
                  <c:v>15.408883200898094</c:v>
                </c:pt>
                <c:pt idx="12">
                  <c:v>19.234843044949649</c:v>
                </c:pt>
                <c:pt idx="13">
                  <c:v>23.509353645951844</c:v>
                </c:pt>
                <c:pt idx="14">
                  <c:v>31.102341507641164</c:v>
                </c:pt>
                <c:pt idx="15">
                  <c:v>38.47162046750708</c:v>
                </c:pt>
                <c:pt idx="16">
                  <c:v>48.826595404753341</c:v>
                </c:pt>
                <c:pt idx="17">
                  <c:v>65.479684621513925</c:v>
                </c:pt>
                <c:pt idx="18">
                  <c:v>88.12332751429993</c:v>
                </c:pt>
                <c:pt idx="19">
                  <c:v>113.1175852330252</c:v>
                </c:pt>
                <c:pt idx="20">
                  <c:v>138.25026909418861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CA-4578-BBFE-F9BC21A0002B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Dados!$L$2:$L$22</c:f>
              <c:numCache>
                <c:formatCode>General</c:formatCode>
                <c:ptCount val="21"/>
                <c:pt idx="0">
                  <c:v>1</c:v>
                </c:pt>
                <c:pt idx="1">
                  <c:v>1.2622188143677759</c:v>
                </c:pt>
                <c:pt idx="2">
                  <c:v>1.6693489373473311</c:v>
                </c:pt>
                <c:pt idx="3">
                  <c:v>2.0513216231522295</c:v>
                </c:pt>
                <c:pt idx="4">
                  <c:v>2.7456296286064812</c:v>
                </c:pt>
                <c:pt idx="5">
                  <c:v>3.6513426968688747</c:v>
                </c:pt>
                <c:pt idx="6">
                  <c:v>4.6718896614631111</c:v>
                </c:pt>
                <c:pt idx="7">
                  <c:v>6.1509973685285857</c:v>
                </c:pt>
                <c:pt idx="8">
                  <c:v>7.5900461242392137</c:v>
                </c:pt>
                <c:pt idx="9">
                  <c:v>9.5997170769794522</c:v>
                </c:pt>
                <c:pt idx="10">
                  <c:v>12.088663599258302</c:v>
                </c:pt>
                <c:pt idx="11">
                  <c:v>14.985380381280235</c:v>
                </c:pt>
                <c:pt idx="12">
                  <c:v>19.188012811222379</c:v>
                </c:pt>
                <c:pt idx="13">
                  <c:v>23.59909762665183</c:v>
                </c:pt>
                <c:pt idx="14">
                  <c:v>31.258951195720599</c:v>
                </c:pt>
                <c:pt idx="15">
                  <c:v>40.399781741175623</c:v>
                </c:pt>
                <c:pt idx="16">
                  <c:v>53.549917376189072</c:v>
                </c:pt>
                <c:pt idx="17">
                  <c:v>70.974680662830337</c:v>
                </c:pt>
                <c:pt idx="18">
                  <c:v>91.599909503954009</c:v>
                </c:pt>
                <c:pt idx="19">
                  <c:v>117.40359468429696</c:v>
                </c:pt>
                <c:pt idx="20">
                  <c:v>150.33582503753124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CA-4578-BBFE-F9BC21A0002B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Dados!$M$2:$M$22</c:f>
              <c:numCache>
                <c:formatCode>General</c:formatCode>
                <c:ptCount val="21"/>
                <c:pt idx="0">
                  <c:v>1</c:v>
                </c:pt>
                <c:pt idx="1">
                  <c:v>1.2933521941830846</c:v>
                </c:pt>
                <c:pt idx="2">
                  <c:v>1.6537094083147073</c:v>
                </c:pt>
                <c:pt idx="3">
                  <c:v>2.1056666920091081</c:v>
                </c:pt>
                <c:pt idx="4">
                  <c:v>2.7188080102765819</c:v>
                </c:pt>
                <c:pt idx="5">
                  <c:v>3.6514504065888556</c:v>
                </c:pt>
                <c:pt idx="6">
                  <c:v>4.5483274536287546</c:v>
                </c:pt>
                <c:pt idx="7">
                  <c:v>5.6890217111821668</c:v>
                </c:pt>
                <c:pt idx="8">
                  <c:v>7.0632290588545468</c:v>
                </c:pt>
                <c:pt idx="9">
                  <c:v>8.6283358803600532</c:v>
                </c:pt>
                <c:pt idx="10">
                  <c:v>11.472023285979578</c:v>
                </c:pt>
                <c:pt idx="11">
                  <c:v>14.814057150059183</c:v>
                </c:pt>
                <c:pt idx="12">
                  <c:v>19.169487076494907</c:v>
                </c:pt>
                <c:pt idx="13">
                  <c:v>25.307914722084664</c:v>
                </c:pt>
                <c:pt idx="14">
                  <c:v>32.485328699250594</c:v>
                </c:pt>
                <c:pt idx="15">
                  <c:v>40.336195389227548</c:v>
                </c:pt>
                <c:pt idx="16">
                  <c:v>52.53443646473643</c:v>
                </c:pt>
                <c:pt idx="17">
                  <c:v>69.774513598774462</c:v>
                </c:pt>
                <c:pt idx="18">
                  <c:v>92.267291336382925</c:v>
                </c:pt>
                <c:pt idx="19">
                  <c:v>123.31394132790051</c:v>
                </c:pt>
                <c:pt idx="20">
                  <c:v>155.17665400563303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CA-4578-BBFE-F9BC21A0002B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Dados!$N$2:$N$22</c:f>
              <c:numCache>
                <c:formatCode>General</c:formatCode>
                <c:ptCount val="21"/>
                <c:pt idx="0">
                  <c:v>1</c:v>
                </c:pt>
                <c:pt idx="1">
                  <c:v>1.2352953274805121</c:v>
                </c:pt>
                <c:pt idx="2">
                  <c:v>1.5617924678850383</c:v>
                </c:pt>
                <c:pt idx="3">
                  <c:v>2.0450665967059982</c:v>
                </c:pt>
                <c:pt idx="4">
                  <c:v>2.6947442756849247</c:v>
                </c:pt>
                <c:pt idx="5">
                  <c:v>3.5797159149179936</c:v>
                </c:pt>
                <c:pt idx="6">
                  <c:v>4.7710865381943135</c:v>
                </c:pt>
                <c:pt idx="7">
                  <c:v>5.9254304395914188</c:v>
                </c:pt>
                <c:pt idx="8">
                  <c:v>7.6763444161792398</c:v>
                </c:pt>
                <c:pt idx="9">
                  <c:v>9.3979937972448919</c:v>
                </c:pt>
                <c:pt idx="10">
                  <c:v>12.572122236602128</c:v>
                </c:pt>
                <c:pt idx="11">
                  <c:v>15.700099815793092</c:v>
                </c:pt>
                <c:pt idx="12">
                  <c:v>19.719461638888706</c:v>
                </c:pt>
                <c:pt idx="13">
                  <c:v>24.878362094694388</c:v>
                </c:pt>
                <c:pt idx="14">
                  <c:v>33.379420219759957</c:v>
                </c:pt>
                <c:pt idx="15">
                  <c:v>40.960362636953882</c:v>
                </c:pt>
                <c:pt idx="16">
                  <c:v>51.089801183599</c:v>
                </c:pt>
                <c:pt idx="17">
                  <c:v>64.701151272140066</c:v>
                </c:pt>
                <c:pt idx="18">
                  <c:v>84.888379431481525</c:v>
                </c:pt>
                <c:pt idx="19">
                  <c:v>105.90814061994237</c:v>
                </c:pt>
                <c:pt idx="20">
                  <c:v>130.75791712655095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8CA-4578-BBFE-F9BC21A0002B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Dados!$O$2:$O$22</c:f>
              <c:numCache>
                <c:formatCode>General</c:formatCode>
                <c:ptCount val="21"/>
                <c:pt idx="0">
                  <c:v>1</c:v>
                </c:pt>
                <c:pt idx="1">
                  <c:v>1.2771018224965365</c:v>
                </c:pt>
                <c:pt idx="2">
                  <c:v>1.5724245531294785</c:v>
                </c:pt>
                <c:pt idx="3">
                  <c:v>2.0474112625885716</c:v>
                </c:pt>
                <c:pt idx="4">
                  <c:v>2.709150114424971</c:v>
                </c:pt>
                <c:pt idx="5">
                  <c:v>3.4819165644733356</c:v>
                </c:pt>
                <c:pt idx="6">
                  <c:v>4.3085691043973124</c:v>
                </c:pt>
                <c:pt idx="7">
                  <c:v>5.3844981458322927</c:v>
                </c:pt>
                <c:pt idx="8">
                  <c:v>7.166011017738926</c:v>
                </c:pt>
                <c:pt idx="9">
                  <c:v>9.0960160111657657</c:v>
                </c:pt>
                <c:pt idx="10">
                  <c:v>11.855050947881308</c:v>
                </c:pt>
                <c:pt idx="11">
                  <c:v>14.93353067937587</c:v>
                </c:pt>
                <c:pt idx="12">
                  <c:v>18.269498292653527</c:v>
                </c:pt>
                <c:pt idx="13">
                  <c:v>23.792635549449624</c:v>
                </c:pt>
                <c:pt idx="14">
                  <c:v>31.419695489655954</c:v>
                </c:pt>
                <c:pt idx="15">
                  <c:v>38.922414100308181</c:v>
                </c:pt>
                <c:pt idx="16">
                  <c:v>52.522110272870854</c:v>
                </c:pt>
                <c:pt idx="17">
                  <c:v>67.252781263932121</c:v>
                </c:pt>
                <c:pt idx="18">
                  <c:v>84.757882898946633</c:v>
                </c:pt>
                <c:pt idx="19">
                  <c:v>108.73311449003563</c:v>
                </c:pt>
                <c:pt idx="20">
                  <c:v>144.10573357971268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8CA-4578-BBFE-F9BC21A0002B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Dados!$P$2:$P$22</c:f>
              <c:numCache>
                <c:formatCode>General</c:formatCode>
                <c:ptCount val="21"/>
                <c:pt idx="0">
                  <c:v>1</c:v>
                </c:pt>
                <c:pt idx="1">
                  <c:v>1.3389286841203341</c:v>
                </c:pt>
                <c:pt idx="2">
                  <c:v>1.748428590987857</c:v>
                </c:pt>
                <c:pt idx="3">
                  <c:v>2.3475391716283251</c:v>
                </c:pt>
                <c:pt idx="4">
                  <c:v>2.9311858849438339</c:v>
                </c:pt>
                <c:pt idx="5">
                  <c:v>3.6389226601252394</c:v>
                </c:pt>
                <c:pt idx="6">
                  <c:v>4.6727530339805599</c:v>
                </c:pt>
                <c:pt idx="7">
                  <c:v>6.0068892296610432</c:v>
                </c:pt>
                <c:pt idx="8">
                  <c:v>7.686963447772504</c:v>
                </c:pt>
                <c:pt idx="9">
                  <c:v>10.103324085889271</c:v>
                </c:pt>
                <c:pt idx="10">
                  <c:v>12.449236068318045</c:v>
                </c:pt>
                <c:pt idx="11">
                  <c:v>16.172585287461569</c:v>
                </c:pt>
                <c:pt idx="12">
                  <c:v>20.945866079444112</c:v>
                </c:pt>
                <c:pt idx="13">
                  <c:v>28.223316811793559</c:v>
                </c:pt>
                <c:pt idx="14">
                  <c:v>37.942171991407257</c:v>
                </c:pt>
                <c:pt idx="15">
                  <c:v>50.758203673235435</c:v>
                </c:pt>
                <c:pt idx="16">
                  <c:v>66.20564561194081</c:v>
                </c:pt>
                <c:pt idx="17">
                  <c:v>86.774537100898371</c:v>
                </c:pt>
                <c:pt idx="18">
                  <c:v>112.85158530567439</c:v>
                </c:pt>
                <c:pt idx="19">
                  <c:v>151.87038799036154</c:v>
                </c:pt>
                <c:pt idx="20">
                  <c:v>202.31707447495165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8CA-4578-BBFE-F9BC21A0002B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Dados!$Q$2:$Q$22</c:f>
              <c:numCache>
                <c:formatCode>General</c:formatCode>
                <c:ptCount val="21"/>
                <c:pt idx="0">
                  <c:v>1</c:v>
                </c:pt>
                <c:pt idx="1">
                  <c:v>1.345168256935402</c:v>
                </c:pt>
                <c:pt idx="2">
                  <c:v>1.6714281443980916</c:v>
                </c:pt>
                <c:pt idx="3">
                  <c:v>2.2132319359124115</c:v>
                </c:pt>
                <c:pt idx="4">
                  <c:v>2.8506943613435158</c:v>
                </c:pt>
                <c:pt idx="5">
                  <c:v>3.5851696845559342</c:v>
                </c:pt>
                <c:pt idx="6">
                  <c:v>4.486887234515323</c:v>
                </c:pt>
                <c:pt idx="7">
                  <c:v>5.5465310447734621</c:v>
                </c:pt>
                <c:pt idx="8">
                  <c:v>6.8562736374077762</c:v>
                </c:pt>
                <c:pt idx="9">
                  <c:v>8.6756143840647031</c:v>
                </c:pt>
                <c:pt idx="10">
                  <c:v>10.895512795670497</c:v>
                </c:pt>
                <c:pt idx="11">
                  <c:v>13.755275816805993</c:v>
                </c:pt>
                <c:pt idx="12">
                  <c:v>17.493974489255383</c:v>
                </c:pt>
                <c:pt idx="13">
                  <c:v>22.849782360577073</c:v>
                </c:pt>
                <c:pt idx="14">
                  <c:v>29.098062386396624</c:v>
                </c:pt>
                <c:pt idx="15">
                  <c:v>38.292715906601842</c:v>
                </c:pt>
                <c:pt idx="16">
                  <c:v>47.460859177799307</c:v>
                </c:pt>
                <c:pt idx="17">
                  <c:v>63.218243372839929</c:v>
                </c:pt>
                <c:pt idx="18">
                  <c:v>84.310314842842615</c:v>
                </c:pt>
                <c:pt idx="19">
                  <c:v>109.07997394162572</c:v>
                </c:pt>
                <c:pt idx="20">
                  <c:v>145.46886505666075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8CA-4578-BBFE-F9BC21A0002B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Dados!$R$2:$R$22</c:f>
              <c:numCache>
                <c:formatCode>General</c:formatCode>
                <c:ptCount val="21"/>
                <c:pt idx="0">
                  <c:v>1</c:v>
                </c:pt>
                <c:pt idx="1">
                  <c:v>1.2219047505445149</c:v>
                </c:pt>
                <c:pt idx="2">
                  <c:v>1.618438098508943</c:v>
                </c:pt>
                <c:pt idx="3">
                  <c:v>2.1033817856027786</c:v>
                </c:pt>
                <c:pt idx="4">
                  <c:v>2.7087981940622927</c:v>
                </c:pt>
                <c:pt idx="5">
                  <c:v>3.5951968041254649</c:v>
                </c:pt>
                <c:pt idx="6">
                  <c:v>4.8149320217355376</c:v>
                </c:pt>
                <c:pt idx="7">
                  <c:v>5.9018317752990797</c:v>
                </c:pt>
                <c:pt idx="8">
                  <c:v>7.3534985084409739</c:v>
                </c:pt>
                <c:pt idx="9">
                  <c:v>9.4157909380161975</c:v>
                </c:pt>
                <c:pt idx="10">
                  <c:v>12.049733327103064</c:v>
                </c:pt>
                <c:pt idx="11">
                  <c:v>14.809762376997115</c:v>
                </c:pt>
                <c:pt idx="12">
                  <c:v>18.837484678088384</c:v>
                </c:pt>
                <c:pt idx="13">
                  <c:v>24.948386678926596</c:v>
                </c:pt>
                <c:pt idx="14">
                  <c:v>30.967314346339261</c:v>
                </c:pt>
                <c:pt idx="15">
                  <c:v>40.451566707089953</c:v>
                </c:pt>
                <c:pt idx="16">
                  <c:v>51.577493364555785</c:v>
                </c:pt>
                <c:pt idx="17">
                  <c:v>63.057253808171012</c:v>
                </c:pt>
                <c:pt idx="18">
                  <c:v>77.857489380094833</c:v>
                </c:pt>
                <c:pt idx="19">
                  <c:v>104.73644832954368</c:v>
                </c:pt>
                <c:pt idx="20">
                  <c:v>130.65755144064127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8CA-4578-BBFE-F9BC21A0002B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Dados!$S$2:$S$22</c:f>
              <c:numCache>
                <c:formatCode>General</c:formatCode>
                <c:ptCount val="21"/>
                <c:pt idx="0">
                  <c:v>1</c:v>
                </c:pt>
                <c:pt idx="1">
                  <c:v>1.2754310859312499</c:v>
                </c:pt>
                <c:pt idx="2">
                  <c:v>1.5972169776325367</c:v>
                </c:pt>
                <c:pt idx="3">
                  <c:v>2.0191473508002824</c:v>
                </c:pt>
                <c:pt idx="4">
                  <c:v>2.4664263777867665</c:v>
                </c:pt>
                <c:pt idx="5">
                  <c:v>3.1425118333590278</c:v>
                </c:pt>
                <c:pt idx="6">
                  <c:v>3.8998812672433094</c:v>
                </c:pt>
                <c:pt idx="7">
                  <c:v>5.2008117732354551</c:v>
                </c:pt>
                <c:pt idx="8">
                  <c:v>6.6501569037104389</c:v>
                </c:pt>
                <c:pt idx="9">
                  <c:v>8.3700479074593801</c:v>
                </c:pt>
                <c:pt idx="10">
                  <c:v>10.413537108275412</c:v>
                </c:pt>
                <c:pt idx="11">
                  <c:v>13.916337119794191</c:v>
                </c:pt>
                <c:pt idx="12">
                  <c:v>17.244418707001696</c:v>
                </c:pt>
                <c:pt idx="13">
                  <c:v>22.229912508610898</c:v>
                </c:pt>
                <c:pt idx="14">
                  <c:v>29.920348576319746</c:v>
                </c:pt>
                <c:pt idx="15">
                  <c:v>38.048987502724081</c:v>
                </c:pt>
                <c:pt idx="16">
                  <c:v>50.146073985679649</c:v>
                </c:pt>
                <c:pt idx="17">
                  <c:v>65.632336743993164</c:v>
                </c:pt>
                <c:pt idx="18">
                  <c:v>86.805780350907483</c:v>
                </c:pt>
                <c:pt idx="19">
                  <c:v>108.60668998505894</c:v>
                </c:pt>
                <c:pt idx="20">
                  <c:v>141.62832277065627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8CA-4578-BBFE-F9BC21A0002B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Dados!$T$2:$T$22</c:f>
              <c:numCache>
                <c:formatCode>General</c:formatCode>
                <c:ptCount val="21"/>
                <c:pt idx="0">
                  <c:v>1</c:v>
                </c:pt>
                <c:pt idx="1">
                  <c:v>1.3039336490700264</c:v>
                </c:pt>
                <c:pt idx="2">
                  <c:v>1.6437037669267389</c:v>
                </c:pt>
                <c:pt idx="3">
                  <c:v>2.0631537273500546</c:v>
                </c:pt>
                <c:pt idx="4">
                  <c:v>2.7703929214816916</c:v>
                </c:pt>
                <c:pt idx="5">
                  <c:v>3.6892558722514468</c:v>
                </c:pt>
                <c:pt idx="6">
                  <c:v>4.5495629046090702</c:v>
                </c:pt>
                <c:pt idx="7">
                  <c:v>5.9973464082010457</c:v>
                </c:pt>
                <c:pt idx="8">
                  <c:v>7.4593149514684338</c:v>
                </c:pt>
                <c:pt idx="9">
                  <c:v>9.6645095528032954</c:v>
                </c:pt>
                <c:pt idx="10">
                  <c:v>12.603004835122134</c:v>
                </c:pt>
                <c:pt idx="11">
                  <c:v>16.084610889992565</c:v>
                </c:pt>
                <c:pt idx="12">
                  <c:v>20.851387905501344</c:v>
                </c:pt>
                <c:pt idx="13">
                  <c:v>25.700932183745909</c:v>
                </c:pt>
                <c:pt idx="14">
                  <c:v>33.930919016931135</c:v>
                </c:pt>
                <c:pt idx="15">
                  <c:v>43.969781867771296</c:v>
                </c:pt>
                <c:pt idx="16">
                  <c:v>55.385029139262834</c:v>
                </c:pt>
                <c:pt idx="17">
                  <c:v>69.160478605085018</c:v>
                </c:pt>
                <c:pt idx="18">
                  <c:v>86.768095868871882</c:v>
                </c:pt>
                <c:pt idx="19">
                  <c:v>116.13534521068493</c:v>
                </c:pt>
                <c:pt idx="20">
                  <c:v>142.47368316371356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8CA-4578-BBFE-F9BC21A0002B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Dados!$U$2:$U$22</c:f>
              <c:numCache>
                <c:formatCode>General</c:formatCode>
                <c:ptCount val="21"/>
                <c:pt idx="0">
                  <c:v>1</c:v>
                </c:pt>
                <c:pt idx="1">
                  <c:v>1.3279346521372544</c:v>
                </c:pt>
                <c:pt idx="2">
                  <c:v>1.6468843190951048</c:v>
                </c:pt>
                <c:pt idx="3">
                  <c:v>2.063399182402454</c:v>
                </c:pt>
                <c:pt idx="4">
                  <c:v>2.7057697017190474</c:v>
                </c:pt>
                <c:pt idx="5">
                  <c:v>3.4941962256501058</c:v>
                </c:pt>
                <c:pt idx="6">
                  <c:v>4.5123720892653285</c:v>
                </c:pt>
                <c:pt idx="7">
                  <c:v>5.8591647275370464</c:v>
                </c:pt>
                <c:pt idx="8">
                  <c:v>7.6955685174472697</c:v>
                </c:pt>
                <c:pt idx="9">
                  <c:v>10.109323530456962</c:v>
                </c:pt>
                <c:pt idx="10">
                  <c:v>13.541246430709085</c:v>
                </c:pt>
                <c:pt idx="11">
                  <c:v>16.936366931780253</c:v>
                </c:pt>
                <c:pt idx="12">
                  <c:v>21.693261471793168</c:v>
                </c:pt>
                <c:pt idx="13">
                  <c:v>28.097041949743087</c:v>
                </c:pt>
                <c:pt idx="14">
                  <c:v>35.210225001745378</c:v>
                </c:pt>
                <c:pt idx="15">
                  <c:v>43.927742532260261</c:v>
                </c:pt>
                <c:pt idx="16">
                  <c:v>56.201100042670006</c:v>
                </c:pt>
                <c:pt idx="17">
                  <c:v>71.138745551788276</c:v>
                </c:pt>
                <c:pt idx="18">
                  <c:v>90.430302350898685</c:v>
                </c:pt>
                <c:pt idx="19">
                  <c:v>116.11884750222437</c:v>
                </c:pt>
                <c:pt idx="20">
                  <c:v>153.08298624626985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8CA-4578-BBFE-F9BC21A0002B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Dados!$V$2:$V$22</c:f>
              <c:numCache>
                <c:formatCode>General</c:formatCode>
                <c:ptCount val="21"/>
                <c:pt idx="0">
                  <c:v>1</c:v>
                </c:pt>
                <c:pt idx="1">
                  <c:v>1.2844111137405381</c:v>
                </c:pt>
                <c:pt idx="2">
                  <c:v>1.6729300664328861</c:v>
                </c:pt>
                <c:pt idx="3">
                  <c:v>2.1533839450949137</c:v>
                </c:pt>
                <c:pt idx="4">
                  <c:v>2.8736620009861022</c:v>
                </c:pt>
                <c:pt idx="5">
                  <c:v>3.6278564352336056</c:v>
                </c:pt>
                <c:pt idx="6">
                  <c:v>4.5516354376742401</c:v>
                </c:pt>
                <c:pt idx="7">
                  <c:v>5.6633509011082923</c:v>
                </c:pt>
                <c:pt idx="8">
                  <c:v>7.4993458415887568</c:v>
                </c:pt>
                <c:pt idx="9">
                  <c:v>9.6755011449225492</c:v>
                </c:pt>
                <c:pt idx="10">
                  <c:v>12.762987319421404</c:v>
                </c:pt>
                <c:pt idx="11">
                  <c:v>16.999310599721905</c:v>
                </c:pt>
                <c:pt idx="12">
                  <c:v>21.705857519517835</c:v>
                </c:pt>
                <c:pt idx="13">
                  <c:v>27.724398941091881</c:v>
                </c:pt>
                <c:pt idx="14">
                  <c:v>35.304598625661711</c:v>
                </c:pt>
                <c:pt idx="15">
                  <c:v>45.589913009874138</c:v>
                </c:pt>
                <c:pt idx="16">
                  <c:v>56.825659208945538</c:v>
                </c:pt>
                <c:pt idx="17">
                  <c:v>73.575380736000085</c:v>
                </c:pt>
                <c:pt idx="18">
                  <c:v>91.551388630581471</c:v>
                </c:pt>
                <c:pt idx="19">
                  <c:v>121.58225702225251</c:v>
                </c:pt>
                <c:pt idx="20">
                  <c:v>150.85852316708267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8CA-4578-BBFE-F9BC21A0002B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Dados!$W$2:$W$22</c:f>
              <c:numCache>
                <c:formatCode>General</c:formatCode>
                <c:ptCount val="21"/>
                <c:pt idx="0">
                  <c:v>1</c:v>
                </c:pt>
                <c:pt idx="1">
                  <c:v>1.2500197550576222</c:v>
                </c:pt>
                <c:pt idx="2">
                  <c:v>1.6781765177432642</c:v>
                </c:pt>
                <c:pt idx="3">
                  <c:v>2.1767853189887751</c:v>
                </c:pt>
                <c:pt idx="4">
                  <c:v>2.7797313554380052</c:v>
                </c:pt>
                <c:pt idx="5">
                  <c:v>3.677604046088633</c:v>
                </c:pt>
                <c:pt idx="6">
                  <c:v>4.9218414328142641</c:v>
                </c:pt>
                <c:pt idx="7">
                  <c:v>6.0378406923748171</c:v>
                </c:pt>
                <c:pt idx="8">
                  <c:v>7.6223504110405882</c:v>
                </c:pt>
                <c:pt idx="9">
                  <c:v>10.062477128536871</c:v>
                </c:pt>
                <c:pt idx="10">
                  <c:v>13.559348023590521</c:v>
                </c:pt>
                <c:pt idx="11">
                  <c:v>17.761848571807597</c:v>
                </c:pt>
                <c:pt idx="12">
                  <c:v>23.10148908512841</c:v>
                </c:pt>
                <c:pt idx="13">
                  <c:v>29.465583309161339</c:v>
                </c:pt>
                <c:pt idx="14">
                  <c:v>38.515082268468532</c:v>
                </c:pt>
                <c:pt idx="15">
                  <c:v>47.451739911025818</c:v>
                </c:pt>
                <c:pt idx="16">
                  <c:v>59.754239262897443</c:v>
                </c:pt>
                <c:pt idx="17">
                  <c:v>79.231086969386254</c:v>
                </c:pt>
                <c:pt idx="18">
                  <c:v>99.548980782684566</c:v>
                </c:pt>
                <c:pt idx="19">
                  <c:v>126.30483054085954</c:v>
                </c:pt>
                <c:pt idx="20">
                  <c:v>159.14090207741185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8CA-4578-BBFE-F9BC21A0002B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Dados!$X$2:$X$22</c:f>
              <c:numCache>
                <c:formatCode>General</c:formatCode>
                <c:ptCount val="21"/>
                <c:pt idx="0">
                  <c:v>1</c:v>
                </c:pt>
                <c:pt idx="1">
                  <c:v>1.3480091461350823</c:v>
                </c:pt>
                <c:pt idx="2">
                  <c:v>1.8103848650011531</c:v>
                </c:pt>
                <c:pt idx="3">
                  <c:v>2.2438039986474942</c:v>
                </c:pt>
                <c:pt idx="4">
                  <c:v>2.8493897925531093</c:v>
                </c:pt>
                <c:pt idx="5">
                  <c:v>3.7399168176035991</c:v>
                </c:pt>
                <c:pt idx="6">
                  <c:v>4.7534023524915838</c:v>
                </c:pt>
                <c:pt idx="7">
                  <c:v>5.9679384752525184</c:v>
                </c:pt>
                <c:pt idx="8">
                  <c:v>7.7762864273720798</c:v>
                </c:pt>
                <c:pt idx="9">
                  <c:v>9.5951706495694609</c:v>
                </c:pt>
                <c:pt idx="10">
                  <c:v>12.344338454152391</c:v>
                </c:pt>
                <c:pt idx="11">
                  <c:v>15.345180254083647</c:v>
                </c:pt>
                <c:pt idx="12">
                  <c:v>19.17780554853962</c:v>
                </c:pt>
                <c:pt idx="13">
                  <c:v>24.225891711031913</c:v>
                </c:pt>
                <c:pt idx="14">
                  <c:v>30.893452701831272</c:v>
                </c:pt>
                <c:pt idx="15">
                  <c:v>37.933832910232724</c:v>
                </c:pt>
                <c:pt idx="16">
                  <c:v>49.798725425664742</c:v>
                </c:pt>
                <c:pt idx="17">
                  <c:v>62.701514183899462</c:v>
                </c:pt>
                <c:pt idx="18">
                  <c:v>77.223835841148585</c:v>
                </c:pt>
                <c:pt idx="19">
                  <c:v>96.154779836293798</c:v>
                </c:pt>
                <c:pt idx="20">
                  <c:v>128.07757716498111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8CA-4578-BBFE-F9BC21A0002B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Dados!$Y$2:$Y$22</c:f>
              <c:numCache>
                <c:formatCode>General</c:formatCode>
                <c:ptCount val="21"/>
                <c:pt idx="0">
                  <c:v>1</c:v>
                </c:pt>
                <c:pt idx="1">
                  <c:v>1.2544596513199435</c:v>
                </c:pt>
                <c:pt idx="2">
                  <c:v>1.6349337903756931</c:v>
                </c:pt>
                <c:pt idx="3">
                  <c:v>2.0431239791096276</c:v>
                </c:pt>
                <c:pt idx="4">
                  <c:v>2.7196099505242506</c:v>
                </c:pt>
                <c:pt idx="5">
                  <c:v>3.6483145283693847</c:v>
                </c:pt>
                <c:pt idx="6">
                  <c:v>4.9098441362598715</c:v>
                </c:pt>
                <c:pt idx="7">
                  <c:v>6.5646643849697659</c:v>
                </c:pt>
                <c:pt idx="8">
                  <c:v>8.6206147320993054</c:v>
                </c:pt>
                <c:pt idx="9">
                  <c:v>11.514420633133913</c:v>
                </c:pt>
                <c:pt idx="10">
                  <c:v>14.741750247629492</c:v>
                </c:pt>
                <c:pt idx="11">
                  <c:v>19.318853453330817</c:v>
                </c:pt>
                <c:pt idx="12">
                  <c:v>25.839249699823533</c:v>
                </c:pt>
                <c:pt idx="13">
                  <c:v>33.841641841106053</c:v>
                </c:pt>
                <c:pt idx="14">
                  <c:v>44.467879645996739</c:v>
                </c:pt>
                <c:pt idx="15">
                  <c:v>55.663959627983665</c:v>
                </c:pt>
                <c:pt idx="16">
                  <c:v>69.045160619638395</c:v>
                </c:pt>
                <c:pt idx="17">
                  <c:v>89.92877558741759</c:v>
                </c:pt>
                <c:pt idx="18">
                  <c:v>119.22015268733634</c:v>
                </c:pt>
                <c:pt idx="19">
                  <c:v>146.49777524784631</c:v>
                </c:pt>
                <c:pt idx="20">
                  <c:v>179.64264617675866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8CA-4578-BBFE-F9BC21A0002B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Dados!$Z$2:$Z$22</c:f>
              <c:numCache>
                <c:formatCode>General</c:formatCode>
                <c:ptCount val="21"/>
                <c:pt idx="0">
                  <c:v>1</c:v>
                </c:pt>
                <c:pt idx="1">
                  <c:v>1.2908094640151113</c:v>
                </c:pt>
                <c:pt idx="2">
                  <c:v>1.6750474547879597</c:v>
                </c:pt>
                <c:pt idx="3">
                  <c:v>2.1003011732711836</c:v>
                </c:pt>
                <c:pt idx="4">
                  <c:v>2.596240682600619</c:v>
                </c:pt>
                <c:pt idx="5">
                  <c:v>3.4280314560595189</c:v>
                </c:pt>
                <c:pt idx="6">
                  <c:v>4.6173945344697147</c:v>
                </c:pt>
                <c:pt idx="7">
                  <c:v>5.7673308147824951</c:v>
                </c:pt>
                <c:pt idx="8">
                  <c:v>7.2471472621920308</c:v>
                </c:pt>
                <c:pt idx="9">
                  <c:v>8.880866484382052</c:v>
                </c:pt>
                <c:pt idx="10">
                  <c:v>11.598739698869949</c:v>
                </c:pt>
                <c:pt idx="11">
                  <c:v>14.389125559396099</c:v>
                </c:pt>
                <c:pt idx="12">
                  <c:v>18.403251079017092</c:v>
                </c:pt>
                <c:pt idx="13">
                  <c:v>22.939225797877249</c:v>
                </c:pt>
                <c:pt idx="14">
                  <c:v>30.572455815207658</c:v>
                </c:pt>
                <c:pt idx="15">
                  <c:v>39.931322368773777</c:v>
                </c:pt>
                <c:pt idx="16">
                  <c:v>53.313032560033278</c:v>
                </c:pt>
                <c:pt idx="17">
                  <c:v>69.965190148928173</c:v>
                </c:pt>
                <c:pt idx="18">
                  <c:v>86.661025597104725</c:v>
                </c:pt>
                <c:pt idx="19">
                  <c:v>108.99230314364245</c:v>
                </c:pt>
                <c:pt idx="20">
                  <c:v>142.08229995333517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8CA-4578-BBFE-F9BC21A0002B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Dados!$AA$2:$AA$22</c:f>
              <c:numCache>
                <c:formatCode>General</c:formatCode>
                <c:ptCount val="21"/>
                <c:pt idx="0">
                  <c:v>1</c:v>
                </c:pt>
                <c:pt idx="1">
                  <c:v>1.2471832638959122</c:v>
                </c:pt>
                <c:pt idx="2">
                  <c:v>1.6711464672619374</c:v>
                </c:pt>
                <c:pt idx="3">
                  <c:v>2.1171392845801567</c:v>
                </c:pt>
                <c:pt idx="4">
                  <c:v>2.6921178937439429</c:v>
                </c:pt>
                <c:pt idx="5">
                  <c:v>3.4855409337076289</c:v>
                </c:pt>
                <c:pt idx="6">
                  <c:v>4.3431715883160535</c:v>
                </c:pt>
                <c:pt idx="7">
                  <c:v>5.7183279599474846</c:v>
                </c:pt>
                <c:pt idx="8">
                  <c:v>7.3480452593998171</c:v>
                </c:pt>
                <c:pt idx="9">
                  <c:v>9.3015169479380742</c:v>
                </c:pt>
                <c:pt idx="10">
                  <c:v>12.471717997011375</c:v>
                </c:pt>
                <c:pt idx="11">
                  <c:v>15.911390780008063</c:v>
                </c:pt>
                <c:pt idx="12">
                  <c:v>19.957214320375083</c:v>
                </c:pt>
                <c:pt idx="13">
                  <c:v>26.642297098235606</c:v>
                </c:pt>
                <c:pt idx="14">
                  <c:v>35.420759624742779</c:v>
                </c:pt>
                <c:pt idx="15">
                  <c:v>47.633239846567577</c:v>
                </c:pt>
                <c:pt idx="16">
                  <c:v>59.636194889498817</c:v>
                </c:pt>
                <c:pt idx="17">
                  <c:v>74.730143671343583</c:v>
                </c:pt>
                <c:pt idx="18">
                  <c:v>95.626762357193996</c:v>
                </c:pt>
                <c:pt idx="19">
                  <c:v>122.32155115880718</c:v>
                </c:pt>
                <c:pt idx="20">
                  <c:v>158.32634295557031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8CA-4578-BBFE-F9BC21A0002B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Dados!$AB$2:$AB$22</c:f>
              <c:numCache>
                <c:formatCode>General</c:formatCode>
                <c:ptCount val="21"/>
                <c:pt idx="0">
                  <c:v>1</c:v>
                </c:pt>
                <c:pt idx="1">
                  <c:v>1.2532419651811901</c:v>
                </c:pt>
                <c:pt idx="2">
                  <c:v>1.642119538036396</c:v>
                </c:pt>
                <c:pt idx="3">
                  <c:v>2.0579116184743276</c:v>
                </c:pt>
                <c:pt idx="4">
                  <c:v>2.528659125531509</c:v>
                </c:pt>
                <c:pt idx="5">
                  <c:v>3.2133564199775027</c:v>
                </c:pt>
                <c:pt idx="6">
                  <c:v>4.2347995064997477</c:v>
                </c:pt>
                <c:pt idx="7">
                  <c:v>5.6031462016770055</c:v>
                </c:pt>
                <c:pt idx="8">
                  <c:v>6.9464503119491416</c:v>
                </c:pt>
                <c:pt idx="9">
                  <c:v>9.3642511582359003</c:v>
                </c:pt>
                <c:pt idx="10">
                  <c:v>12.128566091780337</c:v>
                </c:pt>
                <c:pt idx="11">
                  <c:v>15.363760631384118</c:v>
                </c:pt>
                <c:pt idx="12">
                  <c:v>20.579794473298868</c:v>
                </c:pt>
                <c:pt idx="13">
                  <c:v>27.079093273357955</c:v>
                </c:pt>
                <c:pt idx="14">
                  <c:v>36.441581959803301</c:v>
                </c:pt>
                <c:pt idx="15">
                  <c:v>48.238176445790678</c:v>
                </c:pt>
                <c:pt idx="16">
                  <c:v>59.525473974741047</c:v>
                </c:pt>
                <c:pt idx="17">
                  <c:v>76.49328782291272</c:v>
                </c:pt>
                <c:pt idx="18">
                  <c:v>98.031161054222309</c:v>
                </c:pt>
                <c:pt idx="19">
                  <c:v>126.66141994878049</c:v>
                </c:pt>
                <c:pt idx="20">
                  <c:v>155.36328209215318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8CA-4578-BBFE-F9BC21A0002B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Dados!$AC$2:$AC$22</c:f>
              <c:numCache>
                <c:formatCode>General</c:formatCode>
                <c:ptCount val="21"/>
                <c:pt idx="0">
                  <c:v>1</c:v>
                </c:pt>
                <c:pt idx="1">
                  <c:v>1.3240290307844036</c:v>
                </c:pt>
                <c:pt idx="2">
                  <c:v>1.7132813566554548</c:v>
                </c:pt>
                <c:pt idx="3">
                  <c:v>2.1272768847175509</c:v>
                </c:pt>
                <c:pt idx="4">
                  <c:v>2.6707165438469493</c:v>
                </c:pt>
                <c:pt idx="5">
                  <c:v>3.489507755089202</c:v>
                </c:pt>
                <c:pt idx="6">
                  <c:v>4.2979961617052123</c:v>
                </c:pt>
                <c:pt idx="7">
                  <c:v>5.2951183611019097</c:v>
                </c:pt>
                <c:pt idx="8">
                  <c:v>6.9983271726664302</c:v>
                </c:pt>
                <c:pt idx="9">
                  <c:v>8.7919623879217461</c:v>
                </c:pt>
                <c:pt idx="10">
                  <c:v>11.649947865251624</c:v>
                </c:pt>
                <c:pt idx="11">
                  <c:v>14.282530092463741</c:v>
                </c:pt>
                <c:pt idx="12">
                  <c:v>18.356697852973056</c:v>
                </c:pt>
                <c:pt idx="13">
                  <c:v>22.74122356727246</c:v>
                </c:pt>
                <c:pt idx="14">
                  <c:v>30.136204760977456</c:v>
                </c:pt>
                <c:pt idx="15">
                  <c:v>39.847224789885935</c:v>
                </c:pt>
                <c:pt idx="16">
                  <c:v>52.562373286750827</c:v>
                </c:pt>
                <c:pt idx="17">
                  <c:v>67.859200171199291</c:v>
                </c:pt>
                <c:pt idx="18">
                  <c:v>85.766281251398894</c:v>
                </c:pt>
                <c:pt idx="19">
                  <c:v>113.10512473103732</c:v>
                </c:pt>
                <c:pt idx="20">
                  <c:v>147.3298722157526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8CA-4578-BBFE-F9BC21A0002B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Dados!$AD$2:$AD$22</c:f>
              <c:numCache>
                <c:formatCode>General</c:formatCode>
                <c:ptCount val="21"/>
                <c:pt idx="0">
                  <c:v>1</c:v>
                </c:pt>
                <c:pt idx="1">
                  <c:v>1.2367107962731194</c:v>
                </c:pt>
                <c:pt idx="2">
                  <c:v>1.5335783170049955</c:v>
                </c:pt>
                <c:pt idx="3">
                  <c:v>2.01218293949516</c:v>
                </c:pt>
                <c:pt idx="4">
                  <c:v>2.5659561943710401</c:v>
                </c:pt>
                <c:pt idx="5">
                  <c:v>3.1776238173045854</c:v>
                </c:pt>
                <c:pt idx="6">
                  <c:v>4.1937957161834785</c:v>
                </c:pt>
                <c:pt idx="7">
                  <c:v>5.5895618730672441</c:v>
                </c:pt>
                <c:pt idx="8">
                  <c:v>7.1028903611410916</c:v>
                </c:pt>
                <c:pt idx="9">
                  <c:v>8.8928578976914956</c:v>
                </c:pt>
                <c:pt idx="10">
                  <c:v>11.139235304861057</c:v>
                </c:pt>
                <c:pt idx="11">
                  <c:v>14.718494566246887</c:v>
                </c:pt>
                <c:pt idx="12">
                  <c:v>18.577680240492352</c:v>
                </c:pt>
                <c:pt idx="13">
                  <c:v>23.927631113104908</c:v>
                </c:pt>
                <c:pt idx="14">
                  <c:v>32.210317555377017</c:v>
                </c:pt>
                <c:pt idx="15">
                  <c:v>41.054086412966448</c:v>
                </c:pt>
                <c:pt idx="16">
                  <c:v>53.019741738585992</c:v>
                </c:pt>
                <c:pt idx="17">
                  <c:v>67.63254108215736</c:v>
                </c:pt>
                <c:pt idx="18">
                  <c:v>86.322552275774228</c:v>
                </c:pt>
                <c:pt idx="19">
                  <c:v>110.27526076819223</c:v>
                </c:pt>
                <c:pt idx="20">
                  <c:v>136.31223735933031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8CA-4578-BBFE-F9BC21A0002B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Dados!$AE$2:$AE$22</c:f>
              <c:numCache>
                <c:formatCode>General</c:formatCode>
                <c:ptCount val="21"/>
                <c:pt idx="0">
                  <c:v>1</c:v>
                </c:pt>
                <c:pt idx="1">
                  <c:v>1.3467153499232993</c:v>
                </c:pt>
                <c:pt idx="2">
                  <c:v>1.6768906179979226</c:v>
                </c:pt>
                <c:pt idx="3">
                  <c:v>2.228248237735925</c:v>
                </c:pt>
                <c:pt idx="4">
                  <c:v>2.95950418359587</c:v>
                </c:pt>
                <c:pt idx="5">
                  <c:v>3.6679145250784799</c:v>
                </c:pt>
                <c:pt idx="6">
                  <c:v>4.8765664776557935</c:v>
                </c:pt>
                <c:pt idx="7">
                  <c:v>5.9639623128388255</c:v>
                </c:pt>
                <c:pt idx="8">
                  <c:v>7.3261712388686426</c:v>
                </c:pt>
                <c:pt idx="9">
                  <c:v>9.8319634399291207</c:v>
                </c:pt>
                <c:pt idx="10">
                  <c:v>12.161881834499338</c:v>
                </c:pt>
                <c:pt idx="11">
                  <c:v>15.994224562583467</c:v>
                </c:pt>
                <c:pt idx="12">
                  <c:v>21.037649493626599</c:v>
                </c:pt>
                <c:pt idx="13">
                  <c:v>26.526567706546555</c:v>
                </c:pt>
                <c:pt idx="14">
                  <c:v>34.237576493669685</c:v>
                </c:pt>
                <c:pt idx="15">
                  <c:v>44.291811262982513</c:v>
                </c:pt>
                <c:pt idx="16">
                  <c:v>57.347105607081062</c:v>
                </c:pt>
                <c:pt idx="17">
                  <c:v>71.322577721909369</c:v>
                </c:pt>
                <c:pt idx="18">
                  <c:v>91.611307342161737</c:v>
                </c:pt>
                <c:pt idx="19">
                  <c:v>117.47370890664378</c:v>
                </c:pt>
                <c:pt idx="20">
                  <c:v>146.50712764440661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8CA-4578-BBFE-F9BC21A0002B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Dados!$AF$2:$AF$22</c:f>
              <c:numCache>
                <c:formatCode>General</c:formatCode>
                <c:ptCount val="21"/>
                <c:pt idx="0">
                  <c:v>1</c:v>
                </c:pt>
                <c:pt idx="1">
                  <c:v>1.2640817286220623</c:v>
                </c:pt>
                <c:pt idx="2">
                  <c:v>1.6835775802496877</c:v>
                </c:pt>
                <c:pt idx="3">
                  <c:v>2.0638215505661344</c:v>
                </c:pt>
                <c:pt idx="4">
                  <c:v>2.5573338824673169</c:v>
                </c:pt>
                <c:pt idx="5">
                  <c:v>3.2378177046350198</c:v>
                </c:pt>
                <c:pt idx="6">
                  <c:v>4.2343540103603843</c:v>
                </c:pt>
                <c:pt idx="7">
                  <c:v>5.3842376572468043</c:v>
                </c:pt>
                <c:pt idx="8">
                  <c:v>6.6333222262811962</c:v>
                </c:pt>
                <c:pt idx="9">
                  <c:v>8.8354601821145309</c:v>
                </c:pt>
                <c:pt idx="10">
                  <c:v>11.109379066022127</c:v>
                </c:pt>
                <c:pt idx="11">
                  <c:v>13.764833643986112</c:v>
                </c:pt>
                <c:pt idx="12">
                  <c:v>18.106932713500449</c:v>
                </c:pt>
                <c:pt idx="13">
                  <c:v>24.341161923705275</c:v>
                </c:pt>
                <c:pt idx="14">
                  <c:v>32.68725443183807</c:v>
                </c:pt>
                <c:pt idx="15">
                  <c:v>42.125327337913703</c:v>
                </c:pt>
                <c:pt idx="16">
                  <c:v>51.474815152646777</c:v>
                </c:pt>
                <c:pt idx="17">
                  <c:v>64.135304601767032</c:v>
                </c:pt>
                <c:pt idx="18">
                  <c:v>82.178135335392795</c:v>
                </c:pt>
                <c:pt idx="19">
                  <c:v>107.05949390337121</c:v>
                </c:pt>
                <c:pt idx="20">
                  <c:v>143.39202994846033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8CA-4578-BBFE-F9BC21A0002B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Dados!$AG$2:$AG$22</c:f>
              <c:numCache>
                <c:formatCode>General</c:formatCode>
                <c:ptCount val="21"/>
                <c:pt idx="0">
                  <c:v>1</c:v>
                </c:pt>
                <c:pt idx="1">
                  <c:v>1.2549117532647018</c:v>
                </c:pt>
                <c:pt idx="2">
                  <c:v>1.5784738848813491</c:v>
                </c:pt>
                <c:pt idx="3">
                  <c:v>2.1029015274755967</c:v>
                </c:pt>
                <c:pt idx="4">
                  <c:v>2.8046725726283577</c:v>
                </c:pt>
                <c:pt idx="5">
                  <c:v>3.6915063148351317</c:v>
                </c:pt>
                <c:pt idx="6">
                  <c:v>4.6808680974261785</c:v>
                </c:pt>
                <c:pt idx="7">
                  <c:v>5.9689794527630786</c:v>
                </c:pt>
                <c:pt idx="8">
                  <c:v>7.7076981203354293</c:v>
                </c:pt>
                <c:pt idx="9">
                  <c:v>9.6212473561718461</c:v>
                </c:pt>
                <c:pt idx="10">
                  <c:v>12.32351232277766</c:v>
                </c:pt>
                <c:pt idx="11">
                  <c:v>16.152458184627839</c:v>
                </c:pt>
                <c:pt idx="12">
                  <c:v>21.211932822668594</c:v>
                </c:pt>
                <c:pt idx="13">
                  <c:v>25.999396866091185</c:v>
                </c:pt>
                <c:pt idx="14">
                  <c:v>32.289460483848885</c:v>
                </c:pt>
                <c:pt idx="15">
                  <c:v>40.309094102115445</c:v>
                </c:pt>
                <c:pt idx="16">
                  <c:v>51.835309314034006</c:v>
                </c:pt>
                <c:pt idx="17">
                  <c:v>69.473278002316192</c:v>
                </c:pt>
                <c:pt idx="18">
                  <c:v>85.919907243699626</c:v>
                </c:pt>
                <c:pt idx="19">
                  <c:v>109.33869428149873</c:v>
                </c:pt>
                <c:pt idx="20">
                  <c:v>141.72599797959708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8CA-4578-BBFE-F9BC21A0002B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Dados!$AH$2:$AH$22</c:f>
              <c:numCache>
                <c:formatCode>General</c:formatCode>
                <c:ptCount val="21"/>
                <c:pt idx="0">
                  <c:v>1</c:v>
                </c:pt>
                <c:pt idx="1">
                  <c:v>1.2859898286365761</c:v>
                </c:pt>
                <c:pt idx="2">
                  <c:v>1.6187138886664012</c:v>
                </c:pt>
                <c:pt idx="3">
                  <c:v>2.1444673974252177</c:v>
                </c:pt>
                <c:pt idx="4">
                  <c:v>2.7205139558121814</c:v>
                </c:pt>
                <c:pt idx="5">
                  <c:v>3.4622236772873762</c:v>
                </c:pt>
                <c:pt idx="6">
                  <c:v>4.6624128559720388</c:v>
                </c:pt>
                <c:pt idx="7">
                  <c:v>5.8423727676678423</c:v>
                </c:pt>
                <c:pt idx="8">
                  <c:v>7.722990005806591</c:v>
                </c:pt>
                <c:pt idx="9">
                  <c:v>9.5444843750794437</c:v>
                </c:pt>
                <c:pt idx="10">
                  <c:v>12.346813290140499</c:v>
                </c:pt>
                <c:pt idx="11">
                  <c:v>16.549152275377828</c:v>
                </c:pt>
                <c:pt idx="12">
                  <c:v>20.618013833008931</c:v>
                </c:pt>
                <c:pt idx="13">
                  <c:v>25.38224469614174</c:v>
                </c:pt>
                <c:pt idx="14">
                  <c:v>31.508347855514419</c:v>
                </c:pt>
                <c:pt idx="15">
                  <c:v>40.102047862753899</c:v>
                </c:pt>
                <c:pt idx="16">
                  <c:v>53.997377493331342</c:v>
                </c:pt>
                <c:pt idx="17">
                  <c:v>70.741969862858639</c:v>
                </c:pt>
                <c:pt idx="18">
                  <c:v>92.264647306983704</c:v>
                </c:pt>
                <c:pt idx="19">
                  <c:v>122.35691728224936</c:v>
                </c:pt>
                <c:pt idx="20">
                  <c:v>161.14198490664893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8CA-4578-BBFE-F9BC21A0002B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Dados!$AI$2:$AI$22</c:f>
              <c:numCache>
                <c:formatCode>General</c:formatCode>
                <c:ptCount val="21"/>
                <c:pt idx="0">
                  <c:v>1</c:v>
                </c:pt>
                <c:pt idx="1">
                  <c:v>1.3032517282772949</c:v>
                </c:pt>
                <c:pt idx="2">
                  <c:v>1.6031558090294495</c:v>
                </c:pt>
                <c:pt idx="3">
                  <c:v>2.1550228654511425</c:v>
                </c:pt>
                <c:pt idx="4">
                  <c:v>2.841202931418624</c:v>
                </c:pt>
                <c:pt idx="5">
                  <c:v>3.5493854843270896</c:v>
                </c:pt>
                <c:pt idx="6">
                  <c:v>4.7693391506952274</c:v>
                </c:pt>
                <c:pt idx="7">
                  <c:v>6.4191043313662091</c:v>
                </c:pt>
                <c:pt idx="8">
                  <c:v>7.9998887538181904</c:v>
                </c:pt>
                <c:pt idx="9">
                  <c:v>9.8368212256066876</c:v>
                </c:pt>
                <c:pt idx="10">
                  <c:v>12.963860632226393</c:v>
                </c:pt>
                <c:pt idx="11">
                  <c:v>17.066328743154742</c:v>
                </c:pt>
                <c:pt idx="12">
                  <c:v>22.42341033144562</c:v>
                </c:pt>
                <c:pt idx="13">
                  <c:v>29.182456281463793</c:v>
                </c:pt>
                <c:pt idx="14">
                  <c:v>38.762125070262371</c:v>
                </c:pt>
                <c:pt idx="15">
                  <c:v>49.971067510023026</c:v>
                </c:pt>
                <c:pt idx="16">
                  <c:v>65.226596251767646</c:v>
                </c:pt>
                <c:pt idx="17">
                  <c:v>83.71312289020716</c:v>
                </c:pt>
                <c:pt idx="18">
                  <c:v>107.8734674414565</c:v>
                </c:pt>
                <c:pt idx="19">
                  <c:v>132.36200632229728</c:v>
                </c:pt>
                <c:pt idx="20">
                  <c:v>171.11903645926267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8CA-4578-BBFE-F9BC21A0002B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Dados!$AJ$2:$AJ$22</c:f>
              <c:numCache>
                <c:formatCode>General</c:formatCode>
                <c:ptCount val="21"/>
                <c:pt idx="0">
                  <c:v>1</c:v>
                </c:pt>
                <c:pt idx="1">
                  <c:v>1.2215753926405843</c:v>
                </c:pt>
                <c:pt idx="2">
                  <c:v>1.6186921474560274</c:v>
                </c:pt>
                <c:pt idx="3">
                  <c:v>2.0049147820466384</c:v>
                </c:pt>
                <c:pt idx="4">
                  <c:v>2.4685434171065213</c:v>
                </c:pt>
                <c:pt idx="5">
                  <c:v>3.189987793853065</c:v>
                </c:pt>
                <c:pt idx="6">
                  <c:v>4.2404024353986509</c:v>
                </c:pt>
                <c:pt idx="7">
                  <c:v>5.2787058269621276</c:v>
                </c:pt>
                <c:pt idx="8">
                  <c:v>6.5237913618074419</c:v>
                </c:pt>
                <c:pt idx="9">
                  <c:v>8.2354847388285428</c:v>
                </c:pt>
                <c:pt idx="10">
                  <c:v>10.302402951373301</c:v>
                </c:pt>
                <c:pt idx="11">
                  <c:v>13.605312301747196</c:v>
                </c:pt>
                <c:pt idx="12">
                  <c:v>17.823003795912967</c:v>
                </c:pt>
                <c:pt idx="13">
                  <c:v>21.998158908027591</c:v>
                </c:pt>
                <c:pt idx="14">
                  <c:v>27.932812859459681</c:v>
                </c:pt>
                <c:pt idx="15">
                  <c:v>37.131092716718754</c:v>
                </c:pt>
                <c:pt idx="16">
                  <c:v>45.537151566589834</c:v>
                </c:pt>
                <c:pt idx="17">
                  <c:v>57.459216971681556</c:v>
                </c:pt>
                <c:pt idx="18">
                  <c:v>76.568268605539842</c:v>
                </c:pt>
                <c:pt idx="19">
                  <c:v>93.782188916548208</c:v>
                </c:pt>
                <c:pt idx="20">
                  <c:v>120.97633247645237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8CA-4578-BBFE-F9BC21A0002B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Dados!$AK$2:$AK$22</c:f>
              <c:numCache>
                <c:formatCode>General</c:formatCode>
                <c:ptCount val="21"/>
                <c:pt idx="0">
                  <c:v>1</c:v>
                </c:pt>
                <c:pt idx="1">
                  <c:v>1.273890142815383</c:v>
                </c:pt>
                <c:pt idx="2">
                  <c:v>1.637620485145505</c:v>
                </c:pt>
                <c:pt idx="3">
                  <c:v>2.1571266729189094</c:v>
                </c:pt>
                <c:pt idx="4">
                  <c:v>2.7858867263305642</c:v>
                </c:pt>
                <c:pt idx="5">
                  <c:v>3.6514287164933741</c:v>
                </c:pt>
                <c:pt idx="6">
                  <c:v>4.9216111837292598</c:v>
                </c:pt>
                <c:pt idx="7">
                  <c:v>6.1152151409788571</c:v>
                </c:pt>
                <c:pt idx="8">
                  <c:v>7.5820941895547671</c:v>
                </c:pt>
                <c:pt idx="9">
                  <c:v>10.121709314072524</c:v>
                </c:pt>
                <c:pt idx="10">
                  <c:v>12.55205487807803</c:v>
                </c:pt>
                <c:pt idx="11">
                  <c:v>16.614842732377877</c:v>
                </c:pt>
                <c:pt idx="12">
                  <c:v>20.328628833367333</c:v>
                </c:pt>
                <c:pt idx="13">
                  <c:v>25.15478557619533</c:v>
                </c:pt>
                <c:pt idx="14">
                  <c:v>31.060223554627221</c:v>
                </c:pt>
                <c:pt idx="15">
                  <c:v>39.052314856035842</c:v>
                </c:pt>
                <c:pt idx="16">
                  <c:v>49.716872590808165</c:v>
                </c:pt>
                <c:pt idx="17">
                  <c:v>64.974753361022763</c:v>
                </c:pt>
                <c:pt idx="18">
                  <c:v>84.031844371646329</c:v>
                </c:pt>
                <c:pt idx="19">
                  <c:v>113.16513199834522</c:v>
                </c:pt>
                <c:pt idx="20">
                  <c:v>150.23246302389796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8CA-4578-BBFE-F9BC21A0002B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Dados!$AL$2:$AL$22</c:f>
              <c:numCache>
                <c:formatCode>General</c:formatCode>
                <c:ptCount val="21"/>
                <c:pt idx="0">
                  <c:v>1</c:v>
                </c:pt>
                <c:pt idx="1">
                  <c:v>1.2235198836134016</c:v>
                </c:pt>
                <c:pt idx="2">
                  <c:v>1.6386192913420643</c:v>
                </c:pt>
                <c:pt idx="3">
                  <c:v>2.1954827039475977</c:v>
                </c:pt>
                <c:pt idx="4">
                  <c:v>2.763865288253553</c:v>
                </c:pt>
                <c:pt idx="5">
                  <c:v>3.5623400532155101</c:v>
                </c:pt>
                <c:pt idx="6">
                  <c:v>4.7557695558433917</c:v>
                </c:pt>
                <c:pt idx="7">
                  <c:v>5.974781186953301</c:v>
                </c:pt>
                <c:pt idx="8">
                  <c:v>7.554065653438844</c:v>
                </c:pt>
                <c:pt idx="9">
                  <c:v>9.373903826608684</c:v>
                </c:pt>
                <c:pt idx="10">
                  <c:v>11.742735883703533</c:v>
                </c:pt>
                <c:pt idx="11">
                  <c:v>15.375420357639063</c:v>
                </c:pt>
                <c:pt idx="12">
                  <c:v>20.202122748205767</c:v>
                </c:pt>
                <c:pt idx="13">
                  <c:v>25.381042520641785</c:v>
                </c:pt>
                <c:pt idx="14">
                  <c:v>32.303971550983512</c:v>
                </c:pt>
                <c:pt idx="15">
                  <c:v>40.157192094014206</c:v>
                </c:pt>
                <c:pt idx="16">
                  <c:v>53.063494543015366</c:v>
                </c:pt>
                <c:pt idx="17">
                  <c:v>68.417062148185352</c:v>
                </c:pt>
                <c:pt idx="18">
                  <c:v>85.358800814359569</c:v>
                </c:pt>
                <c:pt idx="19">
                  <c:v>108.96564085122435</c:v>
                </c:pt>
                <c:pt idx="20">
                  <c:v>134.38857556224198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8CA-4578-BBFE-F9BC21A0002B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Dados!$AM$2:$AM$22</c:f>
              <c:numCache>
                <c:formatCode>General</c:formatCode>
                <c:ptCount val="21"/>
                <c:pt idx="0">
                  <c:v>1</c:v>
                </c:pt>
                <c:pt idx="1">
                  <c:v>1.2338599515323854</c:v>
                </c:pt>
                <c:pt idx="2">
                  <c:v>1.6514045152246981</c:v>
                </c:pt>
                <c:pt idx="3">
                  <c:v>2.1964530678806216</c:v>
                </c:pt>
                <c:pt idx="4">
                  <c:v>2.7030513802100948</c:v>
                </c:pt>
                <c:pt idx="5">
                  <c:v>3.3354312570936284</c:v>
                </c:pt>
                <c:pt idx="6">
                  <c:v>4.1569761825280374</c:v>
                </c:pt>
                <c:pt idx="7">
                  <c:v>5.2120625371237557</c:v>
                </c:pt>
                <c:pt idx="8">
                  <c:v>6.8818077808946017</c:v>
                </c:pt>
                <c:pt idx="9">
                  <c:v>9.0549579255267236</c:v>
                </c:pt>
                <c:pt idx="10">
                  <c:v>11.603942519208582</c:v>
                </c:pt>
                <c:pt idx="11">
                  <c:v>14.653465440795577</c:v>
                </c:pt>
                <c:pt idx="12">
                  <c:v>19.561964060695995</c:v>
                </c:pt>
                <c:pt idx="13">
                  <c:v>26.208248610056948</c:v>
                </c:pt>
                <c:pt idx="14">
                  <c:v>32.426890750250038</c:v>
                </c:pt>
                <c:pt idx="15">
                  <c:v>40.718082395013766</c:v>
                </c:pt>
                <c:pt idx="16">
                  <c:v>49.781300175089157</c:v>
                </c:pt>
                <c:pt idx="17">
                  <c:v>64.565121449845606</c:v>
                </c:pt>
                <c:pt idx="18">
                  <c:v>79.763671602855936</c:v>
                </c:pt>
                <c:pt idx="19">
                  <c:v>104.25814845642515</c:v>
                </c:pt>
                <c:pt idx="20">
                  <c:v>136.05342417004232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8CA-4578-BBFE-F9BC21A0002B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Dados!$AN$2:$AN$22</c:f>
              <c:numCache>
                <c:formatCode>General</c:formatCode>
                <c:ptCount val="21"/>
                <c:pt idx="0">
                  <c:v>1</c:v>
                </c:pt>
                <c:pt idx="1">
                  <c:v>1.2791242876952109</c:v>
                </c:pt>
                <c:pt idx="2">
                  <c:v>1.6510319156630373</c:v>
                </c:pt>
                <c:pt idx="3">
                  <c:v>2.1834091702628831</c:v>
                </c:pt>
                <c:pt idx="4">
                  <c:v>2.9101446036430212</c:v>
                </c:pt>
                <c:pt idx="5">
                  <c:v>3.630663966040212</c:v>
                </c:pt>
                <c:pt idx="6">
                  <c:v>4.6946729525539972</c:v>
                </c:pt>
                <c:pt idx="7">
                  <c:v>5.8061074548963019</c:v>
                </c:pt>
                <c:pt idx="8">
                  <c:v>7.7508442638329011</c:v>
                </c:pt>
                <c:pt idx="9">
                  <c:v>10.388569748999</c:v>
                </c:pt>
                <c:pt idx="10">
                  <c:v>13.750110088434985</c:v>
                </c:pt>
                <c:pt idx="11">
                  <c:v>17.215831135569875</c:v>
                </c:pt>
                <c:pt idx="12">
                  <c:v>22.741497310096104</c:v>
                </c:pt>
                <c:pt idx="13">
                  <c:v>28.774931598192364</c:v>
                </c:pt>
                <c:pt idx="14">
                  <c:v>35.563272793046664</c:v>
                </c:pt>
                <c:pt idx="15">
                  <c:v>45.299917503356525</c:v>
                </c:pt>
                <c:pt idx="16">
                  <c:v>58.373164183495263</c:v>
                </c:pt>
                <c:pt idx="17">
                  <c:v>71.324287011886398</c:v>
                </c:pt>
                <c:pt idx="18">
                  <c:v>87.228781740831678</c:v>
                </c:pt>
                <c:pt idx="19">
                  <c:v>111.19362394855189</c:v>
                </c:pt>
                <c:pt idx="20">
                  <c:v>137.13919838388981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8CA-4578-BBFE-F9BC21A0002B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Dados!$AO$2:$AO$22</c:f>
              <c:numCache>
                <c:formatCode>General</c:formatCode>
                <c:ptCount val="21"/>
                <c:pt idx="0">
                  <c:v>1</c:v>
                </c:pt>
                <c:pt idx="1">
                  <c:v>1.2565479217202982</c:v>
                </c:pt>
                <c:pt idx="2">
                  <c:v>1.653549716638951</c:v>
                </c:pt>
                <c:pt idx="3">
                  <c:v>2.0994959458089166</c:v>
                </c:pt>
                <c:pt idx="4">
                  <c:v>2.8182281610507163</c:v>
                </c:pt>
                <c:pt idx="5">
                  <c:v>3.4467060539831653</c:v>
                </c:pt>
                <c:pt idx="6">
                  <c:v>4.2752760162045265</c:v>
                </c:pt>
                <c:pt idx="7">
                  <c:v>5.3291659327112795</c:v>
                </c:pt>
                <c:pt idx="8">
                  <c:v>6.933633900914205</c:v>
                </c:pt>
                <c:pt idx="9">
                  <c:v>9.0340113196005873</c:v>
                </c:pt>
                <c:pt idx="10">
                  <c:v>11.504082287102237</c:v>
                </c:pt>
                <c:pt idx="11">
                  <c:v>14.95974552544696</c:v>
                </c:pt>
                <c:pt idx="12">
                  <c:v>19.811683523370775</c:v>
                </c:pt>
                <c:pt idx="13">
                  <c:v>24.825867184912045</c:v>
                </c:pt>
                <c:pt idx="14">
                  <c:v>30.540601742760547</c:v>
                </c:pt>
                <c:pt idx="15">
                  <c:v>38.858953126906648</c:v>
                </c:pt>
                <c:pt idx="16">
                  <c:v>48.413103157840112</c:v>
                </c:pt>
                <c:pt idx="17">
                  <c:v>64.642304470545298</c:v>
                </c:pt>
                <c:pt idx="18">
                  <c:v>84.006180551878856</c:v>
                </c:pt>
                <c:pt idx="19">
                  <c:v>112.75228538747793</c:v>
                </c:pt>
                <c:pt idx="20">
                  <c:v>147.3868045196657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8CA-4578-BBFE-F9BC21A0002B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Dados!$AP$2:$AP$22</c:f>
              <c:numCache>
                <c:formatCode>General</c:formatCode>
                <c:ptCount val="21"/>
                <c:pt idx="0">
                  <c:v>1</c:v>
                </c:pt>
                <c:pt idx="1">
                  <c:v>1.2884124385407019</c:v>
                </c:pt>
                <c:pt idx="2">
                  <c:v>1.5778181258807071</c:v>
                </c:pt>
                <c:pt idx="3">
                  <c:v>2.0995830848507633</c:v>
                </c:pt>
                <c:pt idx="4">
                  <c:v>2.800164163664653</c:v>
                </c:pt>
                <c:pt idx="5">
                  <c:v>3.486855820617361</c:v>
                </c:pt>
                <c:pt idx="6">
                  <c:v>4.5546212949897953</c:v>
                </c:pt>
                <c:pt idx="7">
                  <c:v>5.6823107089751588</c:v>
                </c:pt>
                <c:pt idx="8">
                  <c:v>6.9911712718710621</c:v>
                </c:pt>
                <c:pt idx="9">
                  <c:v>8.828009305213369</c:v>
                </c:pt>
                <c:pt idx="10">
                  <c:v>11.201552069523308</c:v>
                </c:pt>
                <c:pt idx="11">
                  <c:v>14.518695928802568</c:v>
                </c:pt>
                <c:pt idx="12">
                  <c:v>17.831796021130081</c:v>
                </c:pt>
                <c:pt idx="13">
                  <c:v>22.460338136038249</c:v>
                </c:pt>
                <c:pt idx="14">
                  <c:v>29.639068220605107</c:v>
                </c:pt>
                <c:pt idx="15">
                  <c:v>37.911615392802759</c:v>
                </c:pt>
                <c:pt idx="16">
                  <c:v>49.436814455393275</c:v>
                </c:pt>
                <c:pt idx="17">
                  <c:v>60.997117300884</c:v>
                </c:pt>
                <c:pt idx="18">
                  <c:v>77.536467387965047</c:v>
                </c:pt>
                <c:pt idx="19">
                  <c:v>103.2236895524257</c:v>
                </c:pt>
                <c:pt idx="20">
                  <c:v>129.63306286764762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8CA-4578-BBFE-F9BC21A0002B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Dados!$AQ$2:$AQ$22</c:f>
              <c:numCache>
                <c:formatCode>General</c:formatCode>
                <c:ptCount val="21"/>
                <c:pt idx="0">
                  <c:v>1</c:v>
                </c:pt>
                <c:pt idx="1">
                  <c:v>1.2446605836228861</c:v>
                </c:pt>
                <c:pt idx="2">
                  <c:v>1.6239948089282599</c:v>
                </c:pt>
                <c:pt idx="3">
                  <c:v>2.1463570910665868</c:v>
                </c:pt>
                <c:pt idx="4">
                  <c:v>2.7017242663842835</c:v>
                </c:pt>
                <c:pt idx="5">
                  <c:v>3.6377495369335917</c:v>
                </c:pt>
                <c:pt idx="6">
                  <c:v>4.505407172231866</c:v>
                </c:pt>
                <c:pt idx="7">
                  <c:v>5.7844141800678832</c:v>
                </c:pt>
                <c:pt idx="8">
                  <c:v>7.1916350684222277</c:v>
                </c:pt>
                <c:pt idx="9">
                  <c:v>9.4702458969782786</c:v>
                </c:pt>
                <c:pt idx="10">
                  <c:v>12.413098505234997</c:v>
                </c:pt>
                <c:pt idx="11">
                  <c:v>15.687491625750395</c:v>
                </c:pt>
                <c:pt idx="12">
                  <c:v>19.974899167915179</c:v>
                </c:pt>
                <c:pt idx="13">
                  <c:v>26.382608879827465</c:v>
                </c:pt>
                <c:pt idx="14">
                  <c:v>32.800439826442847</c:v>
                </c:pt>
                <c:pt idx="15">
                  <c:v>40.754322654487311</c:v>
                </c:pt>
                <c:pt idx="16">
                  <c:v>53.129960632068112</c:v>
                </c:pt>
                <c:pt idx="17">
                  <c:v>69.304245707559659</c:v>
                </c:pt>
                <c:pt idx="18">
                  <c:v>87.15610709436136</c:v>
                </c:pt>
                <c:pt idx="19">
                  <c:v>111.42349836458105</c:v>
                </c:pt>
                <c:pt idx="20">
                  <c:v>148.29104166159797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8CA-4578-BBFE-F9BC21A0002B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Dados!$AR$2:$AR$22</c:f>
              <c:numCache>
                <c:formatCode>General</c:formatCode>
                <c:ptCount val="21"/>
                <c:pt idx="0">
                  <c:v>1</c:v>
                </c:pt>
                <c:pt idx="1">
                  <c:v>1.3258825830933172</c:v>
                </c:pt>
                <c:pt idx="2">
                  <c:v>1.7493736671603177</c:v>
                </c:pt>
                <c:pt idx="3">
                  <c:v>2.332530528137347</c:v>
                </c:pt>
                <c:pt idx="4">
                  <c:v>3.1346689589648649</c:v>
                </c:pt>
                <c:pt idx="5">
                  <c:v>3.8328257723353847</c:v>
                </c:pt>
                <c:pt idx="6">
                  <c:v>5.0668291290890073</c:v>
                </c:pt>
                <c:pt idx="7">
                  <c:v>6.572354583798858</c:v>
                </c:pt>
                <c:pt idx="8">
                  <c:v>8.3199669905942901</c:v>
                </c:pt>
                <c:pt idx="9">
                  <c:v>10.172371878666505</c:v>
                </c:pt>
                <c:pt idx="10">
                  <c:v>13.112750963148034</c:v>
                </c:pt>
                <c:pt idx="11">
                  <c:v>16.303961768351165</c:v>
                </c:pt>
                <c:pt idx="12">
                  <c:v>21.381476904283893</c:v>
                </c:pt>
                <c:pt idx="13">
                  <c:v>26.318925745450372</c:v>
                </c:pt>
                <c:pt idx="14">
                  <c:v>32.597731692088573</c:v>
                </c:pt>
                <c:pt idx="15">
                  <c:v>40.736672529173539</c:v>
                </c:pt>
                <c:pt idx="16">
                  <c:v>51.456571137087593</c:v>
                </c:pt>
                <c:pt idx="17">
                  <c:v>63.977463754338764</c:v>
                </c:pt>
                <c:pt idx="18">
                  <c:v>85.396189595506129</c:v>
                </c:pt>
                <c:pt idx="19">
                  <c:v>107.66662315860545</c:v>
                </c:pt>
                <c:pt idx="20">
                  <c:v>133.18996627458489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8CA-4578-BBFE-F9BC21A0002B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Dados!$AS$2:$AS$22</c:f>
              <c:numCache>
                <c:formatCode>General</c:formatCode>
                <c:ptCount val="21"/>
                <c:pt idx="0">
                  <c:v>1</c:v>
                </c:pt>
                <c:pt idx="1">
                  <c:v>1.3068737206478516</c:v>
                </c:pt>
                <c:pt idx="2">
                  <c:v>1.7483261620077548</c:v>
                </c:pt>
                <c:pt idx="3">
                  <c:v>2.1854924132479727</c:v>
                </c:pt>
                <c:pt idx="4">
                  <c:v>2.755523318855345</c:v>
                </c:pt>
                <c:pt idx="5">
                  <c:v>3.5708079158205726</c:v>
                </c:pt>
                <c:pt idx="6">
                  <c:v>4.7031164551417532</c:v>
                </c:pt>
                <c:pt idx="7">
                  <c:v>6.2619060127504698</c:v>
                </c:pt>
                <c:pt idx="8">
                  <c:v>8.2080379898306077</c:v>
                </c:pt>
                <c:pt idx="9">
                  <c:v>10.713366848679497</c:v>
                </c:pt>
                <c:pt idx="10">
                  <c:v>13.143547103294059</c:v>
                </c:pt>
                <c:pt idx="11">
                  <c:v>16.329664712198007</c:v>
                </c:pt>
                <c:pt idx="12">
                  <c:v>20.050598079317894</c:v>
                </c:pt>
                <c:pt idx="13">
                  <c:v>26.507106546741859</c:v>
                </c:pt>
                <c:pt idx="14">
                  <c:v>33.613974369620493</c:v>
                </c:pt>
                <c:pt idx="15">
                  <c:v>42.557204179962035</c:v>
                </c:pt>
                <c:pt idx="16">
                  <c:v>55.275771464422846</c:v>
                </c:pt>
                <c:pt idx="17">
                  <c:v>74.201463892494601</c:v>
                </c:pt>
                <c:pt idx="18">
                  <c:v>92.717742261308047</c:v>
                </c:pt>
                <c:pt idx="19">
                  <c:v>118.52956764840769</c:v>
                </c:pt>
                <c:pt idx="20">
                  <c:v>152.26365371073314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8CA-4578-BBFE-F9BC21A0002B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Dados!$AT$2:$AT$22</c:f>
              <c:numCache>
                <c:formatCode>General</c:formatCode>
                <c:ptCount val="21"/>
                <c:pt idx="0">
                  <c:v>1</c:v>
                </c:pt>
                <c:pt idx="1">
                  <c:v>1.3157966668393755</c:v>
                </c:pt>
                <c:pt idx="2">
                  <c:v>1.6308594894492581</c:v>
                </c:pt>
                <c:pt idx="3">
                  <c:v>2.1090160864930088</c:v>
                </c:pt>
                <c:pt idx="4">
                  <c:v>2.830858602070653</c:v>
                </c:pt>
                <c:pt idx="5">
                  <c:v>3.623473680993138</c:v>
                </c:pt>
                <c:pt idx="6">
                  <c:v>4.8865598081363508</c:v>
                </c:pt>
                <c:pt idx="7">
                  <c:v>6.2921079161049445</c:v>
                </c:pt>
                <c:pt idx="8">
                  <c:v>7.9687657661526128</c:v>
                </c:pt>
                <c:pt idx="9">
                  <c:v>10.408934122052548</c:v>
                </c:pt>
                <c:pt idx="10">
                  <c:v>13.460255072747135</c:v>
                </c:pt>
                <c:pt idx="11">
                  <c:v>16.820564779238545</c:v>
                </c:pt>
                <c:pt idx="12">
                  <c:v>22.108851206609973</c:v>
                </c:pt>
                <c:pt idx="13">
                  <c:v>27.544226403608736</c:v>
                </c:pt>
                <c:pt idx="14">
                  <c:v>35.710772299359967</c:v>
                </c:pt>
                <c:pt idx="15">
                  <c:v>46.247500699400945</c:v>
                </c:pt>
                <c:pt idx="16">
                  <c:v>62.231354401916008</c:v>
                </c:pt>
                <c:pt idx="17">
                  <c:v>83.57544482234529</c:v>
                </c:pt>
                <c:pt idx="18">
                  <c:v>105.9895358961865</c:v>
                </c:pt>
                <c:pt idx="19">
                  <c:v>132.00856746701544</c:v>
                </c:pt>
                <c:pt idx="20">
                  <c:v>177.15923502702165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F8CA-4578-BBFE-F9BC21A0002B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Dados!$AU$2:$AU$22</c:f>
              <c:numCache>
                <c:formatCode>General</c:formatCode>
                <c:ptCount val="21"/>
                <c:pt idx="0">
                  <c:v>1</c:v>
                </c:pt>
                <c:pt idx="1">
                  <c:v>1.3431337874616205</c:v>
                </c:pt>
                <c:pt idx="2">
                  <c:v>1.7165814689901258</c:v>
                </c:pt>
                <c:pt idx="3">
                  <c:v>2.2124109607820883</c:v>
                </c:pt>
                <c:pt idx="4">
                  <c:v>2.9647458680443557</c:v>
                </c:pt>
                <c:pt idx="5">
                  <c:v>3.7608778753790539</c:v>
                </c:pt>
                <c:pt idx="6">
                  <c:v>4.9125182156337583</c:v>
                </c:pt>
                <c:pt idx="7">
                  <c:v>6.3834975203491195</c:v>
                </c:pt>
                <c:pt idx="8">
                  <c:v>8.0790281206248977</c:v>
                </c:pt>
                <c:pt idx="9">
                  <c:v>10.601449290125844</c:v>
                </c:pt>
                <c:pt idx="10">
                  <c:v>14.001059902030308</c:v>
                </c:pt>
                <c:pt idx="11">
                  <c:v>18.75450264628477</c:v>
                </c:pt>
                <c:pt idx="12">
                  <c:v>24.407223539554131</c:v>
                </c:pt>
                <c:pt idx="13">
                  <c:v>30.221080012253584</c:v>
                </c:pt>
                <c:pt idx="14">
                  <c:v>38.167037356565835</c:v>
                </c:pt>
                <c:pt idx="15">
                  <c:v>50.843746988482792</c:v>
                </c:pt>
                <c:pt idx="16">
                  <c:v>68.070022463569472</c:v>
                </c:pt>
                <c:pt idx="17">
                  <c:v>87.388091927316466</c:v>
                </c:pt>
                <c:pt idx="18">
                  <c:v>110.23643517037368</c:v>
                </c:pt>
                <c:pt idx="19">
                  <c:v>147.27479065125999</c:v>
                </c:pt>
                <c:pt idx="20">
                  <c:v>185.09120351031908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8CA-4578-BBFE-F9BC21A0002B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Dados!$AV$2:$AV$22</c:f>
              <c:numCache>
                <c:formatCode>General</c:formatCode>
                <c:ptCount val="21"/>
                <c:pt idx="0">
                  <c:v>1</c:v>
                </c:pt>
                <c:pt idx="1">
                  <c:v>1.2368531217691943</c:v>
                </c:pt>
                <c:pt idx="2">
                  <c:v>1.6178045780762862</c:v>
                </c:pt>
                <c:pt idx="3">
                  <c:v>2.0819808359936336</c:v>
                </c:pt>
                <c:pt idx="4">
                  <c:v>2.5463417637610308</c:v>
                </c:pt>
                <c:pt idx="5">
                  <c:v>3.329428287468482</c:v>
                </c:pt>
                <c:pt idx="6">
                  <c:v>4.3562723547538207</c:v>
                </c:pt>
                <c:pt idx="7">
                  <c:v>5.8644531815186518</c:v>
                </c:pt>
                <c:pt idx="8">
                  <c:v>7.1736163874341097</c:v>
                </c:pt>
                <c:pt idx="9">
                  <c:v>9.3632214057221397</c:v>
                </c:pt>
                <c:pt idx="10">
                  <c:v>12.524324751491559</c:v>
                </c:pt>
                <c:pt idx="11">
                  <c:v>15.859208834392737</c:v>
                </c:pt>
                <c:pt idx="12">
                  <c:v>20.665333066995217</c:v>
                </c:pt>
                <c:pt idx="13">
                  <c:v>26.483440177768166</c:v>
                </c:pt>
                <c:pt idx="14">
                  <c:v>33.249809642330291</c:v>
                </c:pt>
                <c:pt idx="15">
                  <c:v>42.727805725981618</c:v>
                </c:pt>
                <c:pt idx="16">
                  <c:v>57.01003231188691</c:v>
                </c:pt>
                <c:pt idx="17">
                  <c:v>75.183654108754538</c:v>
                </c:pt>
                <c:pt idx="18">
                  <c:v>95.718015141914719</c:v>
                </c:pt>
                <c:pt idx="19">
                  <c:v>124.84845717812473</c:v>
                </c:pt>
                <c:pt idx="20">
                  <c:v>157.41335838627506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8CA-4578-BBFE-F9BC21A0002B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Dados!$AW$2:$AW$22</c:f>
              <c:numCache>
                <c:formatCode>General</c:formatCode>
                <c:ptCount val="21"/>
                <c:pt idx="0">
                  <c:v>1</c:v>
                </c:pt>
                <c:pt idx="1">
                  <c:v>1.2872734491469218</c:v>
                </c:pt>
                <c:pt idx="2">
                  <c:v>1.5956992020442982</c:v>
                </c:pt>
                <c:pt idx="3">
                  <c:v>1.9744318229486237</c:v>
                </c:pt>
                <c:pt idx="4">
                  <c:v>2.5261833114731957</c:v>
                </c:pt>
                <c:pt idx="5">
                  <c:v>3.2221866546333464</c:v>
                </c:pt>
                <c:pt idx="6">
                  <c:v>4.0690128267998542</c:v>
                </c:pt>
                <c:pt idx="7">
                  <c:v>5.0855150769474022</c:v>
                </c:pt>
                <c:pt idx="8">
                  <c:v>6.5325335691268656</c:v>
                </c:pt>
                <c:pt idx="9">
                  <c:v>8.479607978192</c:v>
                </c:pt>
                <c:pt idx="10">
                  <c:v>11.253923793401503</c:v>
                </c:pt>
                <c:pt idx="11">
                  <c:v>13.786413400752592</c:v>
                </c:pt>
                <c:pt idx="12">
                  <c:v>17.526729804324983</c:v>
                </c:pt>
                <c:pt idx="13">
                  <c:v>23.652588036256883</c:v>
                </c:pt>
                <c:pt idx="14">
                  <c:v>29.162125350458417</c:v>
                </c:pt>
                <c:pt idx="15">
                  <c:v>37.096075789840256</c:v>
                </c:pt>
                <c:pt idx="16">
                  <c:v>47.967525788498911</c:v>
                </c:pt>
                <c:pt idx="17">
                  <c:v>59.720127409296026</c:v>
                </c:pt>
                <c:pt idx="18">
                  <c:v>74.208779722548471</c:v>
                </c:pt>
                <c:pt idx="19">
                  <c:v>98.397452884691845</c:v>
                </c:pt>
                <c:pt idx="20">
                  <c:v>125.46032571436173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8CA-4578-BBFE-F9BC21A0002B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Dados!$AX$2:$AX$22</c:f>
              <c:numCache>
                <c:formatCode>General</c:formatCode>
                <c:ptCount val="21"/>
                <c:pt idx="0">
                  <c:v>1</c:v>
                </c:pt>
                <c:pt idx="1">
                  <c:v>1.3439810829247505</c:v>
                </c:pt>
                <c:pt idx="2">
                  <c:v>1.7432375690298758</c:v>
                </c:pt>
                <c:pt idx="3">
                  <c:v>2.351360800988239</c:v>
                </c:pt>
                <c:pt idx="4">
                  <c:v>3.1026474924805814</c:v>
                </c:pt>
                <c:pt idx="5">
                  <c:v>4.1218485934403937</c:v>
                </c:pt>
                <c:pt idx="6">
                  <c:v>5.3539070497413936</c:v>
                </c:pt>
                <c:pt idx="7">
                  <c:v>6.6055297677232696</c:v>
                </c:pt>
                <c:pt idx="8">
                  <c:v>8.2987728620458618</c:v>
                </c:pt>
                <c:pt idx="9">
                  <c:v>10.270424008216883</c:v>
                </c:pt>
                <c:pt idx="10">
                  <c:v>12.871420448517068</c:v>
                </c:pt>
                <c:pt idx="11">
                  <c:v>17.093703949588683</c:v>
                </c:pt>
                <c:pt idx="12">
                  <c:v>23.037741511799037</c:v>
                </c:pt>
                <c:pt idx="13">
                  <c:v>28.661623623970844</c:v>
                </c:pt>
                <c:pt idx="14">
                  <c:v>37.189637444866385</c:v>
                </c:pt>
                <c:pt idx="15">
                  <c:v>50.083814641598536</c:v>
                </c:pt>
                <c:pt idx="16">
                  <c:v>66.407106315358021</c:v>
                </c:pt>
                <c:pt idx="17">
                  <c:v>84.79478476407381</c:v>
                </c:pt>
                <c:pt idx="18">
                  <c:v>108.97629763467231</c:v>
                </c:pt>
                <c:pt idx="19">
                  <c:v>147.05712578408495</c:v>
                </c:pt>
                <c:pt idx="20">
                  <c:v>182.03472487372559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F8CA-4578-BBFE-F9BC21A0002B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Dados!$AY$2:$AY$22</c:f>
              <c:numCache>
                <c:formatCode>General</c:formatCode>
                <c:ptCount val="21"/>
                <c:pt idx="0">
                  <c:v>1</c:v>
                </c:pt>
                <c:pt idx="1">
                  <c:v>1.239646780562768</c:v>
                </c:pt>
                <c:pt idx="2">
                  <c:v>1.6119967167630744</c:v>
                </c:pt>
                <c:pt idx="3">
                  <c:v>2.0852540115852669</c:v>
                </c:pt>
                <c:pt idx="4">
                  <c:v>2.7940282507471399</c:v>
                </c:pt>
                <c:pt idx="5">
                  <c:v>3.4977630020468404</c:v>
                </c:pt>
                <c:pt idx="6">
                  <c:v>4.377734219319259</c:v>
                </c:pt>
                <c:pt idx="7">
                  <c:v>5.8959228004385347</c:v>
                </c:pt>
                <c:pt idx="8">
                  <c:v>7.519508013532116</c:v>
                </c:pt>
                <c:pt idx="9">
                  <c:v>9.9419591314732862</c:v>
                </c:pt>
                <c:pt idx="10">
                  <c:v>12.143538387377831</c:v>
                </c:pt>
                <c:pt idx="11">
                  <c:v>15.513072582598241</c:v>
                </c:pt>
                <c:pt idx="12">
                  <c:v>20.807661247842905</c:v>
                </c:pt>
                <c:pt idx="13">
                  <c:v>27.499053833396697</c:v>
                </c:pt>
                <c:pt idx="14">
                  <c:v>35.259537371099597</c:v>
                </c:pt>
                <c:pt idx="15">
                  <c:v>47.077972806368898</c:v>
                </c:pt>
                <c:pt idx="16">
                  <c:v>59.277491658767794</c:v>
                </c:pt>
                <c:pt idx="17">
                  <c:v>74.785496431252326</c:v>
                </c:pt>
                <c:pt idx="18">
                  <c:v>97.080243872383733</c:v>
                </c:pt>
                <c:pt idx="19">
                  <c:v>128.1443428882348</c:v>
                </c:pt>
                <c:pt idx="20">
                  <c:v>172.81276992045724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8CA-4578-BBFE-F9BC21A0002B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Dados!$AZ$2:$AZ$22</c:f>
              <c:numCache>
                <c:formatCode>General</c:formatCode>
                <c:ptCount val="21"/>
                <c:pt idx="0">
                  <c:v>1</c:v>
                </c:pt>
                <c:pt idx="1">
                  <c:v>1.2774837765251668</c:v>
                </c:pt>
                <c:pt idx="2">
                  <c:v>1.7187476879107633</c:v>
                </c:pt>
                <c:pt idx="3">
                  <c:v>2.2614802405531895</c:v>
                </c:pt>
                <c:pt idx="4">
                  <c:v>2.9957740377493938</c:v>
                </c:pt>
                <c:pt idx="5">
                  <c:v>3.6808721026230162</c:v>
                </c:pt>
                <c:pt idx="6">
                  <c:v>4.6776426594319762</c:v>
                </c:pt>
                <c:pt idx="7">
                  <c:v>6.2475597174187216</c:v>
                </c:pt>
                <c:pt idx="8">
                  <c:v>7.7726297400190631</c:v>
                </c:pt>
                <c:pt idx="9">
                  <c:v>9.987721178128071</c:v>
                </c:pt>
                <c:pt idx="10">
                  <c:v>12.335207798118883</c:v>
                </c:pt>
                <c:pt idx="11">
                  <c:v>16.337270271136259</c:v>
                </c:pt>
                <c:pt idx="12">
                  <c:v>20.165715353925801</c:v>
                </c:pt>
                <c:pt idx="13">
                  <c:v>26.894134960144971</c:v>
                </c:pt>
                <c:pt idx="14">
                  <c:v>35.479891937934546</c:v>
                </c:pt>
                <c:pt idx="15">
                  <c:v>45.685288755209406</c:v>
                </c:pt>
                <c:pt idx="16">
                  <c:v>56.539960762128452</c:v>
                </c:pt>
                <c:pt idx="17">
                  <c:v>70.505145921345616</c:v>
                </c:pt>
                <c:pt idx="18">
                  <c:v>91.816695430904034</c:v>
                </c:pt>
                <c:pt idx="19">
                  <c:v>123.70609901906774</c:v>
                </c:pt>
                <c:pt idx="20">
                  <c:v>155.45367818120459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8CA-4578-BBFE-F9BC21A00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269552"/>
        <c:axId val="516269944"/>
      </c:lineChart>
      <c:catAx>
        <c:axId val="516269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00"/>
                  <a:t>tempo </a:t>
                </a:r>
                <a:r>
                  <a:rPr lang="pt-BR" sz="10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16269944"/>
        <c:crosses val="autoZero"/>
        <c:auto val="1"/>
        <c:lblAlgn val="ctr"/>
        <c:lblOffset val="100"/>
        <c:tickLblSkip val="1"/>
        <c:noMultiLvlLbl val="0"/>
      </c:catAx>
      <c:valAx>
        <c:axId val="51626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pt-BR" sz="12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1626955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69466316710421"/>
          <c:y val="5.0925925925925923E-2"/>
          <c:w val="0.83874978127734034"/>
          <c:h val="0.76169181977252942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Dados!$BB$2:$BB$22</c:f>
              <c:numCache>
                <c:formatCode>General</c:formatCode>
                <c:ptCount val="21"/>
                <c:pt idx="0">
                  <c:v>1</c:v>
                </c:pt>
                <c:pt idx="1">
                  <c:v>1.2215753926405843</c:v>
                </c:pt>
                <c:pt idx="2">
                  <c:v>1.5335783170049955</c:v>
                </c:pt>
                <c:pt idx="3">
                  <c:v>1.9744318229486237</c:v>
                </c:pt>
                <c:pt idx="4">
                  <c:v>2.4664263777867665</c:v>
                </c:pt>
                <c:pt idx="5">
                  <c:v>3.1425118333590278</c:v>
                </c:pt>
                <c:pt idx="6">
                  <c:v>3.8998812672433094</c:v>
                </c:pt>
                <c:pt idx="7">
                  <c:v>5.0036950109186487</c:v>
                </c:pt>
                <c:pt idx="8">
                  <c:v>6.5237913618074419</c:v>
                </c:pt>
                <c:pt idx="9">
                  <c:v>8.2354847388285428</c:v>
                </c:pt>
                <c:pt idx="10">
                  <c:v>10.302402951373301</c:v>
                </c:pt>
                <c:pt idx="11">
                  <c:v>13.56881047904373</c:v>
                </c:pt>
                <c:pt idx="12">
                  <c:v>17.244418707001696</c:v>
                </c:pt>
                <c:pt idx="13">
                  <c:v>21.849453022142278</c:v>
                </c:pt>
                <c:pt idx="14">
                  <c:v>27.932812859459681</c:v>
                </c:pt>
                <c:pt idx="15">
                  <c:v>36.386304158527231</c:v>
                </c:pt>
                <c:pt idx="16">
                  <c:v>45.537151566589834</c:v>
                </c:pt>
                <c:pt idx="17">
                  <c:v>57.459216971681556</c:v>
                </c:pt>
                <c:pt idx="18">
                  <c:v>74.208779722548471</c:v>
                </c:pt>
                <c:pt idx="19">
                  <c:v>93.782188916548208</c:v>
                </c:pt>
                <c:pt idx="20">
                  <c:v>120.97633247645237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B-4E22-B642-C8E0AD138F1B}"/>
            </c:ext>
          </c:extLst>
        </c:ser>
        <c:ser>
          <c:idx val="0"/>
          <c:order val="1"/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Dados!$A$2:$A$22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Dados!$BC$2:$BC$22</c:f>
              <c:numCache>
                <c:formatCode>General</c:formatCode>
                <c:ptCount val="21"/>
                <c:pt idx="0">
                  <c:v>1</c:v>
                </c:pt>
                <c:pt idx="1">
                  <c:v>1.345168256935402</c:v>
                </c:pt>
                <c:pt idx="2">
                  <c:v>1.748428590987857</c:v>
                </c:pt>
                <c:pt idx="3">
                  <c:v>2.332530528137347</c:v>
                </c:pt>
                <c:pt idx="4">
                  <c:v>2.9957740377493938</c:v>
                </c:pt>
                <c:pt idx="5">
                  <c:v>3.7608778753790539</c:v>
                </c:pt>
                <c:pt idx="6">
                  <c:v>4.9218414328142641</c:v>
                </c:pt>
                <c:pt idx="7">
                  <c:v>6.5646643849697659</c:v>
                </c:pt>
                <c:pt idx="8">
                  <c:v>8.2987728620458618</c:v>
                </c:pt>
                <c:pt idx="9">
                  <c:v>10.601449290125844</c:v>
                </c:pt>
                <c:pt idx="10">
                  <c:v>13.750110088434985</c:v>
                </c:pt>
                <c:pt idx="11">
                  <c:v>17.761848571807597</c:v>
                </c:pt>
                <c:pt idx="12">
                  <c:v>23.10148908512841</c:v>
                </c:pt>
                <c:pt idx="13">
                  <c:v>29.465583309161339</c:v>
                </c:pt>
                <c:pt idx="14">
                  <c:v>38.515082268468532</c:v>
                </c:pt>
                <c:pt idx="15">
                  <c:v>50.758203673235435</c:v>
                </c:pt>
                <c:pt idx="16">
                  <c:v>66.407106315358021</c:v>
                </c:pt>
                <c:pt idx="17">
                  <c:v>86.774537100898371</c:v>
                </c:pt>
                <c:pt idx="18">
                  <c:v>110.23643517037368</c:v>
                </c:pt>
                <c:pt idx="19">
                  <c:v>147.05712578408495</c:v>
                </c:pt>
                <c:pt idx="20">
                  <c:v>182.03472487372559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B-4E22-B642-C8E0AD138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258968"/>
        <c:axId val="516259360"/>
      </c:lineChart>
      <c:catAx>
        <c:axId val="516258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00"/>
                  <a:t>tempo </a:t>
                </a:r>
                <a:r>
                  <a:rPr lang="pt-BR" sz="10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16259360"/>
        <c:crosses val="autoZero"/>
        <c:auto val="1"/>
        <c:lblAlgn val="ctr"/>
        <c:lblOffset val="100"/>
        <c:tickLblSkip val="1"/>
        <c:noMultiLvlLbl val="0"/>
      </c:catAx>
      <c:valAx>
        <c:axId val="51625936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pt-BR" sz="12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16258968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26</xdr:row>
      <xdr:rowOff>157162</xdr:rowOff>
    </xdr:from>
    <xdr:to>
      <xdr:col>8</xdr:col>
      <xdr:colOff>152400</xdr:colOff>
      <xdr:row>41</xdr:row>
      <xdr:rowOff>42862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314325</xdr:colOff>
      <xdr:row>27</xdr:row>
      <xdr:rowOff>119062</xdr:rowOff>
    </xdr:from>
    <xdr:to>
      <xdr:col>17</xdr:col>
      <xdr:colOff>9525</xdr:colOff>
      <xdr:row>42</xdr:row>
      <xdr:rowOff>4762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27</xdr:row>
      <xdr:rowOff>0</xdr:rowOff>
    </xdr:from>
    <xdr:to>
      <xdr:col>26</xdr:col>
      <xdr:colOff>304800</xdr:colOff>
      <xdr:row>41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41</xdr:row>
      <xdr:rowOff>133350</xdr:rowOff>
    </xdr:from>
    <xdr:to>
      <xdr:col>17</xdr:col>
      <xdr:colOff>114300</xdr:colOff>
      <xdr:row>56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8</xdr:col>
      <xdr:colOff>304800</xdr:colOff>
      <xdr:row>39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466725</xdr:colOff>
      <xdr:row>25</xdr:row>
      <xdr:rowOff>152400</xdr:rowOff>
    </xdr:from>
    <xdr:to>
      <xdr:col>17</xdr:col>
      <xdr:colOff>161925</xdr:colOff>
      <xdr:row>40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152400</xdr:colOff>
      <xdr:row>25</xdr:row>
      <xdr:rowOff>33338</xdr:rowOff>
    </xdr:from>
    <xdr:to>
      <xdr:col>26</xdr:col>
      <xdr:colOff>457200</xdr:colOff>
      <xdr:row>39</xdr:row>
      <xdr:rowOff>109538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2"/>
  <sheetViews>
    <sheetView tabSelected="1" workbookViewId="0">
      <selection activeCell="AU27" sqref="AU27"/>
    </sheetView>
  </sheetViews>
  <sheetFormatPr defaultRowHeight="15" x14ac:dyDescent="0.25"/>
  <sheetData>
    <row r="1" spans="1:55" x14ac:dyDescent="0.25">
      <c r="B1">
        <v>0.2</v>
      </c>
    </row>
    <row r="2" spans="1:55" x14ac:dyDescent="0.25">
      <c r="A2">
        <v>0</v>
      </c>
      <c r="B2">
        <v>1</v>
      </c>
      <c r="C2">
        <f>B2</f>
        <v>1</v>
      </c>
      <c r="D2">
        <f t="shared" ref="D2:I2" si="0">C2</f>
        <v>1</v>
      </c>
      <c r="E2">
        <f t="shared" si="0"/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ref="J2:V2" si="1">I2</f>
        <v>1</v>
      </c>
      <c r="K2">
        <f t="shared" si="1"/>
        <v>1</v>
      </c>
      <c r="L2">
        <f t="shared" si="1"/>
        <v>1</v>
      </c>
      <c r="M2">
        <f t="shared" si="1"/>
        <v>1</v>
      </c>
      <c r="N2">
        <f t="shared" si="1"/>
        <v>1</v>
      </c>
      <c r="O2">
        <f t="shared" si="1"/>
        <v>1</v>
      </c>
      <c r="P2">
        <f t="shared" si="1"/>
        <v>1</v>
      </c>
      <c r="Q2">
        <f t="shared" si="1"/>
        <v>1</v>
      </c>
      <c r="R2">
        <f t="shared" si="1"/>
        <v>1</v>
      </c>
      <c r="S2">
        <f t="shared" si="1"/>
        <v>1</v>
      </c>
      <c r="T2">
        <f t="shared" si="1"/>
        <v>1</v>
      </c>
      <c r="U2">
        <f t="shared" si="1"/>
        <v>1</v>
      </c>
      <c r="V2">
        <f t="shared" si="1"/>
        <v>1</v>
      </c>
      <c r="W2">
        <f>V2</f>
        <v>1</v>
      </c>
      <c r="X2">
        <f t="shared" ref="X2:AP2" si="2">W2</f>
        <v>1</v>
      </c>
      <c r="Y2">
        <f t="shared" si="2"/>
        <v>1</v>
      </c>
      <c r="Z2">
        <f t="shared" si="2"/>
        <v>1</v>
      </c>
      <c r="AA2">
        <f t="shared" si="2"/>
        <v>1</v>
      </c>
      <c r="AB2">
        <f t="shared" si="2"/>
        <v>1</v>
      </c>
      <c r="AC2">
        <f t="shared" si="2"/>
        <v>1</v>
      </c>
      <c r="AD2">
        <f t="shared" si="2"/>
        <v>1</v>
      </c>
      <c r="AE2">
        <f t="shared" si="2"/>
        <v>1</v>
      </c>
      <c r="AF2">
        <f t="shared" si="2"/>
        <v>1</v>
      </c>
      <c r="AG2">
        <f t="shared" si="2"/>
        <v>1</v>
      </c>
      <c r="AH2">
        <f t="shared" si="2"/>
        <v>1</v>
      </c>
      <c r="AI2">
        <f t="shared" si="2"/>
        <v>1</v>
      </c>
      <c r="AJ2">
        <f t="shared" si="2"/>
        <v>1</v>
      </c>
      <c r="AK2">
        <f t="shared" si="2"/>
        <v>1</v>
      </c>
      <c r="AL2">
        <f t="shared" si="2"/>
        <v>1</v>
      </c>
      <c r="AM2">
        <f t="shared" si="2"/>
        <v>1</v>
      </c>
      <c r="AN2">
        <f t="shared" si="2"/>
        <v>1</v>
      </c>
      <c r="AO2">
        <f t="shared" si="2"/>
        <v>1</v>
      </c>
      <c r="AP2">
        <f t="shared" si="2"/>
        <v>1</v>
      </c>
      <c r="AQ2">
        <f t="shared" ref="AQ2:AZ2" si="3">AP2</f>
        <v>1</v>
      </c>
      <c r="AR2">
        <f t="shared" si="3"/>
        <v>1</v>
      </c>
      <c r="AS2">
        <f t="shared" si="3"/>
        <v>1</v>
      </c>
      <c r="AT2">
        <f t="shared" si="3"/>
        <v>1</v>
      </c>
      <c r="AU2">
        <f t="shared" si="3"/>
        <v>1</v>
      </c>
      <c r="AV2">
        <f t="shared" si="3"/>
        <v>1</v>
      </c>
      <c r="AW2">
        <f t="shared" si="3"/>
        <v>1</v>
      </c>
      <c r="AX2">
        <f t="shared" si="3"/>
        <v>1</v>
      </c>
      <c r="AY2">
        <f t="shared" si="3"/>
        <v>1</v>
      </c>
      <c r="AZ2">
        <f t="shared" si="3"/>
        <v>1</v>
      </c>
      <c r="BB2">
        <v>1</v>
      </c>
      <c r="BC2">
        <v>1</v>
      </c>
    </row>
    <row r="3" spans="1:55" x14ac:dyDescent="0.25">
      <c r="A3">
        <v>1</v>
      </c>
      <c r="B3">
        <f>B2*EXP(B$1)</f>
        <v>1.2214027581601699</v>
      </c>
      <c r="C3">
        <f ca="1">C2*EXP($B$1+RAND()/10)</f>
        <v>1.2763203784818988</v>
      </c>
      <c r="D3">
        <f ca="1">D2*EXP($B$1+RAND()/10)</f>
        <v>1.2854765017336924</v>
      </c>
      <c r="E3">
        <f t="shared" ref="E3:AZ8" ca="1" si="4">E2*EXP($B$1+RAND()/10)</f>
        <v>1.2556499739800377</v>
      </c>
      <c r="F3">
        <f t="shared" ca="1" si="4"/>
        <v>1.2378756719844768</v>
      </c>
      <c r="G3">
        <f t="shared" ca="1" si="4"/>
        <v>1.2382934719861596</v>
      </c>
      <c r="H3">
        <f t="shared" ca="1" si="4"/>
        <v>1.2456660758598241</v>
      </c>
      <c r="I3">
        <f t="shared" ca="1" si="4"/>
        <v>1.3353172703613236</v>
      </c>
      <c r="J3">
        <f t="shared" ca="1" si="4"/>
        <v>1.2399216321543394</v>
      </c>
      <c r="K3">
        <f t="shared" ca="1" si="4"/>
        <v>1.2272651856713765</v>
      </c>
      <c r="L3">
        <f t="shared" ca="1" si="4"/>
        <v>1.2622188143677759</v>
      </c>
      <c r="M3">
        <f t="shared" ca="1" si="4"/>
        <v>1.2933521941830846</v>
      </c>
      <c r="N3">
        <f t="shared" ca="1" si="4"/>
        <v>1.2352953274805121</v>
      </c>
      <c r="O3">
        <f t="shared" ca="1" si="4"/>
        <v>1.2771018224965365</v>
      </c>
      <c r="P3">
        <f t="shared" ca="1" si="4"/>
        <v>1.3389286841203341</v>
      </c>
      <c r="Q3">
        <f t="shared" ca="1" si="4"/>
        <v>1.345168256935402</v>
      </c>
      <c r="R3">
        <f t="shared" ca="1" si="4"/>
        <v>1.2219047505445149</v>
      </c>
      <c r="S3">
        <f t="shared" ca="1" si="4"/>
        <v>1.2754310859312499</v>
      </c>
      <c r="T3">
        <f t="shared" ca="1" si="4"/>
        <v>1.3039336490700264</v>
      </c>
      <c r="U3">
        <f t="shared" ca="1" si="4"/>
        <v>1.3279346521372544</v>
      </c>
      <c r="V3">
        <f t="shared" ca="1" si="4"/>
        <v>1.2844111137405381</v>
      </c>
      <c r="W3">
        <f t="shared" ca="1" si="4"/>
        <v>1.2500197550576222</v>
      </c>
      <c r="X3">
        <f t="shared" ca="1" si="4"/>
        <v>1.3480091461350823</v>
      </c>
      <c r="Y3">
        <f t="shared" ca="1" si="4"/>
        <v>1.2544596513199435</v>
      </c>
      <c r="Z3">
        <f t="shared" ca="1" si="4"/>
        <v>1.2908094640151113</v>
      </c>
      <c r="AA3">
        <f t="shared" ca="1" si="4"/>
        <v>1.2471832638959122</v>
      </c>
      <c r="AB3">
        <f t="shared" ca="1" si="4"/>
        <v>1.2532419651811901</v>
      </c>
      <c r="AC3">
        <f t="shared" ca="1" si="4"/>
        <v>1.3240290307844036</v>
      </c>
      <c r="AD3">
        <f t="shared" ca="1" si="4"/>
        <v>1.2367107962731194</v>
      </c>
      <c r="AE3">
        <f t="shared" ca="1" si="4"/>
        <v>1.3467153499232993</v>
      </c>
      <c r="AF3">
        <f t="shared" ca="1" si="4"/>
        <v>1.2640817286220623</v>
      </c>
      <c r="AG3">
        <f t="shared" ca="1" si="4"/>
        <v>1.2549117532647018</v>
      </c>
      <c r="AH3">
        <f t="shared" ca="1" si="4"/>
        <v>1.2859898286365761</v>
      </c>
      <c r="AI3">
        <f t="shared" ca="1" si="4"/>
        <v>1.3032517282772949</v>
      </c>
      <c r="AJ3">
        <f t="shared" ca="1" si="4"/>
        <v>1.2215753926405843</v>
      </c>
      <c r="AK3">
        <f t="shared" ca="1" si="4"/>
        <v>1.273890142815383</v>
      </c>
      <c r="AL3">
        <f t="shared" ca="1" si="4"/>
        <v>1.2235198836134016</v>
      </c>
      <c r="AM3">
        <f t="shared" ca="1" si="4"/>
        <v>1.2338599515323854</v>
      </c>
      <c r="AN3">
        <f t="shared" ca="1" si="4"/>
        <v>1.2791242876952109</v>
      </c>
      <c r="AO3">
        <f t="shared" ca="1" si="4"/>
        <v>1.2565479217202982</v>
      </c>
      <c r="AP3">
        <f t="shared" ca="1" si="4"/>
        <v>1.2884124385407019</v>
      </c>
      <c r="AQ3">
        <f t="shared" ca="1" si="4"/>
        <v>1.2446605836228861</v>
      </c>
      <c r="AR3">
        <f t="shared" ca="1" si="4"/>
        <v>1.3258825830933172</v>
      </c>
      <c r="AS3">
        <f t="shared" ca="1" si="4"/>
        <v>1.3068737206478516</v>
      </c>
      <c r="AT3">
        <f t="shared" ca="1" si="4"/>
        <v>1.3157966668393755</v>
      </c>
      <c r="AU3">
        <f t="shared" ca="1" si="4"/>
        <v>1.3431337874616205</v>
      </c>
      <c r="AV3">
        <f t="shared" ca="1" si="4"/>
        <v>1.2368531217691943</v>
      </c>
      <c r="AW3">
        <f t="shared" ca="1" si="4"/>
        <v>1.2872734491469218</v>
      </c>
      <c r="AX3">
        <f t="shared" ca="1" si="4"/>
        <v>1.3439810829247505</v>
      </c>
      <c r="AY3">
        <f t="shared" ca="1" si="4"/>
        <v>1.239646780562768</v>
      </c>
      <c r="AZ3">
        <f t="shared" ca="1" si="4"/>
        <v>1.2774837765251668</v>
      </c>
      <c r="BB3">
        <f ca="1">SMALL(C3:AZ3,0.025*50)</f>
        <v>1.2215753926405843</v>
      </c>
      <c r="BC3">
        <f ca="1">SMALL(C3:AZ3,0.975*50)</f>
        <v>1.345168256935402</v>
      </c>
    </row>
    <row r="4" spans="1:55" x14ac:dyDescent="0.25">
      <c r="A4">
        <v>2</v>
      </c>
      <c r="B4">
        <f t="shared" ref="B4:B22" si="5">B3*EXP(B$1)</f>
        <v>1.4918246976412703</v>
      </c>
      <c r="C4">
        <f t="shared" ref="C4:D22" ca="1" si="6">C3*EXP($B$1+RAND()/10)</f>
        <v>1.6202071018393045</v>
      </c>
      <c r="D4">
        <f t="shared" ca="1" si="6"/>
        <v>1.681828172580248</v>
      </c>
      <c r="E4">
        <f t="shared" ca="1" si="4"/>
        <v>1.5858833724303933</v>
      </c>
      <c r="F4">
        <f t="shared" ca="1" si="4"/>
        <v>1.6432682894687936</v>
      </c>
      <c r="G4">
        <f t="shared" ca="1" si="4"/>
        <v>1.6368170200556453</v>
      </c>
      <c r="H4">
        <f t="shared" ca="1" si="4"/>
        <v>1.637930405214207</v>
      </c>
      <c r="I4">
        <f t="shared" ca="1" si="4"/>
        <v>1.7025805675132237</v>
      </c>
      <c r="J4">
        <f t="shared" ca="1" si="4"/>
        <v>1.664404738316597</v>
      </c>
      <c r="K4">
        <f t="shared" ca="1" si="4"/>
        <v>1.5562759650128692</v>
      </c>
      <c r="L4">
        <f t="shared" ca="1" si="4"/>
        <v>1.6693489373473311</v>
      </c>
      <c r="M4">
        <f t="shared" ca="1" si="4"/>
        <v>1.6537094083147073</v>
      </c>
      <c r="N4">
        <f t="shared" ca="1" si="4"/>
        <v>1.5617924678850383</v>
      </c>
      <c r="O4">
        <f t="shared" ca="1" si="4"/>
        <v>1.5724245531294785</v>
      </c>
      <c r="P4">
        <f t="shared" ca="1" si="4"/>
        <v>1.748428590987857</v>
      </c>
      <c r="Q4">
        <f t="shared" ca="1" si="4"/>
        <v>1.6714281443980916</v>
      </c>
      <c r="R4">
        <f t="shared" ca="1" si="4"/>
        <v>1.618438098508943</v>
      </c>
      <c r="S4">
        <f t="shared" ca="1" si="4"/>
        <v>1.5972169776325367</v>
      </c>
      <c r="T4">
        <f t="shared" ca="1" si="4"/>
        <v>1.6437037669267389</v>
      </c>
      <c r="U4">
        <f t="shared" ca="1" si="4"/>
        <v>1.6468843190951048</v>
      </c>
      <c r="V4">
        <f t="shared" ca="1" si="4"/>
        <v>1.6729300664328861</v>
      </c>
      <c r="W4">
        <f t="shared" ca="1" si="4"/>
        <v>1.6781765177432642</v>
      </c>
      <c r="X4">
        <f t="shared" ca="1" si="4"/>
        <v>1.8103848650011531</v>
      </c>
      <c r="Y4">
        <f t="shared" ca="1" si="4"/>
        <v>1.6349337903756931</v>
      </c>
      <c r="Z4">
        <f t="shared" ca="1" si="4"/>
        <v>1.6750474547879597</v>
      </c>
      <c r="AA4">
        <f t="shared" ca="1" si="4"/>
        <v>1.6711464672619374</v>
      </c>
      <c r="AB4">
        <f t="shared" ca="1" si="4"/>
        <v>1.642119538036396</v>
      </c>
      <c r="AC4">
        <f t="shared" ca="1" si="4"/>
        <v>1.7132813566554548</v>
      </c>
      <c r="AD4">
        <f t="shared" ca="1" si="4"/>
        <v>1.5335783170049955</v>
      </c>
      <c r="AE4">
        <f t="shared" ca="1" si="4"/>
        <v>1.6768906179979226</v>
      </c>
      <c r="AF4">
        <f t="shared" ca="1" si="4"/>
        <v>1.6835775802496877</v>
      </c>
      <c r="AG4">
        <f t="shared" ca="1" si="4"/>
        <v>1.5784738848813491</v>
      </c>
      <c r="AH4">
        <f t="shared" ca="1" si="4"/>
        <v>1.6187138886664012</v>
      </c>
      <c r="AI4">
        <f t="shared" ca="1" si="4"/>
        <v>1.6031558090294495</v>
      </c>
      <c r="AJ4">
        <f t="shared" ca="1" si="4"/>
        <v>1.6186921474560274</v>
      </c>
      <c r="AK4">
        <f t="shared" ca="1" si="4"/>
        <v>1.637620485145505</v>
      </c>
      <c r="AL4">
        <f t="shared" ca="1" si="4"/>
        <v>1.6386192913420643</v>
      </c>
      <c r="AM4">
        <f t="shared" ca="1" si="4"/>
        <v>1.6514045152246981</v>
      </c>
      <c r="AN4">
        <f t="shared" ca="1" si="4"/>
        <v>1.6510319156630373</v>
      </c>
      <c r="AO4">
        <f t="shared" ca="1" si="4"/>
        <v>1.653549716638951</v>
      </c>
      <c r="AP4">
        <f t="shared" ca="1" si="4"/>
        <v>1.5778181258807071</v>
      </c>
      <c r="AQ4">
        <f t="shared" ca="1" si="4"/>
        <v>1.6239948089282599</v>
      </c>
      <c r="AR4">
        <f t="shared" ca="1" si="4"/>
        <v>1.7493736671603177</v>
      </c>
      <c r="AS4">
        <f t="shared" ca="1" si="4"/>
        <v>1.7483261620077548</v>
      </c>
      <c r="AT4">
        <f t="shared" ca="1" si="4"/>
        <v>1.6308594894492581</v>
      </c>
      <c r="AU4">
        <f t="shared" ca="1" si="4"/>
        <v>1.7165814689901258</v>
      </c>
      <c r="AV4">
        <f t="shared" ca="1" si="4"/>
        <v>1.6178045780762862</v>
      </c>
      <c r="AW4">
        <f t="shared" ca="1" si="4"/>
        <v>1.5956992020442982</v>
      </c>
      <c r="AX4">
        <f t="shared" ca="1" si="4"/>
        <v>1.7432375690298758</v>
      </c>
      <c r="AY4">
        <f t="shared" ca="1" si="4"/>
        <v>1.6119967167630744</v>
      </c>
      <c r="AZ4">
        <f t="shared" ca="1" si="4"/>
        <v>1.7187476879107633</v>
      </c>
      <c r="BB4">
        <f t="shared" ref="BB4:BB22" ca="1" si="7">SMALL(C4:AZ4,0.025*50)</f>
        <v>1.5335783170049955</v>
      </c>
      <c r="BC4">
        <f t="shared" ref="BC4:BC22" ca="1" si="8">SMALL(C4:AZ4,0.975*50)</f>
        <v>1.748428590987857</v>
      </c>
    </row>
    <row r="5" spans="1:55" x14ac:dyDescent="0.25">
      <c r="A5">
        <v>3</v>
      </c>
      <c r="B5">
        <f t="shared" si="5"/>
        <v>1.8221188003905091</v>
      </c>
      <c r="C5">
        <f t="shared" ca="1" si="6"/>
        <v>2.0244114251467296</v>
      </c>
      <c r="D5">
        <f t="shared" ca="1" si="6"/>
        <v>2.057185946415808</v>
      </c>
      <c r="E5">
        <f t="shared" ca="1" si="4"/>
        <v>2.0705546188077251</v>
      </c>
      <c r="F5">
        <f t="shared" ca="1" si="4"/>
        <v>2.0796335527071821</v>
      </c>
      <c r="G5">
        <f t="shared" ca="1" si="4"/>
        <v>2.0701867919346983</v>
      </c>
      <c r="H5">
        <f t="shared" ca="1" si="4"/>
        <v>2.1953382676414148</v>
      </c>
      <c r="I5">
        <f t="shared" ca="1" si="4"/>
        <v>2.1119824105185927</v>
      </c>
      <c r="J5">
        <f t="shared" ca="1" si="4"/>
        <v>2.1564412888718003</v>
      </c>
      <c r="K5">
        <f t="shared" ca="1" si="4"/>
        <v>2.022645560142232</v>
      </c>
      <c r="L5">
        <f t="shared" ca="1" si="4"/>
        <v>2.0513216231522295</v>
      </c>
      <c r="M5">
        <f t="shared" ca="1" si="4"/>
        <v>2.1056666920091081</v>
      </c>
      <c r="N5">
        <f t="shared" ca="1" si="4"/>
        <v>2.0450665967059982</v>
      </c>
      <c r="O5">
        <f t="shared" ca="1" si="4"/>
        <v>2.0474112625885716</v>
      </c>
      <c r="P5">
        <f t="shared" ca="1" si="4"/>
        <v>2.3475391716283251</v>
      </c>
      <c r="Q5">
        <f t="shared" ca="1" si="4"/>
        <v>2.2132319359124115</v>
      </c>
      <c r="R5">
        <f t="shared" ca="1" si="4"/>
        <v>2.1033817856027786</v>
      </c>
      <c r="S5">
        <f t="shared" ca="1" si="4"/>
        <v>2.0191473508002824</v>
      </c>
      <c r="T5">
        <f t="shared" ca="1" si="4"/>
        <v>2.0631537273500546</v>
      </c>
      <c r="U5">
        <f t="shared" ca="1" si="4"/>
        <v>2.063399182402454</v>
      </c>
      <c r="V5">
        <f t="shared" ca="1" si="4"/>
        <v>2.1533839450949137</v>
      </c>
      <c r="W5">
        <f t="shared" ca="1" si="4"/>
        <v>2.1767853189887751</v>
      </c>
      <c r="X5">
        <f t="shared" ca="1" si="4"/>
        <v>2.2438039986474942</v>
      </c>
      <c r="Y5">
        <f t="shared" ca="1" si="4"/>
        <v>2.0431239791096276</v>
      </c>
      <c r="Z5">
        <f t="shared" ca="1" si="4"/>
        <v>2.1003011732711836</v>
      </c>
      <c r="AA5">
        <f t="shared" ca="1" si="4"/>
        <v>2.1171392845801567</v>
      </c>
      <c r="AB5">
        <f t="shared" ca="1" si="4"/>
        <v>2.0579116184743276</v>
      </c>
      <c r="AC5">
        <f t="shared" ca="1" si="4"/>
        <v>2.1272768847175509</v>
      </c>
      <c r="AD5">
        <f t="shared" ca="1" si="4"/>
        <v>2.01218293949516</v>
      </c>
      <c r="AE5">
        <f t="shared" ca="1" si="4"/>
        <v>2.228248237735925</v>
      </c>
      <c r="AF5">
        <f t="shared" ca="1" si="4"/>
        <v>2.0638215505661344</v>
      </c>
      <c r="AG5">
        <f t="shared" ca="1" si="4"/>
        <v>2.1029015274755967</v>
      </c>
      <c r="AH5">
        <f t="shared" ca="1" si="4"/>
        <v>2.1444673974252177</v>
      </c>
      <c r="AI5">
        <f t="shared" ca="1" si="4"/>
        <v>2.1550228654511425</v>
      </c>
      <c r="AJ5">
        <f t="shared" ca="1" si="4"/>
        <v>2.0049147820466384</v>
      </c>
      <c r="AK5">
        <f t="shared" ca="1" si="4"/>
        <v>2.1571266729189094</v>
      </c>
      <c r="AL5">
        <f t="shared" ca="1" si="4"/>
        <v>2.1954827039475977</v>
      </c>
      <c r="AM5">
        <f t="shared" ca="1" si="4"/>
        <v>2.1964530678806216</v>
      </c>
      <c r="AN5">
        <f t="shared" ca="1" si="4"/>
        <v>2.1834091702628831</v>
      </c>
      <c r="AO5">
        <f t="shared" ca="1" si="4"/>
        <v>2.0994959458089166</v>
      </c>
      <c r="AP5">
        <f t="shared" ca="1" si="4"/>
        <v>2.0995830848507633</v>
      </c>
      <c r="AQ5">
        <f t="shared" ca="1" si="4"/>
        <v>2.1463570910665868</v>
      </c>
      <c r="AR5">
        <f t="shared" ca="1" si="4"/>
        <v>2.332530528137347</v>
      </c>
      <c r="AS5">
        <f t="shared" ca="1" si="4"/>
        <v>2.1854924132479727</v>
      </c>
      <c r="AT5">
        <f t="shared" ca="1" si="4"/>
        <v>2.1090160864930088</v>
      </c>
      <c r="AU5">
        <f t="shared" ca="1" si="4"/>
        <v>2.2124109607820883</v>
      </c>
      <c r="AV5">
        <f t="shared" ca="1" si="4"/>
        <v>2.0819808359936336</v>
      </c>
      <c r="AW5">
        <f t="shared" ca="1" si="4"/>
        <v>1.9744318229486237</v>
      </c>
      <c r="AX5">
        <f t="shared" ca="1" si="4"/>
        <v>2.351360800988239</v>
      </c>
      <c r="AY5">
        <f t="shared" ca="1" si="4"/>
        <v>2.0852540115852669</v>
      </c>
      <c r="AZ5">
        <f t="shared" ca="1" si="4"/>
        <v>2.2614802405531895</v>
      </c>
      <c r="BB5">
        <f t="shared" ca="1" si="7"/>
        <v>1.9744318229486237</v>
      </c>
      <c r="BC5">
        <f t="shared" ca="1" si="8"/>
        <v>2.332530528137347</v>
      </c>
    </row>
    <row r="6" spans="1:55" x14ac:dyDescent="0.25">
      <c r="A6">
        <v>4</v>
      </c>
      <c r="B6">
        <f t="shared" si="5"/>
        <v>2.2255409284924679</v>
      </c>
      <c r="C6">
        <f t="shared" ca="1" si="6"/>
        <v>2.5880079822686706</v>
      </c>
      <c r="D6">
        <f t="shared" ca="1" si="6"/>
        <v>2.6160713762237804</v>
      </c>
      <c r="E6">
        <f t="shared" ca="1" si="4"/>
        <v>2.6089807356342565</v>
      </c>
      <c r="F6">
        <f t="shared" ca="1" si="4"/>
        <v>2.766263406128636</v>
      </c>
      <c r="G6">
        <f t="shared" ca="1" si="4"/>
        <v>2.5899969955778479</v>
      </c>
      <c r="H6">
        <f t="shared" ca="1" si="4"/>
        <v>2.8009692210437853</v>
      </c>
      <c r="I6">
        <f t="shared" ca="1" si="4"/>
        <v>2.6556348602594109</v>
      </c>
      <c r="J6">
        <f t="shared" ca="1" si="4"/>
        <v>2.8156209895766842</v>
      </c>
      <c r="K6">
        <f t="shared" ca="1" si="4"/>
        <v>2.5648090304976892</v>
      </c>
      <c r="L6">
        <f t="shared" ca="1" si="4"/>
        <v>2.7456296286064812</v>
      </c>
      <c r="M6">
        <f t="shared" ca="1" si="4"/>
        <v>2.7188080102765819</v>
      </c>
      <c r="N6">
        <f t="shared" ca="1" si="4"/>
        <v>2.6947442756849247</v>
      </c>
      <c r="O6">
        <f t="shared" ca="1" si="4"/>
        <v>2.709150114424971</v>
      </c>
      <c r="P6">
        <f t="shared" ca="1" si="4"/>
        <v>2.9311858849438339</v>
      </c>
      <c r="Q6">
        <f t="shared" ca="1" si="4"/>
        <v>2.8506943613435158</v>
      </c>
      <c r="R6">
        <f t="shared" ca="1" si="4"/>
        <v>2.7087981940622927</v>
      </c>
      <c r="S6">
        <f t="shared" ca="1" si="4"/>
        <v>2.4664263777867665</v>
      </c>
      <c r="T6">
        <f t="shared" ca="1" si="4"/>
        <v>2.7703929214816916</v>
      </c>
      <c r="U6">
        <f t="shared" ca="1" si="4"/>
        <v>2.7057697017190474</v>
      </c>
      <c r="V6">
        <f t="shared" ca="1" si="4"/>
        <v>2.8736620009861022</v>
      </c>
      <c r="W6">
        <f t="shared" ca="1" si="4"/>
        <v>2.7797313554380052</v>
      </c>
      <c r="X6">
        <f t="shared" ca="1" si="4"/>
        <v>2.8493897925531093</v>
      </c>
      <c r="Y6">
        <f t="shared" ca="1" si="4"/>
        <v>2.7196099505242506</v>
      </c>
      <c r="Z6">
        <f t="shared" ca="1" si="4"/>
        <v>2.596240682600619</v>
      </c>
      <c r="AA6">
        <f t="shared" ca="1" si="4"/>
        <v>2.6921178937439429</v>
      </c>
      <c r="AB6">
        <f t="shared" ca="1" si="4"/>
        <v>2.528659125531509</v>
      </c>
      <c r="AC6">
        <f t="shared" ca="1" si="4"/>
        <v>2.6707165438469493</v>
      </c>
      <c r="AD6">
        <f t="shared" ca="1" si="4"/>
        <v>2.5659561943710401</v>
      </c>
      <c r="AE6">
        <f t="shared" ca="1" si="4"/>
        <v>2.95950418359587</v>
      </c>
      <c r="AF6">
        <f t="shared" ca="1" si="4"/>
        <v>2.5573338824673169</v>
      </c>
      <c r="AG6">
        <f t="shared" ca="1" si="4"/>
        <v>2.8046725726283577</v>
      </c>
      <c r="AH6">
        <f t="shared" ca="1" si="4"/>
        <v>2.7205139558121814</v>
      </c>
      <c r="AI6">
        <f t="shared" ca="1" si="4"/>
        <v>2.841202931418624</v>
      </c>
      <c r="AJ6">
        <f t="shared" ca="1" si="4"/>
        <v>2.4685434171065213</v>
      </c>
      <c r="AK6">
        <f t="shared" ca="1" si="4"/>
        <v>2.7858867263305642</v>
      </c>
      <c r="AL6">
        <f t="shared" ca="1" si="4"/>
        <v>2.763865288253553</v>
      </c>
      <c r="AM6">
        <f t="shared" ca="1" si="4"/>
        <v>2.7030513802100948</v>
      </c>
      <c r="AN6">
        <f t="shared" ca="1" si="4"/>
        <v>2.9101446036430212</v>
      </c>
      <c r="AO6">
        <f t="shared" ca="1" si="4"/>
        <v>2.8182281610507163</v>
      </c>
      <c r="AP6">
        <f t="shared" ca="1" si="4"/>
        <v>2.800164163664653</v>
      </c>
      <c r="AQ6">
        <f t="shared" ca="1" si="4"/>
        <v>2.7017242663842835</v>
      </c>
      <c r="AR6">
        <f t="shared" ca="1" si="4"/>
        <v>3.1346689589648649</v>
      </c>
      <c r="AS6">
        <f t="shared" ca="1" si="4"/>
        <v>2.755523318855345</v>
      </c>
      <c r="AT6">
        <f t="shared" ca="1" si="4"/>
        <v>2.830858602070653</v>
      </c>
      <c r="AU6">
        <f t="shared" ca="1" si="4"/>
        <v>2.9647458680443557</v>
      </c>
      <c r="AV6">
        <f t="shared" ca="1" si="4"/>
        <v>2.5463417637610308</v>
      </c>
      <c r="AW6">
        <f t="shared" ca="1" si="4"/>
        <v>2.5261833114731957</v>
      </c>
      <c r="AX6">
        <f t="shared" ca="1" si="4"/>
        <v>3.1026474924805814</v>
      </c>
      <c r="AY6">
        <f t="shared" ca="1" si="4"/>
        <v>2.7940282507471399</v>
      </c>
      <c r="AZ6">
        <f t="shared" ca="1" si="4"/>
        <v>2.9957740377493938</v>
      </c>
      <c r="BB6">
        <f t="shared" ca="1" si="7"/>
        <v>2.4664263777867665</v>
      </c>
      <c r="BC6">
        <f t="shared" ca="1" si="8"/>
        <v>2.9957740377493938</v>
      </c>
    </row>
    <row r="7" spans="1:55" x14ac:dyDescent="0.25">
      <c r="A7">
        <v>5</v>
      </c>
      <c r="B7">
        <f t="shared" si="5"/>
        <v>2.7182818284590455</v>
      </c>
      <c r="C7">
        <f t="shared" ca="1" si="6"/>
        <v>3.2884141248926735</v>
      </c>
      <c r="D7">
        <f t="shared" ca="1" si="6"/>
        <v>3.3929098856697557</v>
      </c>
      <c r="E7">
        <f t="shared" ca="1" si="4"/>
        <v>3.2124592589333489</v>
      </c>
      <c r="F7">
        <f t="shared" ca="1" si="4"/>
        <v>3.3963328578453771</v>
      </c>
      <c r="G7">
        <f t="shared" ca="1" si="4"/>
        <v>3.4483875992518218</v>
      </c>
      <c r="H7">
        <f t="shared" ca="1" si="4"/>
        <v>3.5875714709681423</v>
      </c>
      <c r="I7">
        <f t="shared" ca="1" si="4"/>
        <v>3.2583527312545293</v>
      </c>
      <c r="J7">
        <f t="shared" ca="1" si="4"/>
        <v>3.5236545138820015</v>
      </c>
      <c r="K7">
        <f t="shared" ca="1" si="4"/>
        <v>3.3842033226404458</v>
      </c>
      <c r="L7">
        <f t="shared" ca="1" si="4"/>
        <v>3.6513426968688747</v>
      </c>
      <c r="M7">
        <f t="shared" ca="1" si="4"/>
        <v>3.6514504065888556</v>
      </c>
      <c r="N7">
        <f t="shared" ca="1" si="4"/>
        <v>3.5797159149179936</v>
      </c>
      <c r="O7">
        <f t="shared" ca="1" si="4"/>
        <v>3.4819165644733356</v>
      </c>
      <c r="P7">
        <f t="shared" ca="1" si="4"/>
        <v>3.6389226601252394</v>
      </c>
      <c r="Q7">
        <f t="shared" ca="1" si="4"/>
        <v>3.5851696845559342</v>
      </c>
      <c r="R7">
        <f t="shared" ca="1" si="4"/>
        <v>3.5951968041254649</v>
      </c>
      <c r="S7">
        <f t="shared" ca="1" si="4"/>
        <v>3.1425118333590278</v>
      </c>
      <c r="T7">
        <f t="shared" ca="1" si="4"/>
        <v>3.6892558722514468</v>
      </c>
      <c r="U7">
        <f t="shared" ca="1" si="4"/>
        <v>3.4941962256501058</v>
      </c>
      <c r="V7">
        <f t="shared" ca="1" si="4"/>
        <v>3.6278564352336056</v>
      </c>
      <c r="W7">
        <f t="shared" ca="1" si="4"/>
        <v>3.677604046088633</v>
      </c>
      <c r="X7">
        <f t="shared" ca="1" si="4"/>
        <v>3.7399168176035991</v>
      </c>
      <c r="Y7">
        <f t="shared" ca="1" si="4"/>
        <v>3.6483145283693847</v>
      </c>
      <c r="Z7">
        <f t="shared" ca="1" si="4"/>
        <v>3.4280314560595189</v>
      </c>
      <c r="AA7">
        <f t="shared" ca="1" si="4"/>
        <v>3.4855409337076289</v>
      </c>
      <c r="AB7">
        <f t="shared" ca="1" si="4"/>
        <v>3.2133564199775027</v>
      </c>
      <c r="AC7">
        <f t="shared" ca="1" si="4"/>
        <v>3.489507755089202</v>
      </c>
      <c r="AD7">
        <f t="shared" ca="1" si="4"/>
        <v>3.1776238173045854</v>
      </c>
      <c r="AE7">
        <f t="shared" ca="1" si="4"/>
        <v>3.6679145250784799</v>
      </c>
      <c r="AF7">
        <f t="shared" ca="1" si="4"/>
        <v>3.2378177046350198</v>
      </c>
      <c r="AG7">
        <f t="shared" ca="1" si="4"/>
        <v>3.6915063148351317</v>
      </c>
      <c r="AH7">
        <f t="shared" ca="1" si="4"/>
        <v>3.4622236772873762</v>
      </c>
      <c r="AI7">
        <f t="shared" ca="1" si="4"/>
        <v>3.5493854843270896</v>
      </c>
      <c r="AJ7">
        <f t="shared" ca="1" si="4"/>
        <v>3.189987793853065</v>
      </c>
      <c r="AK7">
        <f t="shared" ca="1" si="4"/>
        <v>3.6514287164933741</v>
      </c>
      <c r="AL7">
        <f t="shared" ca="1" si="4"/>
        <v>3.5623400532155101</v>
      </c>
      <c r="AM7">
        <f t="shared" ca="1" si="4"/>
        <v>3.3354312570936284</v>
      </c>
      <c r="AN7">
        <f t="shared" ca="1" si="4"/>
        <v>3.630663966040212</v>
      </c>
      <c r="AO7">
        <f t="shared" ca="1" si="4"/>
        <v>3.4467060539831653</v>
      </c>
      <c r="AP7">
        <f t="shared" ca="1" si="4"/>
        <v>3.486855820617361</v>
      </c>
      <c r="AQ7">
        <f t="shared" ca="1" si="4"/>
        <v>3.6377495369335917</v>
      </c>
      <c r="AR7">
        <f t="shared" ca="1" si="4"/>
        <v>3.8328257723353847</v>
      </c>
      <c r="AS7">
        <f t="shared" ca="1" si="4"/>
        <v>3.5708079158205726</v>
      </c>
      <c r="AT7">
        <f t="shared" ca="1" si="4"/>
        <v>3.623473680993138</v>
      </c>
      <c r="AU7">
        <f t="shared" ca="1" si="4"/>
        <v>3.7608778753790539</v>
      </c>
      <c r="AV7">
        <f t="shared" ca="1" si="4"/>
        <v>3.329428287468482</v>
      </c>
      <c r="AW7">
        <f t="shared" ca="1" si="4"/>
        <v>3.2221866546333464</v>
      </c>
      <c r="AX7">
        <f t="shared" ca="1" si="4"/>
        <v>4.1218485934403937</v>
      </c>
      <c r="AY7">
        <f t="shared" ca="1" si="4"/>
        <v>3.4977630020468404</v>
      </c>
      <c r="AZ7">
        <f t="shared" ca="1" si="4"/>
        <v>3.6808721026230162</v>
      </c>
      <c r="BB7">
        <f t="shared" ca="1" si="7"/>
        <v>3.1425118333590278</v>
      </c>
      <c r="BC7">
        <f t="shared" ca="1" si="8"/>
        <v>3.7608778753790539</v>
      </c>
    </row>
    <row r="8" spans="1:55" x14ac:dyDescent="0.25">
      <c r="A8">
        <v>6</v>
      </c>
      <c r="B8">
        <f t="shared" si="5"/>
        <v>3.3201169227365481</v>
      </c>
      <c r="C8">
        <f t="shared" ca="1" si="6"/>
        <v>4.0712785063040018</v>
      </c>
      <c r="D8">
        <f t="shared" ca="1" si="6"/>
        <v>4.3556213010168081</v>
      </c>
      <c r="E8">
        <f t="shared" ca="1" si="4"/>
        <v>3.9610105245385903</v>
      </c>
      <c r="F8">
        <f t="shared" ca="1" si="4"/>
        <v>4.4616382388941513</v>
      </c>
      <c r="G8">
        <f t="shared" ca="1" si="4"/>
        <v>4.4686585131108263</v>
      </c>
      <c r="H8">
        <f t="shared" ca="1" si="4"/>
        <v>4.5483624232602189</v>
      </c>
      <c r="I8">
        <f t="shared" ca="1" si="4"/>
        <v>4.3712725382385926</v>
      </c>
      <c r="J8">
        <f t="shared" ca="1" si="4"/>
        <v>4.6148575894753447</v>
      </c>
      <c r="K8">
        <f t="shared" ca="1" si="4"/>
        <v>4.5585084359274637</v>
      </c>
      <c r="L8">
        <f t="shared" ca="1" si="4"/>
        <v>4.6718896614631111</v>
      </c>
      <c r="M8">
        <f t="shared" ca="1" si="4"/>
        <v>4.5483274536287546</v>
      </c>
      <c r="N8">
        <f t="shared" ca="1" si="4"/>
        <v>4.7710865381943135</v>
      </c>
      <c r="O8">
        <f t="shared" ca="1" si="4"/>
        <v>4.3085691043973124</v>
      </c>
      <c r="P8">
        <f t="shared" ca="1" si="4"/>
        <v>4.6727530339805599</v>
      </c>
      <c r="Q8">
        <f t="shared" ca="1" si="4"/>
        <v>4.486887234515323</v>
      </c>
      <c r="R8">
        <f t="shared" ca="1" si="4"/>
        <v>4.8149320217355376</v>
      </c>
      <c r="S8">
        <f t="shared" ca="1" si="4"/>
        <v>3.8998812672433094</v>
      </c>
      <c r="T8">
        <f t="shared" ref="T8:T22" ca="1" si="9">T7*EXP($B$1+RAND()/10)</f>
        <v>4.5495629046090702</v>
      </c>
      <c r="U8">
        <f t="shared" ref="U8:U22" ca="1" si="10">U7*EXP($B$1+RAND()/10)</f>
        <v>4.5123720892653285</v>
      </c>
      <c r="V8">
        <f t="shared" ref="V8:V22" ca="1" si="11">V7*EXP($B$1+RAND()/10)</f>
        <v>4.5516354376742401</v>
      </c>
      <c r="W8">
        <f t="shared" ref="W8:W22" ca="1" si="12">W7*EXP($B$1+RAND()/10)</f>
        <v>4.9218414328142641</v>
      </c>
      <c r="X8">
        <f t="shared" ref="X8:X22" ca="1" si="13">X7*EXP($B$1+RAND()/10)</f>
        <v>4.7534023524915838</v>
      </c>
      <c r="Y8">
        <f t="shared" ref="Y8:Y22" ca="1" si="14">Y7*EXP($B$1+RAND()/10)</f>
        <v>4.9098441362598715</v>
      </c>
      <c r="Z8">
        <f t="shared" ref="Z8:Z22" ca="1" si="15">Z7*EXP($B$1+RAND()/10)</f>
        <v>4.6173945344697147</v>
      </c>
      <c r="AA8">
        <f t="shared" ref="AA8:AA22" ca="1" si="16">AA7*EXP($B$1+RAND()/10)</f>
        <v>4.3431715883160535</v>
      </c>
      <c r="AB8">
        <f t="shared" ref="AB8:AB22" ca="1" si="17">AB7*EXP($B$1+RAND()/10)</f>
        <v>4.2347995064997477</v>
      </c>
      <c r="AC8">
        <f t="shared" ref="AC8:AC22" ca="1" si="18">AC7*EXP($B$1+RAND()/10)</f>
        <v>4.2979961617052123</v>
      </c>
      <c r="AD8">
        <f t="shared" ref="AD8:AD22" ca="1" si="19">AD7*EXP($B$1+RAND()/10)</f>
        <v>4.1937957161834785</v>
      </c>
      <c r="AE8">
        <f t="shared" ref="AE8:AE22" ca="1" si="20">AE7*EXP($B$1+RAND()/10)</f>
        <v>4.8765664776557935</v>
      </c>
      <c r="AF8">
        <f t="shared" ref="AF8:AF22" ca="1" si="21">AF7*EXP($B$1+RAND()/10)</f>
        <v>4.2343540103603843</v>
      </c>
      <c r="AG8">
        <f t="shared" ref="AG8:AG22" ca="1" si="22">AG7*EXP($B$1+RAND()/10)</f>
        <v>4.6808680974261785</v>
      </c>
      <c r="AH8">
        <f t="shared" ref="AH8:AH22" ca="1" si="23">AH7*EXP($B$1+RAND()/10)</f>
        <v>4.6624128559720388</v>
      </c>
      <c r="AI8">
        <f t="shared" ref="AI8:AI22" ca="1" si="24">AI7*EXP($B$1+RAND()/10)</f>
        <v>4.7693391506952274</v>
      </c>
      <c r="AJ8">
        <f t="shared" ref="AJ8:AJ22" ca="1" si="25">AJ7*EXP($B$1+RAND()/10)</f>
        <v>4.2404024353986509</v>
      </c>
      <c r="AK8">
        <f t="shared" ref="AK8:AK22" ca="1" si="26">AK7*EXP($B$1+RAND()/10)</f>
        <v>4.9216111837292598</v>
      </c>
      <c r="AL8">
        <f t="shared" ref="AL8:AL22" ca="1" si="27">AL7*EXP($B$1+RAND()/10)</f>
        <v>4.7557695558433917</v>
      </c>
      <c r="AM8">
        <f t="shared" ref="AM8:AM22" ca="1" si="28">AM7*EXP($B$1+RAND()/10)</f>
        <v>4.1569761825280374</v>
      </c>
      <c r="AN8">
        <f t="shared" ref="AN8:AN22" ca="1" si="29">AN7*EXP($B$1+RAND()/10)</f>
        <v>4.6946729525539972</v>
      </c>
      <c r="AO8">
        <f t="shared" ref="AO8:AO22" ca="1" si="30">AO7*EXP($B$1+RAND()/10)</f>
        <v>4.2752760162045265</v>
      </c>
      <c r="AP8">
        <f t="shared" ref="AP8:AP22" ca="1" si="31">AP7*EXP($B$1+RAND()/10)</f>
        <v>4.5546212949897953</v>
      </c>
      <c r="AQ8">
        <f t="shared" ref="AQ8:AQ22" ca="1" si="32">AQ7*EXP($B$1+RAND()/10)</f>
        <v>4.505407172231866</v>
      </c>
      <c r="AR8">
        <f t="shared" ref="AR8:AR22" ca="1" si="33">AR7*EXP($B$1+RAND()/10)</f>
        <v>5.0668291290890073</v>
      </c>
      <c r="AS8">
        <f t="shared" ref="AS8:AS22" ca="1" si="34">AS7*EXP($B$1+RAND()/10)</f>
        <v>4.7031164551417532</v>
      </c>
      <c r="AT8">
        <f t="shared" ref="AT8:AT22" ca="1" si="35">AT7*EXP($B$1+RAND()/10)</f>
        <v>4.8865598081363508</v>
      </c>
      <c r="AU8">
        <f t="shared" ref="AU8:AU22" ca="1" si="36">AU7*EXP($B$1+RAND()/10)</f>
        <v>4.9125182156337583</v>
      </c>
      <c r="AV8">
        <f t="shared" ref="AV8:AV22" ca="1" si="37">AV7*EXP($B$1+RAND()/10)</f>
        <v>4.3562723547538207</v>
      </c>
      <c r="AW8">
        <f t="shared" ref="AW8:AW22" ca="1" si="38">AW7*EXP($B$1+RAND()/10)</f>
        <v>4.0690128267998542</v>
      </c>
      <c r="AX8">
        <f t="shared" ref="AX8:AX22" ca="1" si="39">AX7*EXP($B$1+RAND()/10)</f>
        <v>5.3539070497413936</v>
      </c>
      <c r="AY8">
        <f t="shared" ref="AY8:AY22" ca="1" si="40">AY7*EXP($B$1+RAND()/10)</f>
        <v>4.377734219319259</v>
      </c>
      <c r="AZ8">
        <f t="shared" ref="AZ8:AZ22" ca="1" si="41">AZ7*EXP($B$1+RAND()/10)</f>
        <v>4.6776426594319762</v>
      </c>
      <c r="BB8">
        <f t="shared" ca="1" si="7"/>
        <v>3.8998812672433094</v>
      </c>
      <c r="BC8">
        <f t="shared" ca="1" si="8"/>
        <v>4.9218414328142641</v>
      </c>
    </row>
    <row r="9" spans="1:55" x14ac:dyDescent="0.25">
      <c r="A9">
        <v>7</v>
      </c>
      <c r="B9">
        <f t="shared" si="5"/>
        <v>4.0551999668446754</v>
      </c>
      <c r="C9">
        <f t="shared" ca="1" si="6"/>
        <v>5.4086479741837552</v>
      </c>
      <c r="D9">
        <f t="shared" ca="1" si="6"/>
        <v>5.4872037837592176</v>
      </c>
      <c r="E9">
        <f t="shared" ref="E9:E22" ca="1" si="42">E8*EXP($B$1+RAND()/10)</f>
        <v>5.0036950109186487</v>
      </c>
      <c r="F9">
        <f t="shared" ref="F9:F22" ca="1" si="43">F8*EXP($B$1+RAND()/10)</f>
        <v>5.5786701562248755</v>
      </c>
      <c r="G9">
        <f t="shared" ref="G9:G22" ca="1" si="44">G8*EXP($B$1+RAND()/10)</f>
        <v>5.519763203528651</v>
      </c>
      <c r="H9">
        <f t="shared" ref="H9:H22" ca="1" si="45">H8*EXP($B$1+RAND()/10)</f>
        <v>5.6224396828660899</v>
      </c>
      <c r="I9">
        <f t="shared" ref="I9:I22" ca="1" si="46">I8*EXP($B$1+RAND()/10)</f>
        <v>5.8478091136758534</v>
      </c>
      <c r="J9">
        <f t="shared" ref="J9:J22" ca="1" si="47">J8*EXP($B$1+RAND()/10)</f>
        <v>5.7512354128680165</v>
      </c>
      <c r="K9">
        <f t="shared" ref="K9:K22" ca="1" si="48">K8*EXP($B$1+RAND()/10)</f>
        <v>5.9869758477995205</v>
      </c>
      <c r="L9">
        <f t="shared" ref="L9:L22" ca="1" si="49">L8*EXP($B$1+RAND()/10)</f>
        <v>6.1509973685285857</v>
      </c>
      <c r="M9">
        <f t="shared" ref="M9:M22" ca="1" si="50">M8*EXP($B$1+RAND()/10)</f>
        <v>5.6890217111821668</v>
      </c>
      <c r="N9">
        <f t="shared" ref="N9:N22" ca="1" si="51">N8*EXP($B$1+RAND()/10)</f>
        <v>5.9254304395914188</v>
      </c>
      <c r="O9">
        <f t="shared" ref="O9:O22" ca="1" si="52">O8*EXP($B$1+RAND()/10)</f>
        <v>5.3844981458322927</v>
      </c>
      <c r="P9">
        <f t="shared" ref="P9:P22" ca="1" si="53">P8*EXP($B$1+RAND()/10)</f>
        <v>6.0068892296610432</v>
      </c>
      <c r="Q9">
        <f t="shared" ref="Q9:Q22" ca="1" si="54">Q8*EXP($B$1+RAND()/10)</f>
        <v>5.5465310447734621</v>
      </c>
      <c r="R9">
        <f t="shared" ref="R9:R22" ca="1" si="55">R8*EXP($B$1+RAND()/10)</f>
        <v>5.9018317752990797</v>
      </c>
      <c r="S9">
        <f t="shared" ref="S9:S22" ca="1" si="56">S8*EXP($B$1+RAND()/10)</f>
        <v>5.2008117732354551</v>
      </c>
      <c r="T9">
        <f t="shared" ca="1" si="9"/>
        <v>5.9973464082010457</v>
      </c>
      <c r="U9">
        <f t="shared" ca="1" si="10"/>
        <v>5.8591647275370464</v>
      </c>
      <c r="V9">
        <f t="shared" ca="1" si="11"/>
        <v>5.6633509011082923</v>
      </c>
      <c r="W9">
        <f t="shared" ca="1" si="12"/>
        <v>6.0378406923748171</v>
      </c>
      <c r="X9">
        <f t="shared" ca="1" si="13"/>
        <v>5.9679384752525184</v>
      </c>
      <c r="Y9">
        <f t="shared" ca="1" si="14"/>
        <v>6.5646643849697659</v>
      </c>
      <c r="Z9">
        <f t="shared" ca="1" si="15"/>
        <v>5.7673308147824951</v>
      </c>
      <c r="AA9">
        <f t="shared" ca="1" si="16"/>
        <v>5.7183279599474846</v>
      </c>
      <c r="AB9">
        <f t="shared" ca="1" si="17"/>
        <v>5.6031462016770055</v>
      </c>
      <c r="AC9">
        <f t="shared" ca="1" si="18"/>
        <v>5.2951183611019097</v>
      </c>
      <c r="AD9">
        <f t="shared" ca="1" si="19"/>
        <v>5.5895618730672441</v>
      </c>
      <c r="AE9">
        <f t="shared" ca="1" si="20"/>
        <v>5.9639623128388255</v>
      </c>
      <c r="AF9">
        <f t="shared" ca="1" si="21"/>
        <v>5.3842376572468043</v>
      </c>
      <c r="AG9">
        <f t="shared" ca="1" si="22"/>
        <v>5.9689794527630786</v>
      </c>
      <c r="AH9">
        <f t="shared" ca="1" si="23"/>
        <v>5.8423727676678423</v>
      </c>
      <c r="AI9">
        <f t="shared" ca="1" si="24"/>
        <v>6.4191043313662091</v>
      </c>
      <c r="AJ9">
        <f t="shared" ca="1" si="25"/>
        <v>5.2787058269621276</v>
      </c>
      <c r="AK9">
        <f t="shared" ca="1" si="26"/>
        <v>6.1152151409788571</v>
      </c>
      <c r="AL9">
        <f t="shared" ca="1" si="27"/>
        <v>5.974781186953301</v>
      </c>
      <c r="AM9">
        <f t="shared" ca="1" si="28"/>
        <v>5.2120625371237557</v>
      </c>
      <c r="AN9">
        <f t="shared" ca="1" si="29"/>
        <v>5.8061074548963019</v>
      </c>
      <c r="AO9">
        <f t="shared" ca="1" si="30"/>
        <v>5.3291659327112795</v>
      </c>
      <c r="AP9">
        <f t="shared" ca="1" si="31"/>
        <v>5.6823107089751588</v>
      </c>
      <c r="AQ9">
        <f t="shared" ca="1" si="32"/>
        <v>5.7844141800678832</v>
      </c>
      <c r="AR9">
        <f t="shared" ca="1" si="33"/>
        <v>6.572354583798858</v>
      </c>
      <c r="AS9">
        <f t="shared" ca="1" si="34"/>
        <v>6.2619060127504698</v>
      </c>
      <c r="AT9">
        <f t="shared" ca="1" si="35"/>
        <v>6.2921079161049445</v>
      </c>
      <c r="AU9">
        <f t="shared" ca="1" si="36"/>
        <v>6.3834975203491195</v>
      </c>
      <c r="AV9">
        <f t="shared" ca="1" si="37"/>
        <v>5.8644531815186518</v>
      </c>
      <c r="AW9">
        <f t="shared" ca="1" si="38"/>
        <v>5.0855150769474022</v>
      </c>
      <c r="AX9">
        <f t="shared" ca="1" si="39"/>
        <v>6.6055297677232696</v>
      </c>
      <c r="AY9">
        <f t="shared" ca="1" si="40"/>
        <v>5.8959228004385347</v>
      </c>
      <c r="AZ9">
        <f t="shared" ca="1" si="41"/>
        <v>6.2475597174187216</v>
      </c>
      <c r="BB9">
        <f t="shared" ca="1" si="7"/>
        <v>5.0036950109186487</v>
      </c>
      <c r="BC9">
        <f t="shared" ca="1" si="8"/>
        <v>6.5646643849697659</v>
      </c>
    </row>
    <row r="10" spans="1:55" x14ac:dyDescent="0.25">
      <c r="A10">
        <v>8</v>
      </c>
      <c r="B10">
        <f t="shared" si="5"/>
        <v>4.9530324243951158</v>
      </c>
      <c r="C10">
        <f t="shared" ca="1" si="6"/>
        <v>6.9430885046699915</v>
      </c>
      <c r="D10">
        <f t="shared" ca="1" si="6"/>
        <v>7.0484147676150588</v>
      </c>
      <c r="E10">
        <f t="shared" ca="1" si="42"/>
        <v>6.6855496428199039</v>
      </c>
      <c r="F10">
        <f t="shared" ca="1" si="43"/>
        <v>6.9813007493670405</v>
      </c>
      <c r="G10">
        <f t="shared" ca="1" si="44"/>
        <v>7.4098585550984239</v>
      </c>
      <c r="H10">
        <f t="shared" ca="1" si="45"/>
        <v>7.2160180297842889</v>
      </c>
      <c r="I10">
        <f t="shared" ca="1" si="46"/>
        <v>7.7072687782601461</v>
      </c>
      <c r="J10">
        <f t="shared" ca="1" si="47"/>
        <v>7.0564761818170387</v>
      </c>
      <c r="K10">
        <f t="shared" ca="1" si="48"/>
        <v>7.7608057050981518</v>
      </c>
      <c r="L10">
        <f t="shared" ca="1" si="49"/>
        <v>7.5900461242392137</v>
      </c>
      <c r="M10">
        <f t="shared" ca="1" si="50"/>
        <v>7.0632290588545468</v>
      </c>
      <c r="N10">
        <f t="shared" ca="1" si="51"/>
        <v>7.6763444161792398</v>
      </c>
      <c r="O10">
        <f t="shared" ca="1" si="52"/>
        <v>7.166011017738926</v>
      </c>
      <c r="P10">
        <f t="shared" ca="1" si="53"/>
        <v>7.686963447772504</v>
      </c>
      <c r="Q10">
        <f t="shared" ca="1" si="54"/>
        <v>6.8562736374077762</v>
      </c>
      <c r="R10">
        <f t="shared" ca="1" si="55"/>
        <v>7.3534985084409739</v>
      </c>
      <c r="S10">
        <f t="shared" ca="1" si="56"/>
        <v>6.6501569037104389</v>
      </c>
      <c r="T10">
        <f t="shared" ca="1" si="9"/>
        <v>7.4593149514684338</v>
      </c>
      <c r="U10">
        <f t="shared" ca="1" si="10"/>
        <v>7.6955685174472697</v>
      </c>
      <c r="V10">
        <f t="shared" ca="1" si="11"/>
        <v>7.4993458415887568</v>
      </c>
      <c r="W10">
        <f t="shared" ca="1" si="12"/>
        <v>7.6223504110405882</v>
      </c>
      <c r="X10">
        <f t="shared" ca="1" si="13"/>
        <v>7.7762864273720798</v>
      </c>
      <c r="Y10">
        <f t="shared" ca="1" si="14"/>
        <v>8.6206147320993054</v>
      </c>
      <c r="Z10">
        <f t="shared" ca="1" si="15"/>
        <v>7.2471472621920308</v>
      </c>
      <c r="AA10">
        <f t="shared" ca="1" si="16"/>
        <v>7.3480452593998171</v>
      </c>
      <c r="AB10">
        <f t="shared" ca="1" si="17"/>
        <v>6.9464503119491416</v>
      </c>
      <c r="AC10">
        <f t="shared" ca="1" si="18"/>
        <v>6.9983271726664302</v>
      </c>
      <c r="AD10">
        <f t="shared" ca="1" si="19"/>
        <v>7.1028903611410916</v>
      </c>
      <c r="AE10">
        <f t="shared" ca="1" si="20"/>
        <v>7.3261712388686426</v>
      </c>
      <c r="AF10">
        <f t="shared" ca="1" si="21"/>
        <v>6.6333222262811962</v>
      </c>
      <c r="AG10">
        <f t="shared" ca="1" si="22"/>
        <v>7.7076981203354293</v>
      </c>
      <c r="AH10">
        <f t="shared" ca="1" si="23"/>
        <v>7.722990005806591</v>
      </c>
      <c r="AI10">
        <f t="shared" ca="1" si="24"/>
        <v>7.9998887538181904</v>
      </c>
      <c r="AJ10">
        <f t="shared" ca="1" si="25"/>
        <v>6.5237913618074419</v>
      </c>
      <c r="AK10">
        <f t="shared" ca="1" si="26"/>
        <v>7.5820941895547671</v>
      </c>
      <c r="AL10">
        <f t="shared" ca="1" si="27"/>
        <v>7.554065653438844</v>
      </c>
      <c r="AM10">
        <f t="shared" ca="1" si="28"/>
        <v>6.8818077808946017</v>
      </c>
      <c r="AN10">
        <f t="shared" ca="1" si="29"/>
        <v>7.7508442638329011</v>
      </c>
      <c r="AO10">
        <f t="shared" ca="1" si="30"/>
        <v>6.933633900914205</v>
      </c>
      <c r="AP10">
        <f t="shared" ca="1" si="31"/>
        <v>6.9911712718710621</v>
      </c>
      <c r="AQ10">
        <f t="shared" ca="1" si="32"/>
        <v>7.1916350684222277</v>
      </c>
      <c r="AR10">
        <f t="shared" ca="1" si="33"/>
        <v>8.3199669905942901</v>
      </c>
      <c r="AS10">
        <f t="shared" ca="1" si="34"/>
        <v>8.2080379898306077</v>
      </c>
      <c r="AT10">
        <f t="shared" ca="1" si="35"/>
        <v>7.9687657661526128</v>
      </c>
      <c r="AU10">
        <f t="shared" ca="1" si="36"/>
        <v>8.0790281206248977</v>
      </c>
      <c r="AV10">
        <f t="shared" ca="1" si="37"/>
        <v>7.1736163874341097</v>
      </c>
      <c r="AW10">
        <f t="shared" ca="1" si="38"/>
        <v>6.5325335691268656</v>
      </c>
      <c r="AX10">
        <f t="shared" ca="1" si="39"/>
        <v>8.2987728620458618</v>
      </c>
      <c r="AY10">
        <f t="shared" ca="1" si="40"/>
        <v>7.519508013532116</v>
      </c>
      <c r="AZ10">
        <f t="shared" ca="1" si="41"/>
        <v>7.7726297400190631</v>
      </c>
      <c r="BB10">
        <f t="shared" ca="1" si="7"/>
        <v>6.5237913618074419</v>
      </c>
      <c r="BC10">
        <f t="shared" ca="1" si="8"/>
        <v>8.2987728620458618</v>
      </c>
    </row>
    <row r="11" spans="1:55" x14ac:dyDescent="0.25">
      <c r="A11">
        <v>9</v>
      </c>
      <c r="B11">
        <f t="shared" si="5"/>
        <v>6.0496474644129474</v>
      </c>
      <c r="C11">
        <f t="shared" ca="1" si="6"/>
        <v>8.4919310828202814</v>
      </c>
      <c r="D11">
        <f t="shared" ca="1" si="6"/>
        <v>8.7755851156594691</v>
      </c>
      <c r="E11">
        <f t="shared" ca="1" si="42"/>
        <v>8.3746204839495366</v>
      </c>
      <c r="F11">
        <f t="shared" ca="1" si="43"/>
        <v>8.6480266483007817</v>
      </c>
      <c r="G11">
        <f t="shared" ca="1" si="44"/>
        <v>9.5028879268409856</v>
      </c>
      <c r="H11">
        <f t="shared" ca="1" si="45"/>
        <v>9.1654868182235667</v>
      </c>
      <c r="I11">
        <f t="shared" ca="1" si="46"/>
        <v>10.192772521943812</v>
      </c>
      <c r="J11">
        <f t="shared" ca="1" si="47"/>
        <v>9.2767749909703401</v>
      </c>
      <c r="K11">
        <f t="shared" ca="1" si="48"/>
        <v>9.540170450507663</v>
      </c>
      <c r="L11">
        <f t="shared" ca="1" si="49"/>
        <v>9.5997170769794522</v>
      </c>
      <c r="M11">
        <f t="shared" ca="1" si="50"/>
        <v>8.6283358803600532</v>
      </c>
      <c r="N11">
        <f t="shared" ca="1" si="51"/>
        <v>9.3979937972448919</v>
      </c>
      <c r="O11">
        <f t="shared" ca="1" si="52"/>
        <v>9.0960160111657657</v>
      </c>
      <c r="P11">
        <f t="shared" ca="1" si="53"/>
        <v>10.103324085889271</v>
      </c>
      <c r="Q11">
        <f t="shared" ca="1" si="54"/>
        <v>8.6756143840647031</v>
      </c>
      <c r="R11">
        <f t="shared" ca="1" si="55"/>
        <v>9.4157909380161975</v>
      </c>
      <c r="S11">
        <f t="shared" ca="1" si="56"/>
        <v>8.3700479074593801</v>
      </c>
      <c r="T11">
        <f t="shared" ca="1" si="9"/>
        <v>9.6645095528032954</v>
      </c>
      <c r="U11">
        <f t="shared" ca="1" si="10"/>
        <v>10.109323530456962</v>
      </c>
      <c r="V11">
        <f t="shared" ca="1" si="11"/>
        <v>9.6755011449225492</v>
      </c>
      <c r="W11">
        <f t="shared" ca="1" si="12"/>
        <v>10.062477128536871</v>
      </c>
      <c r="X11">
        <f t="shared" ca="1" si="13"/>
        <v>9.5951706495694609</v>
      </c>
      <c r="Y11">
        <f t="shared" ca="1" si="14"/>
        <v>11.514420633133913</v>
      </c>
      <c r="Z11">
        <f t="shared" ca="1" si="15"/>
        <v>8.880866484382052</v>
      </c>
      <c r="AA11">
        <f t="shared" ca="1" si="16"/>
        <v>9.3015169479380742</v>
      </c>
      <c r="AB11">
        <f t="shared" ca="1" si="17"/>
        <v>9.3642511582359003</v>
      </c>
      <c r="AC11">
        <f t="shared" ca="1" si="18"/>
        <v>8.7919623879217461</v>
      </c>
      <c r="AD11">
        <f t="shared" ca="1" si="19"/>
        <v>8.8928578976914956</v>
      </c>
      <c r="AE11">
        <f t="shared" ca="1" si="20"/>
        <v>9.8319634399291207</v>
      </c>
      <c r="AF11">
        <f t="shared" ca="1" si="21"/>
        <v>8.8354601821145309</v>
      </c>
      <c r="AG11">
        <f t="shared" ca="1" si="22"/>
        <v>9.6212473561718461</v>
      </c>
      <c r="AH11">
        <f t="shared" ca="1" si="23"/>
        <v>9.5444843750794437</v>
      </c>
      <c r="AI11">
        <f t="shared" ca="1" si="24"/>
        <v>9.8368212256066876</v>
      </c>
      <c r="AJ11">
        <f t="shared" ca="1" si="25"/>
        <v>8.2354847388285428</v>
      </c>
      <c r="AK11">
        <f t="shared" ca="1" si="26"/>
        <v>10.121709314072524</v>
      </c>
      <c r="AL11">
        <f t="shared" ca="1" si="27"/>
        <v>9.373903826608684</v>
      </c>
      <c r="AM11">
        <f t="shared" ca="1" si="28"/>
        <v>9.0549579255267236</v>
      </c>
      <c r="AN11">
        <f t="shared" ca="1" si="29"/>
        <v>10.388569748999</v>
      </c>
      <c r="AO11">
        <f t="shared" ca="1" si="30"/>
        <v>9.0340113196005873</v>
      </c>
      <c r="AP11">
        <f t="shared" ca="1" si="31"/>
        <v>8.828009305213369</v>
      </c>
      <c r="AQ11">
        <f t="shared" ca="1" si="32"/>
        <v>9.4702458969782786</v>
      </c>
      <c r="AR11">
        <f t="shared" ca="1" si="33"/>
        <v>10.172371878666505</v>
      </c>
      <c r="AS11">
        <f t="shared" ca="1" si="34"/>
        <v>10.713366848679497</v>
      </c>
      <c r="AT11">
        <f t="shared" ca="1" si="35"/>
        <v>10.408934122052548</v>
      </c>
      <c r="AU11">
        <f t="shared" ca="1" si="36"/>
        <v>10.601449290125844</v>
      </c>
      <c r="AV11">
        <f t="shared" ca="1" si="37"/>
        <v>9.3632214057221397</v>
      </c>
      <c r="AW11">
        <f t="shared" ca="1" si="38"/>
        <v>8.479607978192</v>
      </c>
      <c r="AX11">
        <f t="shared" ca="1" si="39"/>
        <v>10.270424008216883</v>
      </c>
      <c r="AY11">
        <f t="shared" ca="1" si="40"/>
        <v>9.9419591314732862</v>
      </c>
      <c r="AZ11">
        <f t="shared" ca="1" si="41"/>
        <v>9.987721178128071</v>
      </c>
      <c r="BB11">
        <f t="shared" ca="1" si="7"/>
        <v>8.2354847388285428</v>
      </c>
      <c r="BC11">
        <f t="shared" ca="1" si="8"/>
        <v>10.601449290125844</v>
      </c>
    </row>
    <row r="12" spans="1:55" x14ac:dyDescent="0.25">
      <c r="A12">
        <v>10</v>
      </c>
      <c r="B12">
        <f t="shared" si="5"/>
        <v>7.3890560989306522</v>
      </c>
      <c r="C12">
        <f t="shared" ca="1" si="6"/>
        <v>10.732577262539891</v>
      </c>
      <c r="D12">
        <f t="shared" ca="1" si="6"/>
        <v>10.764868110089923</v>
      </c>
      <c r="E12">
        <f t="shared" ca="1" si="42"/>
        <v>10.805694699841323</v>
      </c>
      <c r="F12">
        <f t="shared" ca="1" si="43"/>
        <v>11.390010639518435</v>
      </c>
      <c r="G12">
        <f t="shared" ca="1" si="44"/>
        <v>11.713650918139219</v>
      </c>
      <c r="H12">
        <f t="shared" ca="1" si="45"/>
        <v>11.632785237108195</v>
      </c>
      <c r="I12">
        <f t="shared" ca="1" si="46"/>
        <v>12.666563129780222</v>
      </c>
      <c r="J12">
        <f t="shared" ca="1" si="47"/>
        <v>12.066537380826295</v>
      </c>
      <c r="K12">
        <f t="shared" ca="1" si="48"/>
        <v>11.692220291096529</v>
      </c>
      <c r="L12">
        <f t="shared" ca="1" si="49"/>
        <v>12.088663599258302</v>
      </c>
      <c r="M12">
        <f t="shared" ca="1" si="50"/>
        <v>11.472023285979578</v>
      </c>
      <c r="N12">
        <f t="shared" ca="1" si="51"/>
        <v>12.572122236602128</v>
      </c>
      <c r="O12">
        <f t="shared" ca="1" si="52"/>
        <v>11.855050947881308</v>
      </c>
      <c r="P12">
        <f t="shared" ca="1" si="53"/>
        <v>12.449236068318045</v>
      </c>
      <c r="Q12">
        <f t="shared" ca="1" si="54"/>
        <v>10.895512795670497</v>
      </c>
      <c r="R12">
        <f t="shared" ca="1" si="55"/>
        <v>12.049733327103064</v>
      </c>
      <c r="S12">
        <f t="shared" ca="1" si="56"/>
        <v>10.413537108275412</v>
      </c>
      <c r="T12">
        <f t="shared" ca="1" si="9"/>
        <v>12.603004835122134</v>
      </c>
      <c r="U12">
        <f t="shared" ca="1" si="10"/>
        <v>13.541246430709085</v>
      </c>
      <c r="V12">
        <f t="shared" ca="1" si="11"/>
        <v>12.762987319421404</v>
      </c>
      <c r="W12">
        <f t="shared" ca="1" si="12"/>
        <v>13.559348023590521</v>
      </c>
      <c r="X12">
        <f t="shared" ca="1" si="13"/>
        <v>12.344338454152391</v>
      </c>
      <c r="Y12">
        <f t="shared" ca="1" si="14"/>
        <v>14.741750247629492</v>
      </c>
      <c r="Z12">
        <f t="shared" ca="1" si="15"/>
        <v>11.598739698869949</v>
      </c>
      <c r="AA12">
        <f t="shared" ca="1" si="16"/>
        <v>12.471717997011375</v>
      </c>
      <c r="AB12">
        <f t="shared" ca="1" si="17"/>
        <v>12.128566091780337</v>
      </c>
      <c r="AC12">
        <f t="shared" ca="1" si="18"/>
        <v>11.649947865251624</v>
      </c>
      <c r="AD12">
        <f t="shared" ca="1" si="19"/>
        <v>11.139235304861057</v>
      </c>
      <c r="AE12">
        <f t="shared" ca="1" si="20"/>
        <v>12.161881834499338</v>
      </c>
      <c r="AF12">
        <f t="shared" ca="1" si="21"/>
        <v>11.109379066022127</v>
      </c>
      <c r="AG12">
        <f t="shared" ca="1" si="22"/>
        <v>12.32351232277766</v>
      </c>
      <c r="AH12">
        <f t="shared" ca="1" si="23"/>
        <v>12.346813290140499</v>
      </c>
      <c r="AI12">
        <f t="shared" ca="1" si="24"/>
        <v>12.963860632226393</v>
      </c>
      <c r="AJ12">
        <f t="shared" ca="1" si="25"/>
        <v>10.302402951373301</v>
      </c>
      <c r="AK12">
        <f t="shared" ca="1" si="26"/>
        <v>12.55205487807803</v>
      </c>
      <c r="AL12">
        <f t="shared" ca="1" si="27"/>
        <v>11.742735883703533</v>
      </c>
      <c r="AM12">
        <f t="shared" ca="1" si="28"/>
        <v>11.603942519208582</v>
      </c>
      <c r="AN12">
        <f t="shared" ca="1" si="29"/>
        <v>13.750110088434985</v>
      </c>
      <c r="AO12">
        <f t="shared" ca="1" si="30"/>
        <v>11.504082287102237</v>
      </c>
      <c r="AP12">
        <f t="shared" ca="1" si="31"/>
        <v>11.201552069523308</v>
      </c>
      <c r="AQ12">
        <f t="shared" ca="1" si="32"/>
        <v>12.413098505234997</v>
      </c>
      <c r="AR12">
        <f t="shared" ca="1" si="33"/>
        <v>13.112750963148034</v>
      </c>
      <c r="AS12">
        <f t="shared" ca="1" si="34"/>
        <v>13.143547103294059</v>
      </c>
      <c r="AT12">
        <f t="shared" ca="1" si="35"/>
        <v>13.460255072747135</v>
      </c>
      <c r="AU12">
        <f t="shared" ca="1" si="36"/>
        <v>14.001059902030308</v>
      </c>
      <c r="AV12">
        <f t="shared" ca="1" si="37"/>
        <v>12.524324751491559</v>
      </c>
      <c r="AW12">
        <f t="shared" ca="1" si="38"/>
        <v>11.253923793401503</v>
      </c>
      <c r="AX12">
        <f t="shared" ca="1" si="39"/>
        <v>12.871420448517068</v>
      </c>
      <c r="AY12">
        <f t="shared" ca="1" si="40"/>
        <v>12.143538387377831</v>
      </c>
      <c r="AZ12">
        <f t="shared" ca="1" si="41"/>
        <v>12.335207798118883</v>
      </c>
      <c r="BB12">
        <f t="shared" ca="1" si="7"/>
        <v>10.302402951373301</v>
      </c>
      <c r="BC12">
        <f t="shared" ca="1" si="8"/>
        <v>13.750110088434985</v>
      </c>
    </row>
    <row r="13" spans="1:55" x14ac:dyDescent="0.25">
      <c r="A13">
        <v>11</v>
      </c>
      <c r="B13">
        <f t="shared" si="5"/>
        <v>9.0250134994341238</v>
      </c>
      <c r="C13">
        <f t="shared" ca="1" si="6"/>
        <v>14.321318458770683</v>
      </c>
      <c r="D13">
        <f t="shared" ca="1" si="6"/>
        <v>13.56881047904373</v>
      </c>
      <c r="E13">
        <f t="shared" ca="1" si="42"/>
        <v>14.083816672553702</v>
      </c>
      <c r="F13">
        <f t="shared" ca="1" si="43"/>
        <v>14.999525592468469</v>
      </c>
      <c r="G13">
        <f t="shared" ca="1" si="44"/>
        <v>14.456348541264804</v>
      </c>
      <c r="H13">
        <f t="shared" ca="1" si="45"/>
        <v>15.019314882357419</v>
      </c>
      <c r="I13">
        <f t="shared" ca="1" si="46"/>
        <v>16.373268926062639</v>
      </c>
      <c r="J13">
        <f t="shared" ca="1" si="47"/>
        <v>14.801448101275721</v>
      </c>
      <c r="K13">
        <f t="shared" ca="1" si="48"/>
        <v>15.408883200898094</v>
      </c>
      <c r="L13">
        <f t="shared" ca="1" si="49"/>
        <v>14.985380381280235</v>
      </c>
      <c r="M13">
        <f t="shared" ca="1" si="50"/>
        <v>14.814057150059183</v>
      </c>
      <c r="N13">
        <f t="shared" ca="1" si="51"/>
        <v>15.700099815793092</v>
      </c>
      <c r="O13">
        <f t="shared" ca="1" si="52"/>
        <v>14.93353067937587</v>
      </c>
      <c r="P13">
        <f t="shared" ca="1" si="53"/>
        <v>16.172585287461569</v>
      </c>
      <c r="Q13">
        <f t="shared" ca="1" si="54"/>
        <v>13.755275816805993</v>
      </c>
      <c r="R13">
        <f t="shared" ca="1" si="55"/>
        <v>14.809762376997115</v>
      </c>
      <c r="S13">
        <f t="shared" ca="1" si="56"/>
        <v>13.916337119794191</v>
      </c>
      <c r="T13">
        <f t="shared" ca="1" si="9"/>
        <v>16.084610889992565</v>
      </c>
      <c r="U13">
        <f t="shared" ca="1" si="10"/>
        <v>16.936366931780253</v>
      </c>
      <c r="V13">
        <f t="shared" ca="1" si="11"/>
        <v>16.999310599721905</v>
      </c>
      <c r="W13">
        <f t="shared" ca="1" si="12"/>
        <v>17.761848571807597</v>
      </c>
      <c r="X13">
        <f t="shared" ca="1" si="13"/>
        <v>15.345180254083647</v>
      </c>
      <c r="Y13">
        <f t="shared" ca="1" si="14"/>
        <v>19.318853453330817</v>
      </c>
      <c r="Z13">
        <f t="shared" ca="1" si="15"/>
        <v>14.389125559396099</v>
      </c>
      <c r="AA13">
        <f t="shared" ca="1" si="16"/>
        <v>15.911390780008063</v>
      </c>
      <c r="AB13">
        <f t="shared" ca="1" si="17"/>
        <v>15.363760631384118</v>
      </c>
      <c r="AC13">
        <f t="shared" ca="1" si="18"/>
        <v>14.282530092463741</v>
      </c>
      <c r="AD13">
        <f t="shared" ca="1" si="19"/>
        <v>14.718494566246887</v>
      </c>
      <c r="AE13">
        <f t="shared" ca="1" si="20"/>
        <v>15.994224562583467</v>
      </c>
      <c r="AF13">
        <f t="shared" ca="1" si="21"/>
        <v>13.764833643986112</v>
      </c>
      <c r="AG13">
        <f t="shared" ca="1" si="22"/>
        <v>16.152458184627839</v>
      </c>
      <c r="AH13">
        <f t="shared" ca="1" si="23"/>
        <v>16.549152275377828</v>
      </c>
      <c r="AI13">
        <f t="shared" ca="1" si="24"/>
        <v>17.066328743154742</v>
      </c>
      <c r="AJ13">
        <f t="shared" ca="1" si="25"/>
        <v>13.605312301747196</v>
      </c>
      <c r="AK13">
        <f t="shared" ca="1" si="26"/>
        <v>16.614842732377877</v>
      </c>
      <c r="AL13">
        <f t="shared" ca="1" si="27"/>
        <v>15.375420357639063</v>
      </c>
      <c r="AM13">
        <f t="shared" ca="1" si="28"/>
        <v>14.653465440795577</v>
      </c>
      <c r="AN13">
        <f t="shared" ca="1" si="29"/>
        <v>17.215831135569875</v>
      </c>
      <c r="AO13">
        <f t="shared" ca="1" si="30"/>
        <v>14.95974552544696</v>
      </c>
      <c r="AP13">
        <f t="shared" ca="1" si="31"/>
        <v>14.518695928802568</v>
      </c>
      <c r="AQ13">
        <f t="shared" ca="1" si="32"/>
        <v>15.687491625750395</v>
      </c>
      <c r="AR13">
        <f t="shared" ca="1" si="33"/>
        <v>16.303961768351165</v>
      </c>
      <c r="AS13">
        <f t="shared" ca="1" si="34"/>
        <v>16.329664712198007</v>
      </c>
      <c r="AT13">
        <f t="shared" ca="1" si="35"/>
        <v>16.820564779238545</v>
      </c>
      <c r="AU13">
        <f t="shared" ca="1" si="36"/>
        <v>18.75450264628477</v>
      </c>
      <c r="AV13">
        <f t="shared" ca="1" si="37"/>
        <v>15.859208834392737</v>
      </c>
      <c r="AW13">
        <f t="shared" ca="1" si="38"/>
        <v>13.786413400752592</v>
      </c>
      <c r="AX13">
        <f t="shared" ca="1" si="39"/>
        <v>17.093703949588683</v>
      </c>
      <c r="AY13">
        <f t="shared" ca="1" si="40"/>
        <v>15.513072582598241</v>
      </c>
      <c r="AZ13">
        <f t="shared" ca="1" si="41"/>
        <v>16.337270271136259</v>
      </c>
      <c r="BB13">
        <f t="shared" ca="1" si="7"/>
        <v>13.56881047904373</v>
      </c>
      <c r="BC13">
        <f t="shared" ca="1" si="8"/>
        <v>17.761848571807597</v>
      </c>
    </row>
    <row r="14" spans="1:55" x14ac:dyDescent="0.25">
      <c r="A14">
        <v>12</v>
      </c>
      <c r="B14">
        <f t="shared" si="5"/>
        <v>11.023176380641605</v>
      </c>
      <c r="C14">
        <f t="shared" ca="1" si="6"/>
        <v>18.720316629576285</v>
      </c>
      <c r="D14">
        <f t="shared" ca="1" si="6"/>
        <v>17.715720741391042</v>
      </c>
      <c r="E14">
        <f t="shared" ca="1" si="42"/>
        <v>18.989215304324215</v>
      </c>
      <c r="F14">
        <f t="shared" ca="1" si="43"/>
        <v>19.187495736659738</v>
      </c>
      <c r="G14">
        <f t="shared" ca="1" si="44"/>
        <v>18.249337984615941</v>
      </c>
      <c r="H14">
        <f t="shared" ca="1" si="45"/>
        <v>18.980804452679607</v>
      </c>
      <c r="I14">
        <f t="shared" ca="1" si="46"/>
        <v>20.556242311720354</v>
      </c>
      <c r="J14">
        <f t="shared" ca="1" si="47"/>
        <v>19.630622471563431</v>
      </c>
      <c r="K14">
        <f t="shared" ca="1" si="48"/>
        <v>19.234843044949649</v>
      </c>
      <c r="L14">
        <f t="shared" ca="1" si="49"/>
        <v>19.188012811222379</v>
      </c>
      <c r="M14">
        <f t="shared" ca="1" si="50"/>
        <v>19.169487076494907</v>
      </c>
      <c r="N14">
        <f t="shared" ca="1" si="51"/>
        <v>19.719461638888706</v>
      </c>
      <c r="O14">
        <f t="shared" ca="1" si="52"/>
        <v>18.269498292653527</v>
      </c>
      <c r="P14">
        <f t="shared" ca="1" si="53"/>
        <v>20.945866079444112</v>
      </c>
      <c r="Q14">
        <f t="shared" ca="1" si="54"/>
        <v>17.493974489255383</v>
      </c>
      <c r="R14">
        <f t="shared" ca="1" si="55"/>
        <v>18.837484678088384</v>
      </c>
      <c r="S14">
        <f t="shared" ca="1" si="56"/>
        <v>17.244418707001696</v>
      </c>
      <c r="T14">
        <f t="shared" ca="1" si="9"/>
        <v>20.851387905501344</v>
      </c>
      <c r="U14">
        <f t="shared" ca="1" si="10"/>
        <v>21.693261471793168</v>
      </c>
      <c r="V14">
        <f t="shared" ca="1" si="11"/>
        <v>21.705857519517835</v>
      </c>
      <c r="W14">
        <f t="shared" ca="1" si="12"/>
        <v>23.10148908512841</v>
      </c>
      <c r="X14">
        <f t="shared" ca="1" si="13"/>
        <v>19.17780554853962</v>
      </c>
      <c r="Y14">
        <f t="shared" ca="1" si="14"/>
        <v>25.839249699823533</v>
      </c>
      <c r="Z14">
        <f t="shared" ca="1" si="15"/>
        <v>18.403251079017092</v>
      </c>
      <c r="AA14">
        <f t="shared" ca="1" si="16"/>
        <v>19.957214320375083</v>
      </c>
      <c r="AB14">
        <f t="shared" ca="1" si="17"/>
        <v>20.579794473298868</v>
      </c>
      <c r="AC14">
        <f t="shared" ca="1" si="18"/>
        <v>18.356697852973056</v>
      </c>
      <c r="AD14">
        <f t="shared" ca="1" si="19"/>
        <v>18.577680240492352</v>
      </c>
      <c r="AE14">
        <f t="shared" ca="1" si="20"/>
        <v>21.037649493626599</v>
      </c>
      <c r="AF14">
        <f t="shared" ca="1" si="21"/>
        <v>18.106932713500449</v>
      </c>
      <c r="AG14">
        <f t="shared" ca="1" si="22"/>
        <v>21.211932822668594</v>
      </c>
      <c r="AH14">
        <f t="shared" ca="1" si="23"/>
        <v>20.618013833008931</v>
      </c>
      <c r="AI14">
        <f t="shared" ca="1" si="24"/>
        <v>22.42341033144562</v>
      </c>
      <c r="AJ14">
        <f t="shared" ca="1" si="25"/>
        <v>17.823003795912967</v>
      </c>
      <c r="AK14">
        <f t="shared" ca="1" si="26"/>
        <v>20.328628833367333</v>
      </c>
      <c r="AL14">
        <f t="shared" ca="1" si="27"/>
        <v>20.202122748205767</v>
      </c>
      <c r="AM14">
        <f t="shared" ca="1" si="28"/>
        <v>19.561964060695995</v>
      </c>
      <c r="AN14">
        <f t="shared" ca="1" si="29"/>
        <v>22.741497310096104</v>
      </c>
      <c r="AO14">
        <f t="shared" ca="1" si="30"/>
        <v>19.811683523370775</v>
      </c>
      <c r="AP14">
        <f t="shared" ca="1" si="31"/>
        <v>17.831796021130081</v>
      </c>
      <c r="AQ14">
        <f t="shared" ca="1" si="32"/>
        <v>19.974899167915179</v>
      </c>
      <c r="AR14">
        <f t="shared" ca="1" si="33"/>
        <v>21.381476904283893</v>
      </c>
      <c r="AS14">
        <f t="shared" ca="1" si="34"/>
        <v>20.050598079317894</v>
      </c>
      <c r="AT14">
        <f t="shared" ca="1" si="35"/>
        <v>22.108851206609973</v>
      </c>
      <c r="AU14">
        <f t="shared" ca="1" si="36"/>
        <v>24.407223539554131</v>
      </c>
      <c r="AV14">
        <f t="shared" ca="1" si="37"/>
        <v>20.665333066995217</v>
      </c>
      <c r="AW14">
        <f t="shared" ca="1" si="38"/>
        <v>17.526729804324983</v>
      </c>
      <c r="AX14">
        <f t="shared" ca="1" si="39"/>
        <v>23.037741511799037</v>
      </c>
      <c r="AY14">
        <f t="shared" ca="1" si="40"/>
        <v>20.807661247842905</v>
      </c>
      <c r="AZ14">
        <f t="shared" ca="1" si="41"/>
        <v>20.165715353925801</v>
      </c>
      <c r="BB14">
        <f t="shared" ca="1" si="7"/>
        <v>17.244418707001696</v>
      </c>
      <c r="BC14">
        <f t="shared" ca="1" si="8"/>
        <v>23.10148908512841</v>
      </c>
    </row>
    <row r="15" spans="1:55" x14ac:dyDescent="0.25">
      <c r="A15">
        <v>13</v>
      </c>
      <c r="B15">
        <f t="shared" si="5"/>
        <v>13.463738035001695</v>
      </c>
      <c r="C15">
        <f t="shared" ca="1" si="6"/>
        <v>23.807033712768181</v>
      </c>
      <c r="D15">
        <f t="shared" ca="1" si="6"/>
        <v>21.849453022142278</v>
      </c>
      <c r="E15">
        <f t="shared" ca="1" si="42"/>
        <v>23.652266009709354</v>
      </c>
      <c r="F15">
        <f t="shared" ca="1" si="43"/>
        <v>25.027951150872084</v>
      </c>
      <c r="G15">
        <f t="shared" ca="1" si="44"/>
        <v>23.910720473570468</v>
      </c>
      <c r="H15">
        <f t="shared" ca="1" si="45"/>
        <v>23.187762933083743</v>
      </c>
      <c r="I15">
        <f t="shared" ca="1" si="46"/>
        <v>25.499992707934751</v>
      </c>
      <c r="J15">
        <f t="shared" ca="1" si="47"/>
        <v>25.022600674608512</v>
      </c>
      <c r="K15">
        <f t="shared" ca="1" si="48"/>
        <v>23.509353645951844</v>
      </c>
      <c r="L15">
        <f t="shared" ca="1" si="49"/>
        <v>23.59909762665183</v>
      </c>
      <c r="M15">
        <f t="shared" ca="1" si="50"/>
        <v>25.307914722084664</v>
      </c>
      <c r="N15">
        <f t="shared" ca="1" si="51"/>
        <v>24.878362094694388</v>
      </c>
      <c r="O15">
        <f t="shared" ca="1" si="52"/>
        <v>23.792635549449624</v>
      </c>
      <c r="P15">
        <f t="shared" ca="1" si="53"/>
        <v>28.223316811793559</v>
      </c>
      <c r="Q15">
        <f t="shared" ca="1" si="54"/>
        <v>22.849782360577073</v>
      </c>
      <c r="R15">
        <f t="shared" ca="1" si="55"/>
        <v>24.948386678926596</v>
      </c>
      <c r="S15">
        <f t="shared" ca="1" si="56"/>
        <v>22.229912508610898</v>
      </c>
      <c r="T15">
        <f t="shared" ca="1" si="9"/>
        <v>25.700932183745909</v>
      </c>
      <c r="U15">
        <f t="shared" ca="1" si="10"/>
        <v>28.097041949743087</v>
      </c>
      <c r="V15">
        <f t="shared" ca="1" si="11"/>
        <v>27.724398941091881</v>
      </c>
      <c r="W15">
        <f t="shared" ca="1" si="12"/>
        <v>29.465583309161339</v>
      </c>
      <c r="X15">
        <f t="shared" ca="1" si="13"/>
        <v>24.225891711031913</v>
      </c>
      <c r="Y15">
        <f t="shared" ca="1" si="14"/>
        <v>33.841641841106053</v>
      </c>
      <c r="Z15">
        <f t="shared" ca="1" si="15"/>
        <v>22.939225797877249</v>
      </c>
      <c r="AA15">
        <f t="shared" ca="1" si="16"/>
        <v>26.642297098235606</v>
      </c>
      <c r="AB15">
        <f t="shared" ca="1" si="17"/>
        <v>27.079093273357955</v>
      </c>
      <c r="AC15">
        <f t="shared" ca="1" si="18"/>
        <v>22.74122356727246</v>
      </c>
      <c r="AD15">
        <f t="shared" ca="1" si="19"/>
        <v>23.927631113104908</v>
      </c>
      <c r="AE15">
        <f t="shared" ca="1" si="20"/>
        <v>26.526567706546555</v>
      </c>
      <c r="AF15">
        <f t="shared" ca="1" si="21"/>
        <v>24.341161923705275</v>
      </c>
      <c r="AG15">
        <f t="shared" ca="1" si="22"/>
        <v>25.999396866091185</v>
      </c>
      <c r="AH15">
        <f t="shared" ca="1" si="23"/>
        <v>25.38224469614174</v>
      </c>
      <c r="AI15">
        <f t="shared" ca="1" si="24"/>
        <v>29.182456281463793</v>
      </c>
      <c r="AJ15">
        <f t="shared" ca="1" si="25"/>
        <v>21.998158908027591</v>
      </c>
      <c r="AK15">
        <f t="shared" ca="1" si="26"/>
        <v>25.15478557619533</v>
      </c>
      <c r="AL15">
        <f t="shared" ca="1" si="27"/>
        <v>25.381042520641785</v>
      </c>
      <c r="AM15">
        <f t="shared" ca="1" si="28"/>
        <v>26.208248610056948</v>
      </c>
      <c r="AN15">
        <f t="shared" ca="1" si="29"/>
        <v>28.774931598192364</v>
      </c>
      <c r="AO15">
        <f t="shared" ca="1" si="30"/>
        <v>24.825867184912045</v>
      </c>
      <c r="AP15">
        <f t="shared" ca="1" si="31"/>
        <v>22.460338136038249</v>
      </c>
      <c r="AQ15">
        <f t="shared" ca="1" si="32"/>
        <v>26.382608879827465</v>
      </c>
      <c r="AR15">
        <f t="shared" ca="1" si="33"/>
        <v>26.318925745450372</v>
      </c>
      <c r="AS15">
        <f t="shared" ca="1" si="34"/>
        <v>26.507106546741859</v>
      </c>
      <c r="AT15">
        <f t="shared" ca="1" si="35"/>
        <v>27.544226403608736</v>
      </c>
      <c r="AU15">
        <f t="shared" ca="1" si="36"/>
        <v>30.221080012253584</v>
      </c>
      <c r="AV15">
        <f t="shared" ca="1" si="37"/>
        <v>26.483440177768166</v>
      </c>
      <c r="AW15">
        <f t="shared" ca="1" si="38"/>
        <v>23.652588036256883</v>
      </c>
      <c r="AX15">
        <f t="shared" ca="1" si="39"/>
        <v>28.661623623970844</v>
      </c>
      <c r="AY15">
        <f t="shared" ca="1" si="40"/>
        <v>27.499053833396697</v>
      </c>
      <c r="AZ15">
        <f t="shared" ca="1" si="41"/>
        <v>26.894134960144971</v>
      </c>
      <c r="BB15">
        <f t="shared" ca="1" si="7"/>
        <v>21.849453022142278</v>
      </c>
      <c r="BC15">
        <f t="shared" ca="1" si="8"/>
        <v>29.465583309161339</v>
      </c>
    </row>
    <row r="16" spans="1:55" x14ac:dyDescent="0.25">
      <c r="A16">
        <v>14</v>
      </c>
      <c r="B16">
        <f t="shared" si="5"/>
        <v>16.444646771097055</v>
      </c>
      <c r="C16">
        <f t="shared" ca="1" si="6"/>
        <v>32.106376717343025</v>
      </c>
      <c r="D16">
        <f t="shared" ca="1" si="6"/>
        <v>29.433806586511182</v>
      </c>
      <c r="E16">
        <f t="shared" ca="1" si="42"/>
        <v>31.107947113057133</v>
      </c>
      <c r="F16">
        <f t="shared" ca="1" si="43"/>
        <v>32.446466438340074</v>
      </c>
      <c r="G16">
        <f t="shared" ca="1" si="44"/>
        <v>31.186529610686566</v>
      </c>
      <c r="H16">
        <f t="shared" ca="1" si="45"/>
        <v>28.872443321718443</v>
      </c>
      <c r="I16">
        <f t="shared" ca="1" si="46"/>
        <v>33.851100962825086</v>
      </c>
      <c r="J16">
        <f t="shared" ca="1" si="47"/>
        <v>30.598364295049802</v>
      </c>
      <c r="K16">
        <f t="shared" ca="1" si="48"/>
        <v>31.102341507641164</v>
      </c>
      <c r="L16">
        <f t="shared" ca="1" si="49"/>
        <v>31.258951195720599</v>
      </c>
      <c r="M16">
        <f t="shared" ca="1" si="50"/>
        <v>32.485328699250594</v>
      </c>
      <c r="N16">
        <f t="shared" ca="1" si="51"/>
        <v>33.379420219759957</v>
      </c>
      <c r="O16">
        <f t="shared" ca="1" si="52"/>
        <v>31.419695489655954</v>
      </c>
      <c r="P16">
        <f t="shared" ca="1" si="53"/>
        <v>37.942171991407257</v>
      </c>
      <c r="Q16">
        <f t="shared" ca="1" si="54"/>
        <v>29.098062386396624</v>
      </c>
      <c r="R16">
        <f t="shared" ca="1" si="55"/>
        <v>30.967314346339261</v>
      </c>
      <c r="S16">
        <f t="shared" ca="1" si="56"/>
        <v>29.920348576319746</v>
      </c>
      <c r="T16">
        <f t="shared" ca="1" si="9"/>
        <v>33.930919016931135</v>
      </c>
      <c r="U16">
        <f t="shared" ca="1" si="10"/>
        <v>35.210225001745378</v>
      </c>
      <c r="V16">
        <f t="shared" ca="1" si="11"/>
        <v>35.304598625661711</v>
      </c>
      <c r="W16">
        <f t="shared" ca="1" si="12"/>
        <v>38.515082268468532</v>
      </c>
      <c r="X16">
        <f t="shared" ca="1" si="13"/>
        <v>30.893452701831272</v>
      </c>
      <c r="Y16">
        <f t="shared" ca="1" si="14"/>
        <v>44.467879645996739</v>
      </c>
      <c r="Z16">
        <f t="shared" ca="1" si="15"/>
        <v>30.572455815207658</v>
      </c>
      <c r="AA16">
        <f t="shared" ca="1" si="16"/>
        <v>35.420759624742779</v>
      </c>
      <c r="AB16">
        <f t="shared" ca="1" si="17"/>
        <v>36.441581959803301</v>
      </c>
      <c r="AC16">
        <f t="shared" ca="1" si="18"/>
        <v>30.136204760977456</v>
      </c>
      <c r="AD16">
        <f t="shared" ca="1" si="19"/>
        <v>32.210317555377017</v>
      </c>
      <c r="AE16">
        <f t="shared" ca="1" si="20"/>
        <v>34.237576493669685</v>
      </c>
      <c r="AF16">
        <f t="shared" ca="1" si="21"/>
        <v>32.68725443183807</v>
      </c>
      <c r="AG16">
        <f t="shared" ca="1" si="22"/>
        <v>32.289460483848885</v>
      </c>
      <c r="AH16">
        <f t="shared" ca="1" si="23"/>
        <v>31.508347855514419</v>
      </c>
      <c r="AI16">
        <f t="shared" ca="1" si="24"/>
        <v>38.762125070262371</v>
      </c>
      <c r="AJ16">
        <f t="shared" ca="1" si="25"/>
        <v>27.932812859459681</v>
      </c>
      <c r="AK16">
        <f t="shared" ca="1" si="26"/>
        <v>31.060223554627221</v>
      </c>
      <c r="AL16">
        <f t="shared" ca="1" si="27"/>
        <v>32.303971550983512</v>
      </c>
      <c r="AM16">
        <f t="shared" ca="1" si="28"/>
        <v>32.426890750250038</v>
      </c>
      <c r="AN16">
        <f t="shared" ca="1" si="29"/>
        <v>35.563272793046664</v>
      </c>
      <c r="AO16">
        <f t="shared" ca="1" si="30"/>
        <v>30.540601742760547</v>
      </c>
      <c r="AP16">
        <f t="shared" ca="1" si="31"/>
        <v>29.639068220605107</v>
      </c>
      <c r="AQ16">
        <f t="shared" ca="1" si="32"/>
        <v>32.800439826442847</v>
      </c>
      <c r="AR16">
        <f t="shared" ca="1" si="33"/>
        <v>32.597731692088573</v>
      </c>
      <c r="AS16">
        <f t="shared" ca="1" si="34"/>
        <v>33.613974369620493</v>
      </c>
      <c r="AT16">
        <f t="shared" ca="1" si="35"/>
        <v>35.710772299359967</v>
      </c>
      <c r="AU16">
        <f t="shared" ca="1" si="36"/>
        <v>38.167037356565835</v>
      </c>
      <c r="AV16">
        <f t="shared" ca="1" si="37"/>
        <v>33.249809642330291</v>
      </c>
      <c r="AW16">
        <f t="shared" ca="1" si="38"/>
        <v>29.162125350458417</v>
      </c>
      <c r="AX16">
        <f t="shared" ca="1" si="39"/>
        <v>37.189637444866385</v>
      </c>
      <c r="AY16">
        <f t="shared" ca="1" si="40"/>
        <v>35.259537371099597</v>
      </c>
      <c r="AZ16">
        <f t="shared" ca="1" si="41"/>
        <v>35.479891937934546</v>
      </c>
      <c r="BB16">
        <f t="shared" ca="1" si="7"/>
        <v>27.932812859459681</v>
      </c>
      <c r="BC16">
        <f t="shared" ca="1" si="8"/>
        <v>38.515082268468532</v>
      </c>
    </row>
    <row r="17" spans="1:55" x14ac:dyDescent="0.25">
      <c r="A17">
        <v>15</v>
      </c>
      <c r="B17">
        <f t="shared" si="5"/>
        <v>20.085536923187675</v>
      </c>
      <c r="C17">
        <f t="shared" ca="1" si="6"/>
        <v>41.956936721093406</v>
      </c>
      <c r="D17">
        <f t="shared" ca="1" si="6"/>
        <v>36.386304158527231</v>
      </c>
      <c r="E17">
        <f t="shared" ca="1" si="42"/>
        <v>38.832199606446189</v>
      </c>
      <c r="F17">
        <f t="shared" ca="1" si="43"/>
        <v>41.166789968680817</v>
      </c>
      <c r="G17">
        <f t="shared" ca="1" si="44"/>
        <v>39.913506537374353</v>
      </c>
      <c r="H17">
        <f t="shared" ca="1" si="45"/>
        <v>38.440822926984183</v>
      </c>
      <c r="I17">
        <f t="shared" ca="1" si="46"/>
        <v>41.394386316497041</v>
      </c>
      <c r="J17">
        <f t="shared" ca="1" si="47"/>
        <v>40.790409393284705</v>
      </c>
      <c r="K17">
        <f t="shared" ca="1" si="48"/>
        <v>38.47162046750708</v>
      </c>
      <c r="L17">
        <f t="shared" ca="1" si="49"/>
        <v>40.399781741175623</v>
      </c>
      <c r="M17">
        <f t="shared" ca="1" si="50"/>
        <v>40.336195389227548</v>
      </c>
      <c r="N17">
        <f t="shared" ca="1" si="51"/>
        <v>40.960362636953882</v>
      </c>
      <c r="O17">
        <f t="shared" ca="1" si="52"/>
        <v>38.922414100308181</v>
      </c>
      <c r="P17">
        <f t="shared" ca="1" si="53"/>
        <v>50.758203673235435</v>
      </c>
      <c r="Q17">
        <f t="shared" ca="1" si="54"/>
        <v>38.292715906601842</v>
      </c>
      <c r="R17">
        <f t="shared" ca="1" si="55"/>
        <v>40.451566707089953</v>
      </c>
      <c r="S17">
        <f t="shared" ca="1" si="56"/>
        <v>38.048987502724081</v>
      </c>
      <c r="T17">
        <f t="shared" ca="1" si="9"/>
        <v>43.969781867771296</v>
      </c>
      <c r="U17">
        <f t="shared" ca="1" si="10"/>
        <v>43.927742532260261</v>
      </c>
      <c r="V17">
        <f t="shared" ca="1" si="11"/>
        <v>45.589913009874138</v>
      </c>
      <c r="W17">
        <f t="shared" ca="1" si="12"/>
        <v>47.451739911025818</v>
      </c>
      <c r="X17">
        <f t="shared" ca="1" si="13"/>
        <v>37.933832910232724</v>
      </c>
      <c r="Y17">
        <f t="shared" ca="1" si="14"/>
        <v>55.663959627983665</v>
      </c>
      <c r="Z17">
        <f t="shared" ca="1" si="15"/>
        <v>39.931322368773777</v>
      </c>
      <c r="AA17">
        <f t="shared" ca="1" si="16"/>
        <v>47.633239846567577</v>
      </c>
      <c r="AB17">
        <f t="shared" ca="1" si="17"/>
        <v>48.238176445790678</v>
      </c>
      <c r="AC17">
        <f t="shared" ca="1" si="18"/>
        <v>39.847224789885935</v>
      </c>
      <c r="AD17">
        <f t="shared" ca="1" si="19"/>
        <v>41.054086412966448</v>
      </c>
      <c r="AE17">
        <f t="shared" ca="1" si="20"/>
        <v>44.291811262982513</v>
      </c>
      <c r="AF17">
        <f t="shared" ca="1" si="21"/>
        <v>42.125327337913703</v>
      </c>
      <c r="AG17">
        <f t="shared" ca="1" si="22"/>
        <v>40.309094102115445</v>
      </c>
      <c r="AH17">
        <f t="shared" ca="1" si="23"/>
        <v>40.102047862753899</v>
      </c>
      <c r="AI17">
        <f t="shared" ca="1" si="24"/>
        <v>49.971067510023026</v>
      </c>
      <c r="AJ17">
        <f t="shared" ca="1" si="25"/>
        <v>37.131092716718754</v>
      </c>
      <c r="AK17">
        <f t="shared" ca="1" si="26"/>
        <v>39.052314856035842</v>
      </c>
      <c r="AL17">
        <f t="shared" ca="1" si="27"/>
        <v>40.157192094014206</v>
      </c>
      <c r="AM17">
        <f t="shared" ca="1" si="28"/>
        <v>40.718082395013766</v>
      </c>
      <c r="AN17">
        <f t="shared" ca="1" si="29"/>
        <v>45.299917503356525</v>
      </c>
      <c r="AO17">
        <f t="shared" ca="1" si="30"/>
        <v>38.858953126906648</v>
      </c>
      <c r="AP17">
        <f t="shared" ca="1" si="31"/>
        <v>37.911615392802759</v>
      </c>
      <c r="AQ17">
        <f t="shared" ca="1" si="32"/>
        <v>40.754322654487311</v>
      </c>
      <c r="AR17">
        <f t="shared" ca="1" si="33"/>
        <v>40.736672529173539</v>
      </c>
      <c r="AS17">
        <f t="shared" ca="1" si="34"/>
        <v>42.557204179962035</v>
      </c>
      <c r="AT17">
        <f t="shared" ca="1" si="35"/>
        <v>46.247500699400945</v>
      </c>
      <c r="AU17">
        <f t="shared" ca="1" si="36"/>
        <v>50.843746988482792</v>
      </c>
      <c r="AV17">
        <f t="shared" ca="1" si="37"/>
        <v>42.727805725981618</v>
      </c>
      <c r="AW17">
        <f t="shared" ca="1" si="38"/>
        <v>37.096075789840256</v>
      </c>
      <c r="AX17">
        <f t="shared" ca="1" si="39"/>
        <v>50.083814641598536</v>
      </c>
      <c r="AY17">
        <f t="shared" ca="1" si="40"/>
        <v>47.077972806368898</v>
      </c>
      <c r="AZ17">
        <f t="shared" ca="1" si="41"/>
        <v>45.685288755209406</v>
      </c>
      <c r="BB17">
        <f t="shared" ca="1" si="7"/>
        <v>36.386304158527231</v>
      </c>
      <c r="BC17">
        <f t="shared" ca="1" si="8"/>
        <v>50.758203673235435</v>
      </c>
    </row>
    <row r="18" spans="1:55" x14ac:dyDescent="0.25">
      <c r="A18">
        <v>16</v>
      </c>
      <c r="B18">
        <f t="shared" si="5"/>
        <v>24.532530197109359</v>
      </c>
      <c r="C18">
        <f t="shared" ca="1" si="6"/>
        <v>55.993592412616962</v>
      </c>
      <c r="D18">
        <f t="shared" ca="1" si="6"/>
        <v>48.730020607734353</v>
      </c>
      <c r="E18">
        <f t="shared" ca="1" si="42"/>
        <v>49.585994138437449</v>
      </c>
      <c r="F18">
        <f t="shared" ca="1" si="43"/>
        <v>53.740815632518277</v>
      </c>
      <c r="G18">
        <f t="shared" ca="1" si="44"/>
        <v>51.711778030434999</v>
      </c>
      <c r="H18">
        <f t="shared" ca="1" si="45"/>
        <v>50.673099218170677</v>
      </c>
      <c r="I18">
        <f t="shared" ca="1" si="46"/>
        <v>55.278814959236563</v>
      </c>
      <c r="J18">
        <f t="shared" ca="1" si="47"/>
        <v>52.034679065492867</v>
      </c>
      <c r="K18">
        <f t="shared" ca="1" si="48"/>
        <v>48.826595404753341</v>
      </c>
      <c r="L18">
        <f t="shared" ca="1" si="49"/>
        <v>53.549917376189072</v>
      </c>
      <c r="M18">
        <f t="shared" ca="1" si="50"/>
        <v>52.53443646473643</v>
      </c>
      <c r="N18">
        <f t="shared" ca="1" si="51"/>
        <v>51.089801183599</v>
      </c>
      <c r="O18">
        <f t="shared" ca="1" si="52"/>
        <v>52.522110272870854</v>
      </c>
      <c r="P18">
        <f t="shared" ca="1" si="53"/>
        <v>66.20564561194081</v>
      </c>
      <c r="Q18">
        <f t="shared" ca="1" si="54"/>
        <v>47.460859177799307</v>
      </c>
      <c r="R18">
        <f t="shared" ca="1" si="55"/>
        <v>51.577493364555785</v>
      </c>
      <c r="S18">
        <f t="shared" ca="1" si="56"/>
        <v>50.146073985679649</v>
      </c>
      <c r="T18">
        <f t="shared" ca="1" si="9"/>
        <v>55.385029139262834</v>
      </c>
      <c r="U18">
        <f t="shared" ca="1" si="10"/>
        <v>56.201100042670006</v>
      </c>
      <c r="V18">
        <f t="shared" ca="1" si="11"/>
        <v>56.825659208945538</v>
      </c>
      <c r="W18">
        <f t="shared" ca="1" si="12"/>
        <v>59.754239262897443</v>
      </c>
      <c r="X18">
        <f t="shared" ca="1" si="13"/>
        <v>49.798725425664742</v>
      </c>
      <c r="Y18">
        <f t="shared" ca="1" si="14"/>
        <v>69.045160619638395</v>
      </c>
      <c r="Z18">
        <f t="shared" ca="1" si="15"/>
        <v>53.313032560033278</v>
      </c>
      <c r="AA18">
        <f t="shared" ca="1" si="16"/>
        <v>59.636194889498817</v>
      </c>
      <c r="AB18">
        <f t="shared" ca="1" si="17"/>
        <v>59.525473974741047</v>
      </c>
      <c r="AC18">
        <f t="shared" ca="1" si="18"/>
        <v>52.562373286750827</v>
      </c>
      <c r="AD18">
        <f t="shared" ca="1" si="19"/>
        <v>53.019741738585992</v>
      </c>
      <c r="AE18">
        <f t="shared" ca="1" si="20"/>
        <v>57.347105607081062</v>
      </c>
      <c r="AF18">
        <f t="shared" ca="1" si="21"/>
        <v>51.474815152646777</v>
      </c>
      <c r="AG18">
        <f t="shared" ca="1" si="22"/>
        <v>51.835309314034006</v>
      </c>
      <c r="AH18">
        <f t="shared" ca="1" si="23"/>
        <v>53.997377493331342</v>
      </c>
      <c r="AI18">
        <f t="shared" ca="1" si="24"/>
        <v>65.226596251767646</v>
      </c>
      <c r="AJ18">
        <f t="shared" ca="1" si="25"/>
        <v>45.537151566589834</v>
      </c>
      <c r="AK18">
        <f t="shared" ca="1" si="26"/>
        <v>49.716872590808165</v>
      </c>
      <c r="AL18">
        <f t="shared" ca="1" si="27"/>
        <v>53.063494543015366</v>
      </c>
      <c r="AM18">
        <f t="shared" ca="1" si="28"/>
        <v>49.781300175089157</v>
      </c>
      <c r="AN18">
        <f t="shared" ca="1" si="29"/>
        <v>58.373164183495263</v>
      </c>
      <c r="AO18">
        <f t="shared" ca="1" si="30"/>
        <v>48.413103157840112</v>
      </c>
      <c r="AP18">
        <f t="shared" ca="1" si="31"/>
        <v>49.436814455393275</v>
      </c>
      <c r="AQ18">
        <f t="shared" ca="1" si="32"/>
        <v>53.129960632068112</v>
      </c>
      <c r="AR18">
        <f t="shared" ca="1" si="33"/>
        <v>51.456571137087593</v>
      </c>
      <c r="AS18">
        <f t="shared" ca="1" si="34"/>
        <v>55.275771464422846</v>
      </c>
      <c r="AT18">
        <f t="shared" ca="1" si="35"/>
        <v>62.231354401916008</v>
      </c>
      <c r="AU18">
        <f t="shared" ca="1" si="36"/>
        <v>68.070022463569472</v>
      </c>
      <c r="AV18">
        <f t="shared" ca="1" si="37"/>
        <v>57.01003231188691</v>
      </c>
      <c r="AW18">
        <f t="shared" ca="1" si="38"/>
        <v>47.967525788498911</v>
      </c>
      <c r="AX18">
        <f t="shared" ca="1" si="39"/>
        <v>66.407106315358021</v>
      </c>
      <c r="AY18">
        <f t="shared" ca="1" si="40"/>
        <v>59.277491658767794</v>
      </c>
      <c r="AZ18">
        <f t="shared" ca="1" si="41"/>
        <v>56.539960762128452</v>
      </c>
      <c r="BB18">
        <f t="shared" ca="1" si="7"/>
        <v>45.537151566589834</v>
      </c>
      <c r="BC18">
        <f t="shared" ca="1" si="8"/>
        <v>66.407106315358021</v>
      </c>
    </row>
    <row r="19" spans="1:55" x14ac:dyDescent="0.25">
      <c r="A19">
        <v>17</v>
      </c>
      <c r="B19">
        <f t="shared" si="5"/>
        <v>29.964100047397029</v>
      </c>
      <c r="C19">
        <f t="shared" ca="1" si="6"/>
        <v>70.444776254027801</v>
      </c>
      <c r="D19">
        <f t="shared" ca="1" si="6"/>
        <v>64.369546272803063</v>
      </c>
      <c r="E19">
        <f t="shared" ca="1" si="42"/>
        <v>63.384959166949869</v>
      </c>
      <c r="F19">
        <f t="shared" ca="1" si="43"/>
        <v>71.339863933293699</v>
      </c>
      <c r="G19">
        <f t="shared" ca="1" si="44"/>
        <v>67.960689032134027</v>
      </c>
      <c r="H19">
        <f t="shared" ca="1" si="45"/>
        <v>67.317216887490304</v>
      </c>
      <c r="I19">
        <f t="shared" ca="1" si="46"/>
        <v>72.890758829924067</v>
      </c>
      <c r="J19">
        <f t="shared" ca="1" si="47"/>
        <v>65.581837344670191</v>
      </c>
      <c r="K19">
        <f t="shared" ca="1" si="48"/>
        <v>65.479684621513925</v>
      </c>
      <c r="L19">
        <f t="shared" ca="1" si="49"/>
        <v>70.974680662830337</v>
      </c>
      <c r="M19">
        <f t="shared" ca="1" si="50"/>
        <v>69.774513598774462</v>
      </c>
      <c r="N19">
        <f t="shared" ca="1" si="51"/>
        <v>64.701151272140066</v>
      </c>
      <c r="O19">
        <f t="shared" ca="1" si="52"/>
        <v>67.252781263932121</v>
      </c>
      <c r="P19">
        <f t="shared" ca="1" si="53"/>
        <v>86.774537100898371</v>
      </c>
      <c r="Q19">
        <f t="shared" ca="1" si="54"/>
        <v>63.218243372839929</v>
      </c>
      <c r="R19">
        <f t="shared" ca="1" si="55"/>
        <v>63.057253808171012</v>
      </c>
      <c r="S19">
        <f t="shared" ca="1" si="56"/>
        <v>65.632336743993164</v>
      </c>
      <c r="T19">
        <f t="shared" ca="1" si="9"/>
        <v>69.160478605085018</v>
      </c>
      <c r="U19">
        <f t="shared" ca="1" si="10"/>
        <v>71.138745551788276</v>
      </c>
      <c r="V19">
        <f t="shared" ca="1" si="11"/>
        <v>73.575380736000085</v>
      </c>
      <c r="W19">
        <f t="shared" ca="1" si="12"/>
        <v>79.231086969386254</v>
      </c>
      <c r="X19">
        <f t="shared" ca="1" si="13"/>
        <v>62.701514183899462</v>
      </c>
      <c r="Y19">
        <f t="shared" ca="1" si="14"/>
        <v>89.92877558741759</v>
      </c>
      <c r="Z19">
        <f t="shared" ca="1" si="15"/>
        <v>69.965190148928173</v>
      </c>
      <c r="AA19">
        <f t="shared" ca="1" si="16"/>
        <v>74.730143671343583</v>
      </c>
      <c r="AB19">
        <f t="shared" ca="1" si="17"/>
        <v>76.49328782291272</v>
      </c>
      <c r="AC19">
        <f t="shared" ca="1" si="18"/>
        <v>67.859200171199291</v>
      </c>
      <c r="AD19">
        <f t="shared" ca="1" si="19"/>
        <v>67.63254108215736</v>
      </c>
      <c r="AE19">
        <f t="shared" ca="1" si="20"/>
        <v>71.322577721909369</v>
      </c>
      <c r="AF19">
        <f t="shared" ca="1" si="21"/>
        <v>64.135304601767032</v>
      </c>
      <c r="AG19">
        <f t="shared" ca="1" si="22"/>
        <v>69.473278002316192</v>
      </c>
      <c r="AH19">
        <f t="shared" ca="1" si="23"/>
        <v>70.741969862858639</v>
      </c>
      <c r="AI19">
        <f t="shared" ca="1" si="24"/>
        <v>83.71312289020716</v>
      </c>
      <c r="AJ19">
        <f t="shared" ca="1" si="25"/>
        <v>57.459216971681556</v>
      </c>
      <c r="AK19">
        <f t="shared" ca="1" si="26"/>
        <v>64.974753361022763</v>
      </c>
      <c r="AL19">
        <f t="shared" ca="1" si="27"/>
        <v>68.417062148185352</v>
      </c>
      <c r="AM19">
        <f t="shared" ca="1" si="28"/>
        <v>64.565121449845606</v>
      </c>
      <c r="AN19">
        <f t="shared" ca="1" si="29"/>
        <v>71.324287011886398</v>
      </c>
      <c r="AO19">
        <f t="shared" ca="1" si="30"/>
        <v>64.642304470545298</v>
      </c>
      <c r="AP19">
        <f t="shared" ca="1" si="31"/>
        <v>60.997117300884</v>
      </c>
      <c r="AQ19">
        <f t="shared" ca="1" si="32"/>
        <v>69.304245707559659</v>
      </c>
      <c r="AR19">
        <f t="shared" ca="1" si="33"/>
        <v>63.977463754338764</v>
      </c>
      <c r="AS19">
        <f t="shared" ca="1" si="34"/>
        <v>74.201463892494601</v>
      </c>
      <c r="AT19">
        <f t="shared" ca="1" si="35"/>
        <v>83.57544482234529</v>
      </c>
      <c r="AU19">
        <f t="shared" ca="1" si="36"/>
        <v>87.388091927316466</v>
      </c>
      <c r="AV19">
        <f t="shared" ca="1" si="37"/>
        <v>75.183654108754538</v>
      </c>
      <c r="AW19">
        <f t="shared" ca="1" si="38"/>
        <v>59.720127409296026</v>
      </c>
      <c r="AX19">
        <f t="shared" ca="1" si="39"/>
        <v>84.79478476407381</v>
      </c>
      <c r="AY19">
        <f t="shared" ca="1" si="40"/>
        <v>74.785496431252326</v>
      </c>
      <c r="AZ19">
        <f t="shared" ca="1" si="41"/>
        <v>70.505145921345616</v>
      </c>
      <c r="BB19">
        <f t="shared" ca="1" si="7"/>
        <v>57.459216971681556</v>
      </c>
      <c r="BC19">
        <f t="shared" ca="1" si="8"/>
        <v>86.774537100898371</v>
      </c>
    </row>
    <row r="20" spans="1:55" x14ac:dyDescent="0.25">
      <c r="A20">
        <v>18</v>
      </c>
      <c r="B20">
        <f t="shared" si="5"/>
        <v>36.59823444367801</v>
      </c>
      <c r="C20">
        <f t="shared" ca="1" si="6"/>
        <v>87.830476780356307</v>
      </c>
      <c r="D20">
        <f t="shared" ca="1" si="6"/>
        <v>83.851740046245197</v>
      </c>
      <c r="E20">
        <f t="shared" ca="1" si="42"/>
        <v>84.023995916935263</v>
      </c>
      <c r="F20">
        <f t="shared" ca="1" si="43"/>
        <v>90.050835223573515</v>
      </c>
      <c r="G20">
        <f t="shared" ca="1" si="44"/>
        <v>83.417417094291196</v>
      </c>
      <c r="H20">
        <f t="shared" ca="1" si="45"/>
        <v>85.334213394104907</v>
      </c>
      <c r="I20">
        <f t="shared" ca="1" si="46"/>
        <v>97.134885021907223</v>
      </c>
      <c r="J20">
        <f t="shared" ca="1" si="47"/>
        <v>80.345427963878706</v>
      </c>
      <c r="K20">
        <f t="shared" ca="1" si="48"/>
        <v>88.12332751429993</v>
      </c>
      <c r="L20">
        <f t="shared" ca="1" si="49"/>
        <v>91.599909503954009</v>
      </c>
      <c r="M20">
        <f t="shared" ca="1" si="50"/>
        <v>92.267291336382925</v>
      </c>
      <c r="N20">
        <f t="shared" ca="1" si="51"/>
        <v>84.888379431481525</v>
      </c>
      <c r="O20">
        <f t="shared" ca="1" si="52"/>
        <v>84.757882898946633</v>
      </c>
      <c r="P20">
        <f t="shared" ca="1" si="53"/>
        <v>112.85158530567439</v>
      </c>
      <c r="Q20">
        <f t="shared" ca="1" si="54"/>
        <v>84.310314842842615</v>
      </c>
      <c r="R20">
        <f t="shared" ca="1" si="55"/>
        <v>77.857489380094833</v>
      </c>
      <c r="S20">
        <f t="shared" ca="1" si="56"/>
        <v>86.805780350907483</v>
      </c>
      <c r="T20">
        <f t="shared" ca="1" si="9"/>
        <v>86.768095868871882</v>
      </c>
      <c r="U20">
        <f t="shared" ca="1" si="10"/>
        <v>90.430302350898685</v>
      </c>
      <c r="V20">
        <f t="shared" ca="1" si="11"/>
        <v>91.551388630581471</v>
      </c>
      <c r="W20">
        <f t="shared" ca="1" si="12"/>
        <v>99.548980782684566</v>
      </c>
      <c r="X20">
        <f t="shared" ca="1" si="13"/>
        <v>77.223835841148585</v>
      </c>
      <c r="Y20">
        <f t="shared" ca="1" si="14"/>
        <v>119.22015268733634</v>
      </c>
      <c r="Z20">
        <f t="shared" ca="1" si="15"/>
        <v>86.661025597104725</v>
      </c>
      <c r="AA20">
        <f t="shared" ca="1" si="16"/>
        <v>95.626762357193996</v>
      </c>
      <c r="AB20">
        <f t="shared" ca="1" si="17"/>
        <v>98.031161054222309</v>
      </c>
      <c r="AC20">
        <f t="shared" ca="1" si="18"/>
        <v>85.766281251398894</v>
      </c>
      <c r="AD20">
        <f t="shared" ca="1" si="19"/>
        <v>86.322552275774228</v>
      </c>
      <c r="AE20">
        <f t="shared" ca="1" si="20"/>
        <v>91.611307342161737</v>
      </c>
      <c r="AF20">
        <f t="shared" ca="1" si="21"/>
        <v>82.178135335392795</v>
      </c>
      <c r="AG20">
        <f t="shared" ca="1" si="22"/>
        <v>85.919907243699626</v>
      </c>
      <c r="AH20">
        <f t="shared" ca="1" si="23"/>
        <v>92.264647306983704</v>
      </c>
      <c r="AI20">
        <f t="shared" ca="1" si="24"/>
        <v>107.8734674414565</v>
      </c>
      <c r="AJ20">
        <f t="shared" ca="1" si="25"/>
        <v>76.568268605539842</v>
      </c>
      <c r="AK20">
        <f t="shared" ca="1" si="26"/>
        <v>84.031844371646329</v>
      </c>
      <c r="AL20">
        <f t="shared" ca="1" si="27"/>
        <v>85.358800814359569</v>
      </c>
      <c r="AM20">
        <f t="shared" ca="1" si="28"/>
        <v>79.763671602855936</v>
      </c>
      <c r="AN20">
        <f t="shared" ca="1" si="29"/>
        <v>87.228781740831678</v>
      </c>
      <c r="AO20">
        <f t="shared" ca="1" si="30"/>
        <v>84.006180551878856</v>
      </c>
      <c r="AP20">
        <f t="shared" ca="1" si="31"/>
        <v>77.536467387965047</v>
      </c>
      <c r="AQ20">
        <f t="shared" ca="1" si="32"/>
        <v>87.15610709436136</v>
      </c>
      <c r="AR20">
        <f t="shared" ca="1" si="33"/>
        <v>85.396189595506129</v>
      </c>
      <c r="AS20">
        <f t="shared" ca="1" si="34"/>
        <v>92.717742261308047</v>
      </c>
      <c r="AT20">
        <f t="shared" ca="1" si="35"/>
        <v>105.9895358961865</v>
      </c>
      <c r="AU20">
        <f t="shared" ca="1" si="36"/>
        <v>110.23643517037368</v>
      </c>
      <c r="AV20">
        <f t="shared" ca="1" si="37"/>
        <v>95.718015141914719</v>
      </c>
      <c r="AW20">
        <f t="shared" ca="1" si="38"/>
        <v>74.208779722548471</v>
      </c>
      <c r="AX20">
        <f t="shared" ca="1" si="39"/>
        <v>108.97629763467231</v>
      </c>
      <c r="AY20">
        <f t="shared" ca="1" si="40"/>
        <v>97.080243872383733</v>
      </c>
      <c r="AZ20">
        <f t="shared" ca="1" si="41"/>
        <v>91.816695430904034</v>
      </c>
      <c r="BB20">
        <f t="shared" ca="1" si="7"/>
        <v>74.208779722548471</v>
      </c>
      <c r="BC20">
        <f t="shared" ca="1" si="8"/>
        <v>110.23643517037368</v>
      </c>
    </row>
    <row r="21" spans="1:55" x14ac:dyDescent="0.25">
      <c r="A21">
        <v>19</v>
      </c>
      <c r="B21">
        <f t="shared" si="5"/>
        <v>44.70118449330085</v>
      </c>
      <c r="C21">
        <f t="shared" ca="1" si="6"/>
        <v>109.43945339959988</v>
      </c>
      <c r="D21">
        <f t="shared" ca="1" si="6"/>
        <v>109.96469447046375</v>
      </c>
      <c r="E21">
        <f t="shared" ca="1" si="42"/>
        <v>107.58298100938909</v>
      </c>
      <c r="F21">
        <f t="shared" ca="1" si="43"/>
        <v>112.05805260312307</v>
      </c>
      <c r="G21">
        <f t="shared" ca="1" si="44"/>
        <v>102.11891900448808</v>
      </c>
      <c r="H21">
        <f t="shared" ca="1" si="45"/>
        <v>106.51580650928204</v>
      </c>
      <c r="I21">
        <f t="shared" ca="1" si="46"/>
        <v>119.5413218823344</v>
      </c>
      <c r="J21">
        <f t="shared" ca="1" si="47"/>
        <v>105.95121168628297</v>
      </c>
      <c r="K21">
        <f t="shared" ca="1" si="48"/>
        <v>113.1175852330252</v>
      </c>
      <c r="L21">
        <f t="shared" ca="1" si="49"/>
        <v>117.40359468429696</v>
      </c>
      <c r="M21">
        <f t="shared" ca="1" si="50"/>
        <v>123.31394132790051</v>
      </c>
      <c r="N21">
        <f t="shared" ca="1" si="51"/>
        <v>105.90814061994237</v>
      </c>
      <c r="O21">
        <f t="shared" ca="1" si="52"/>
        <v>108.73311449003563</v>
      </c>
      <c r="P21">
        <f t="shared" ca="1" si="53"/>
        <v>151.87038799036154</v>
      </c>
      <c r="Q21">
        <f t="shared" ca="1" si="54"/>
        <v>109.07997394162572</v>
      </c>
      <c r="R21">
        <f t="shared" ca="1" si="55"/>
        <v>104.73644832954368</v>
      </c>
      <c r="S21">
        <f t="shared" ca="1" si="56"/>
        <v>108.60668998505894</v>
      </c>
      <c r="T21">
        <f t="shared" ca="1" si="9"/>
        <v>116.13534521068493</v>
      </c>
      <c r="U21">
        <f t="shared" ca="1" si="10"/>
        <v>116.11884750222437</v>
      </c>
      <c r="V21">
        <f t="shared" ca="1" si="11"/>
        <v>121.58225702225251</v>
      </c>
      <c r="W21">
        <f t="shared" ca="1" si="12"/>
        <v>126.30483054085954</v>
      </c>
      <c r="X21">
        <f t="shared" ca="1" si="13"/>
        <v>96.154779836293798</v>
      </c>
      <c r="Y21">
        <f t="shared" ca="1" si="14"/>
        <v>146.49777524784631</v>
      </c>
      <c r="Z21">
        <f t="shared" ca="1" si="15"/>
        <v>108.99230314364245</v>
      </c>
      <c r="AA21">
        <f t="shared" ca="1" si="16"/>
        <v>122.32155115880718</v>
      </c>
      <c r="AB21">
        <f t="shared" ca="1" si="17"/>
        <v>126.66141994878049</v>
      </c>
      <c r="AC21">
        <f t="shared" ca="1" si="18"/>
        <v>113.10512473103732</v>
      </c>
      <c r="AD21">
        <f t="shared" ca="1" si="19"/>
        <v>110.27526076819223</v>
      </c>
      <c r="AE21">
        <f t="shared" ca="1" si="20"/>
        <v>117.47370890664378</v>
      </c>
      <c r="AF21">
        <f t="shared" ca="1" si="21"/>
        <v>107.05949390337121</v>
      </c>
      <c r="AG21">
        <f t="shared" ca="1" si="22"/>
        <v>109.33869428149873</v>
      </c>
      <c r="AH21">
        <f t="shared" ca="1" si="23"/>
        <v>122.35691728224936</v>
      </c>
      <c r="AI21">
        <f t="shared" ca="1" si="24"/>
        <v>132.36200632229728</v>
      </c>
      <c r="AJ21">
        <f t="shared" ca="1" si="25"/>
        <v>93.782188916548208</v>
      </c>
      <c r="AK21">
        <f t="shared" ca="1" si="26"/>
        <v>113.16513199834522</v>
      </c>
      <c r="AL21">
        <f t="shared" ca="1" si="27"/>
        <v>108.96564085122435</v>
      </c>
      <c r="AM21">
        <f t="shared" ca="1" si="28"/>
        <v>104.25814845642515</v>
      </c>
      <c r="AN21">
        <f t="shared" ca="1" si="29"/>
        <v>111.19362394855189</v>
      </c>
      <c r="AO21">
        <f t="shared" ca="1" si="30"/>
        <v>112.75228538747793</v>
      </c>
      <c r="AP21">
        <f t="shared" ca="1" si="31"/>
        <v>103.2236895524257</v>
      </c>
      <c r="AQ21">
        <f t="shared" ca="1" si="32"/>
        <v>111.42349836458105</v>
      </c>
      <c r="AR21">
        <f t="shared" ca="1" si="33"/>
        <v>107.66662315860545</v>
      </c>
      <c r="AS21">
        <f t="shared" ca="1" si="34"/>
        <v>118.52956764840769</v>
      </c>
      <c r="AT21">
        <f t="shared" ca="1" si="35"/>
        <v>132.00856746701544</v>
      </c>
      <c r="AU21">
        <f t="shared" ca="1" si="36"/>
        <v>147.27479065125999</v>
      </c>
      <c r="AV21">
        <f t="shared" ca="1" si="37"/>
        <v>124.84845717812473</v>
      </c>
      <c r="AW21">
        <f t="shared" ca="1" si="38"/>
        <v>98.397452884691845</v>
      </c>
      <c r="AX21">
        <f t="shared" ca="1" si="39"/>
        <v>147.05712578408495</v>
      </c>
      <c r="AY21">
        <f t="shared" ca="1" si="40"/>
        <v>128.1443428882348</v>
      </c>
      <c r="AZ21">
        <f t="shared" ca="1" si="41"/>
        <v>123.70609901906774</v>
      </c>
      <c r="BB21">
        <f t="shared" ca="1" si="7"/>
        <v>93.782188916548208</v>
      </c>
      <c r="BC21">
        <f t="shared" ca="1" si="8"/>
        <v>147.05712578408495</v>
      </c>
    </row>
    <row r="22" spans="1:55" x14ac:dyDescent="0.25">
      <c r="A22">
        <v>20</v>
      </c>
      <c r="B22">
        <f t="shared" si="5"/>
        <v>54.598150033144272</v>
      </c>
      <c r="C22">
        <f t="shared" ca="1" si="6"/>
        <v>144.11332102270129</v>
      </c>
      <c r="D22">
        <f t="shared" ca="1" si="6"/>
        <v>147.926835629397</v>
      </c>
      <c r="E22">
        <f t="shared" ca="1" si="42"/>
        <v>145.06153227824473</v>
      </c>
      <c r="F22">
        <f t="shared" ca="1" si="43"/>
        <v>139.75008512696743</v>
      </c>
      <c r="G22">
        <f t="shared" ca="1" si="44"/>
        <v>130.10456712554185</v>
      </c>
      <c r="H22">
        <f t="shared" ca="1" si="45"/>
        <v>132.30258769664175</v>
      </c>
      <c r="I22">
        <f t="shared" ca="1" si="46"/>
        <v>153.94958410874719</v>
      </c>
      <c r="J22">
        <f t="shared" ca="1" si="47"/>
        <v>129.78612635559253</v>
      </c>
      <c r="K22">
        <f t="shared" ca="1" si="48"/>
        <v>138.25026909418861</v>
      </c>
      <c r="L22">
        <f t="shared" ca="1" si="49"/>
        <v>150.33582503753124</v>
      </c>
      <c r="M22">
        <f t="shared" ca="1" si="50"/>
        <v>155.17665400563303</v>
      </c>
      <c r="N22">
        <f t="shared" ca="1" si="51"/>
        <v>130.75791712655095</v>
      </c>
      <c r="O22">
        <f t="shared" ca="1" si="52"/>
        <v>144.10573357971268</v>
      </c>
      <c r="P22">
        <f t="shared" ca="1" si="53"/>
        <v>202.31707447495165</v>
      </c>
      <c r="Q22">
        <f t="shared" ca="1" si="54"/>
        <v>145.46886505666075</v>
      </c>
      <c r="R22">
        <f t="shared" ca="1" si="55"/>
        <v>130.65755144064127</v>
      </c>
      <c r="S22">
        <f t="shared" ca="1" si="56"/>
        <v>141.62832277065627</v>
      </c>
      <c r="T22">
        <f t="shared" ca="1" si="9"/>
        <v>142.47368316371356</v>
      </c>
      <c r="U22">
        <f t="shared" ca="1" si="10"/>
        <v>153.08298624626985</v>
      </c>
      <c r="V22">
        <f t="shared" ca="1" si="11"/>
        <v>150.85852316708267</v>
      </c>
      <c r="W22">
        <f t="shared" ca="1" si="12"/>
        <v>159.14090207741185</v>
      </c>
      <c r="X22">
        <f t="shared" ca="1" si="13"/>
        <v>128.07757716498111</v>
      </c>
      <c r="Y22">
        <f t="shared" ca="1" si="14"/>
        <v>179.64264617675866</v>
      </c>
      <c r="Z22">
        <f t="shared" ca="1" si="15"/>
        <v>142.08229995333517</v>
      </c>
      <c r="AA22">
        <f t="shared" ca="1" si="16"/>
        <v>158.32634295557031</v>
      </c>
      <c r="AB22">
        <f t="shared" ca="1" si="17"/>
        <v>155.36328209215318</v>
      </c>
      <c r="AC22">
        <f t="shared" ca="1" si="18"/>
        <v>147.3298722157526</v>
      </c>
      <c r="AD22">
        <f t="shared" ca="1" si="19"/>
        <v>136.31223735933031</v>
      </c>
      <c r="AE22">
        <f t="shared" ca="1" si="20"/>
        <v>146.50712764440661</v>
      </c>
      <c r="AF22">
        <f t="shared" ca="1" si="21"/>
        <v>143.39202994846033</v>
      </c>
      <c r="AG22">
        <f t="shared" ca="1" si="22"/>
        <v>141.72599797959708</v>
      </c>
      <c r="AH22">
        <f t="shared" ca="1" si="23"/>
        <v>161.14198490664893</v>
      </c>
      <c r="AI22">
        <f t="shared" ca="1" si="24"/>
        <v>171.11903645926267</v>
      </c>
      <c r="AJ22">
        <f t="shared" ca="1" si="25"/>
        <v>120.97633247645237</v>
      </c>
      <c r="AK22">
        <f t="shared" ca="1" si="26"/>
        <v>150.23246302389796</v>
      </c>
      <c r="AL22">
        <f t="shared" ca="1" si="27"/>
        <v>134.38857556224198</v>
      </c>
      <c r="AM22">
        <f t="shared" ca="1" si="28"/>
        <v>136.05342417004232</v>
      </c>
      <c r="AN22">
        <f t="shared" ca="1" si="29"/>
        <v>137.13919838388981</v>
      </c>
      <c r="AO22">
        <f t="shared" ca="1" si="30"/>
        <v>147.3868045196657</v>
      </c>
      <c r="AP22">
        <f t="shared" ca="1" si="31"/>
        <v>129.63306286764762</v>
      </c>
      <c r="AQ22">
        <f t="shared" ca="1" si="32"/>
        <v>148.29104166159797</v>
      </c>
      <c r="AR22">
        <f t="shared" ca="1" si="33"/>
        <v>133.18996627458489</v>
      </c>
      <c r="AS22">
        <f t="shared" ca="1" si="34"/>
        <v>152.26365371073314</v>
      </c>
      <c r="AT22">
        <f t="shared" ca="1" si="35"/>
        <v>177.15923502702165</v>
      </c>
      <c r="AU22">
        <f t="shared" ca="1" si="36"/>
        <v>185.09120351031908</v>
      </c>
      <c r="AV22">
        <f t="shared" ca="1" si="37"/>
        <v>157.41335838627506</v>
      </c>
      <c r="AW22">
        <f t="shared" ca="1" si="38"/>
        <v>125.46032571436173</v>
      </c>
      <c r="AX22">
        <f t="shared" ca="1" si="39"/>
        <v>182.03472487372559</v>
      </c>
      <c r="AY22">
        <f t="shared" ca="1" si="40"/>
        <v>172.81276992045724</v>
      </c>
      <c r="AZ22">
        <f t="shared" ca="1" si="41"/>
        <v>155.45367818120459</v>
      </c>
      <c r="BB22">
        <f t="shared" ca="1" si="7"/>
        <v>120.97633247645237</v>
      </c>
      <c r="BC22">
        <f t="shared" ca="1" si="8"/>
        <v>182.03472487372559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Z23"/>
  <sheetViews>
    <sheetView workbookViewId="0">
      <selection activeCell="S25" sqref="S25"/>
    </sheetView>
  </sheetViews>
  <sheetFormatPr defaultRowHeight="15" x14ac:dyDescent="0.25"/>
  <sheetData>
    <row r="2" spans="1:52" x14ac:dyDescent="0.25">
      <c r="C2" t="s">
        <v>0</v>
      </c>
      <c r="D2" t="s">
        <v>6</v>
      </c>
      <c r="E2" t="s">
        <v>1</v>
      </c>
      <c r="F2" t="s">
        <v>2</v>
      </c>
      <c r="G2" t="s">
        <v>3</v>
      </c>
      <c r="H2" t="s">
        <v>6</v>
      </c>
      <c r="I2" t="s">
        <v>4</v>
      </c>
      <c r="L2" t="s">
        <v>5</v>
      </c>
    </row>
    <row r="3" spans="1:52" x14ac:dyDescent="0.25">
      <c r="A3">
        <v>0</v>
      </c>
      <c r="C3">
        <f>MIN(Dados!C2:AZ2)</f>
        <v>1</v>
      </c>
      <c r="D3">
        <f t="array" ref="D3">MAX(MAX(IF(Dados!C2:AZ2&lt;(E3-1.5*L3),Dados!C2:AZ2,-10000)),C3)</f>
        <v>1</v>
      </c>
      <c r="E3">
        <f>_xlfn.QUARTILE.INC(Dados!C2:AZ2,1)</f>
        <v>1</v>
      </c>
      <c r="F3">
        <f>MEDIAN(Dados!C2:AZ2)</f>
        <v>1</v>
      </c>
      <c r="G3">
        <f>_xlfn.QUARTILE.INC(Dados!C2:AZ2,3)</f>
        <v>1</v>
      </c>
      <c r="H3">
        <f t="array" ref="H3">MIN(MIN(IF(Dados!C2:AZ2&gt;(G3+1.5*L3),Dados!C2:AZ2,10000)),I3)</f>
        <v>1</v>
      </c>
      <c r="I3">
        <f>MAX(Dados!C2:AZ2)</f>
        <v>1</v>
      </c>
      <c r="L3">
        <f>G3-E3</f>
        <v>0</v>
      </c>
      <c r="N3">
        <f>P3-0.5</f>
        <v>0.5</v>
      </c>
      <c r="O3">
        <f>P3+0.5</f>
        <v>1.5</v>
      </c>
      <c r="P3">
        <v>1</v>
      </c>
      <c r="Q3">
        <f>P3</f>
        <v>1</v>
      </c>
      <c r="R3">
        <f>N3</f>
        <v>0.5</v>
      </c>
      <c r="S3">
        <f>N3</f>
        <v>0.5</v>
      </c>
      <c r="T3">
        <f>O3</f>
        <v>1.5</v>
      </c>
      <c r="U3">
        <f>O3</f>
        <v>1.5</v>
      </c>
      <c r="V3">
        <f>P3</f>
        <v>1</v>
      </c>
      <c r="W3">
        <f>P3</f>
        <v>1</v>
      </c>
      <c r="X3">
        <f>N3</f>
        <v>0.5</v>
      </c>
      <c r="Y3">
        <f>O3</f>
        <v>1.5</v>
      </c>
      <c r="Z3">
        <f>P3</f>
        <v>1</v>
      </c>
      <c r="AA3">
        <f>P3</f>
        <v>1</v>
      </c>
      <c r="AB3">
        <f>N3</f>
        <v>0.5</v>
      </c>
      <c r="AC3">
        <f>N3</f>
        <v>0.5</v>
      </c>
      <c r="AD3">
        <f>O3</f>
        <v>1.5</v>
      </c>
      <c r="AE3">
        <f>O3</f>
        <v>1.5</v>
      </c>
      <c r="AF3">
        <f>P3</f>
        <v>1</v>
      </c>
    </row>
    <row r="4" spans="1:52" x14ac:dyDescent="0.25">
      <c r="A4">
        <v>1</v>
      </c>
      <c r="C4">
        <f ca="1">MIN(Dados!C3:AZ3)</f>
        <v>1.2215753926405843</v>
      </c>
      <c r="D4">
        <f t="array" aca="1" ref="D4" ca="1">MAX(MAX(IF(Dados!C3:AZ3&lt;(E4-1.5*L4),Dados!C3:AZ3,-10000)),C4)</f>
        <v>1.2215753926405843</v>
      </c>
      <c r="E4">
        <f ca="1">QUARTILE(Dados!C3:AZ3,1)</f>
        <v>1.2449119566821207</v>
      </c>
      <c r="F4">
        <f ca="1">MEDIAN(Dados!C3:AZ3)</f>
        <v>1.2758757322065744</v>
      </c>
      <c r="G4">
        <f ca="1">QUARTILE(Dados!C3:AZ3,3)</f>
        <v>1.3037631688718436</v>
      </c>
      <c r="H4">
        <f t="array" aca="1" ref="H4" ca="1">MIN(MIN(IF(Dados!C3:AZ3&gt;(G4+1.5*L4),Dados!C3:AZ3,10000)),I4)</f>
        <v>1.3480091461350823</v>
      </c>
      <c r="I4">
        <f ca="1">MAX(Dados!C3:AZ3)</f>
        <v>1.3480091461350823</v>
      </c>
      <c r="K4">
        <f ca="1">G4+1.5*L4</f>
        <v>1.392039987156428</v>
      </c>
      <c r="L4">
        <f ca="1">G4-E4</f>
        <v>5.885121218972289E-2</v>
      </c>
      <c r="N4">
        <f ca="1">D4</f>
        <v>1.2215753926405843</v>
      </c>
      <c r="O4">
        <f ca="1">N4</f>
        <v>1.2215753926405843</v>
      </c>
      <c r="P4">
        <f ca="1">O4</f>
        <v>1.2215753926405843</v>
      </c>
      <c r="Q4">
        <f ca="1">E4</f>
        <v>1.2449119566821207</v>
      </c>
      <c r="R4">
        <f ca="1">Q4</f>
        <v>1.2449119566821207</v>
      </c>
      <c r="S4">
        <f ca="1">F4</f>
        <v>1.2758757322065744</v>
      </c>
      <c r="T4">
        <f ca="1">S4</f>
        <v>1.2758757322065744</v>
      </c>
      <c r="U4">
        <f ca="1">G4</f>
        <v>1.3037631688718436</v>
      </c>
      <c r="V4">
        <f ca="1">U4</f>
        <v>1.3037631688718436</v>
      </c>
      <c r="W4">
        <f ca="1">H4</f>
        <v>1.3480091461350823</v>
      </c>
      <c r="X4">
        <f ca="1">W4</f>
        <v>1.3480091461350823</v>
      </c>
      <c r="Y4">
        <f ca="1">X4</f>
        <v>1.3480091461350823</v>
      </c>
      <c r="Z4">
        <f ca="1">Y4</f>
        <v>1.3480091461350823</v>
      </c>
      <c r="AA4">
        <f ca="1">V4</f>
        <v>1.3037631688718436</v>
      </c>
      <c r="AB4">
        <f ca="1">AA4</f>
        <v>1.3037631688718436</v>
      </c>
      <c r="AC4">
        <f ca="1">T4</f>
        <v>1.2758757322065744</v>
      </c>
      <c r="AD4">
        <f ca="1">AC4</f>
        <v>1.2758757322065744</v>
      </c>
      <c r="AE4">
        <f ca="1">R4</f>
        <v>1.2449119566821207</v>
      </c>
      <c r="AF4">
        <f ca="1">AE4</f>
        <v>1.2449119566821207</v>
      </c>
      <c r="AH4">
        <f>AJ4-0.4</f>
        <v>0.6</v>
      </c>
      <c r="AI4">
        <f>AJ4+0.4</f>
        <v>1.4</v>
      </c>
      <c r="AJ4">
        <v>1</v>
      </c>
      <c r="AK4">
        <f>AJ4</f>
        <v>1</v>
      </c>
      <c r="AL4">
        <f>AH4</f>
        <v>0.6</v>
      </c>
      <c r="AM4">
        <f>AH4</f>
        <v>0.6</v>
      </c>
      <c r="AN4">
        <f>AI4</f>
        <v>1.4</v>
      </c>
      <c r="AO4">
        <f>AI4</f>
        <v>1.4</v>
      </c>
      <c r="AP4">
        <f>AJ4</f>
        <v>1</v>
      </c>
      <c r="AQ4">
        <f>AJ4</f>
        <v>1</v>
      </c>
      <c r="AR4">
        <f>AH4</f>
        <v>0.6</v>
      </c>
      <c r="AS4">
        <f>AI4</f>
        <v>1.4</v>
      </c>
      <c r="AT4">
        <f>AJ4</f>
        <v>1</v>
      </c>
      <c r="AU4">
        <f>AJ4</f>
        <v>1</v>
      </c>
      <c r="AV4">
        <f>AH4</f>
        <v>0.6</v>
      </c>
      <c r="AW4">
        <f>AH4</f>
        <v>0.6</v>
      </c>
      <c r="AX4">
        <f>AI4</f>
        <v>1.4</v>
      </c>
      <c r="AY4">
        <f>AI4</f>
        <v>1.4</v>
      </c>
      <c r="AZ4">
        <f>AJ4</f>
        <v>1</v>
      </c>
    </row>
    <row r="5" spans="1:52" x14ac:dyDescent="0.25">
      <c r="A5">
        <v>2</v>
      </c>
      <c r="C5">
        <f ca="1">MIN(Dados!C4:AZ4)</f>
        <v>1.5335783170049955</v>
      </c>
      <c r="D5">
        <f t="array" aca="1" ref="D5" ca="1">MAX(MAX(IF(Dados!C4:AZ4&lt;(E5-1.5*L5),Dados!C4:AZ4,-10000)),C5)</f>
        <v>1.5335783170049955</v>
      </c>
      <c r="E5">
        <f ca="1">QUARTILE(Dados!C4:AZ4,1)</f>
        <v>1.6185016107457142</v>
      </c>
      <c r="F5">
        <f ca="1">MEDIAN(Dados!C4:AZ4)</f>
        <v>1.6434860281977661</v>
      </c>
      <c r="G5">
        <f ca="1">QUARTILE(Dados!C4:AZ4,3)</f>
        <v>1.6764298271954319</v>
      </c>
      <c r="H5">
        <f t="array" aca="1" ref="H5" ca="1">MIN(MIN(IF(Dados!C4:AZ4&gt;(G5+1.5*L5),Dados!C4:AZ4,10000)),I5)</f>
        <v>1.8103848650011531</v>
      </c>
      <c r="I5">
        <f ca="1">MAX(Dados!C4:AZ4)</f>
        <v>1.8103848650011531</v>
      </c>
      <c r="K5">
        <f t="shared" ref="K5:K23" ca="1" si="0">G5+1.5*L5</f>
        <v>1.7633221518700084</v>
      </c>
      <c r="L5">
        <f t="shared" ref="L5:L23" ca="1" si="1">G5-E5</f>
        <v>5.7928216449717684E-2</v>
      </c>
      <c r="N5">
        <f t="shared" ref="N5:N23" ca="1" si="2">D5</f>
        <v>1.5335783170049955</v>
      </c>
      <c r="O5">
        <f t="shared" ref="O5:P5" ca="1" si="3">N5</f>
        <v>1.5335783170049955</v>
      </c>
      <c r="P5">
        <f t="shared" ca="1" si="3"/>
        <v>1.5335783170049955</v>
      </c>
      <c r="Q5">
        <f t="shared" ref="Q5:Q23" ca="1" si="4">E5</f>
        <v>1.6185016107457142</v>
      </c>
      <c r="R5">
        <f t="shared" ref="R5:R23" ca="1" si="5">Q5</f>
        <v>1.6185016107457142</v>
      </c>
      <c r="S5">
        <f t="shared" ref="S5:S23" ca="1" si="6">F5</f>
        <v>1.6434860281977661</v>
      </c>
      <c r="T5">
        <f t="shared" ref="T5:T23" ca="1" si="7">S5</f>
        <v>1.6434860281977661</v>
      </c>
      <c r="U5">
        <f t="shared" ref="U5:U23" ca="1" si="8">G5</f>
        <v>1.6764298271954319</v>
      </c>
      <c r="V5">
        <f t="shared" ref="V5:V23" ca="1" si="9">U5</f>
        <v>1.6764298271954319</v>
      </c>
      <c r="W5">
        <f t="shared" ref="W5:W23" ca="1" si="10">H5</f>
        <v>1.8103848650011531</v>
      </c>
      <c r="X5">
        <f t="shared" ref="X5:Z5" ca="1" si="11">W5</f>
        <v>1.8103848650011531</v>
      </c>
      <c r="Y5">
        <f t="shared" ca="1" si="11"/>
        <v>1.8103848650011531</v>
      </c>
      <c r="Z5">
        <f t="shared" ca="1" si="11"/>
        <v>1.8103848650011531</v>
      </c>
      <c r="AA5">
        <f t="shared" ref="AA5:AA23" ca="1" si="12">V5</f>
        <v>1.6764298271954319</v>
      </c>
      <c r="AB5">
        <f t="shared" ref="AB5:AB23" ca="1" si="13">AA5</f>
        <v>1.6764298271954319</v>
      </c>
      <c r="AC5">
        <f t="shared" ref="AC5:AC23" ca="1" si="14">T5</f>
        <v>1.6434860281977661</v>
      </c>
      <c r="AD5">
        <f t="shared" ref="AD5:AD23" ca="1" si="15">AC5</f>
        <v>1.6434860281977661</v>
      </c>
      <c r="AE5">
        <f t="shared" ref="AE5:AE23" ca="1" si="16">R5</f>
        <v>1.6185016107457142</v>
      </c>
      <c r="AF5">
        <f t="shared" ref="AF5:AF23" ca="1" si="17">AE5</f>
        <v>1.6185016107457142</v>
      </c>
      <c r="AH5">
        <f t="shared" ref="AH5:AH23" si="18">AJ5-0.4</f>
        <v>1.6</v>
      </c>
      <c r="AI5">
        <f t="shared" ref="AI5:AI23" si="19">AJ5+0.4</f>
        <v>2.4</v>
      </c>
      <c r="AJ5">
        <f>AJ4+1</f>
        <v>2</v>
      </c>
      <c r="AK5">
        <f t="shared" ref="AK5:AK23" si="20">AJ5</f>
        <v>2</v>
      </c>
      <c r="AL5">
        <f t="shared" ref="AL5:AL23" si="21">AH5</f>
        <v>1.6</v>
      </c>
      <c r="AM5">
        <f t="shared" ref="AM5:AM23" si="22">AH5</f>
        <v>1.6</v>
      </c>
      <c r="AN5">
        <f t="shared" ref="AN5:AN23" si="23">AI5</f>
        <v>2.4</v>
      </c>
      <c r="AO5">
        <f t="shared" ref="AO5:AO23" si="24">AI5</f>
        <v>2.4</v>
      </c>
      <c r="AP5">
        <f t="shared" ref="AP5:AP23" si="25">AJ5</f>
        <v>2</v>
      </c>
      <c r="AQ5">
        <f t="shared" ref="AQ5:AQ23" si="26">AJ5</f>
        <v>2</v>
      </c>
      <c r="AR5">
        <f t="shared" ref="AR5:AR23" si="27">AH5</f>
        <v>1.6</v>
      </c>
      <c r="AS5">
        <f t="shared" ref="AS5:AS23" si="28">AI5</f>
        <v>2.4</v>
      </c>
      <c r="AT5">
        <f t="shared" ref="AT5:AT23" si="29">AJ5</f>
        <v>2</v>
      </c>
      <c r="AU5">
        <f t="shared" ref="AU5:AU23" si="30">AJ5</f>
        <v>2</v>
      </c>
      <c r="AV5">
        <f t="shared" ref="AV5:AV23" si="31">AH5</f>
        <v>1.6</v>
      </c>
      <c r="AW5">
        <f t="shared" ref="AW5:AW23" si="32">AH5</f>
        <v>1.6</v>
      </c>
      <c r="AX5">
        <f t="shared" ref="AX5:AX23" si="33">AI5</f>
        <v>2.4</v>
      </c>
      <c r="AY5">
        <f t="shared" ref="AY5:AY23" si="34">AI5</f>
        <v>2.4</v>
      </c>
      <c r="AZ5">
        <f t="shared" ref="AZ5:AZ23" si="35">AJ5</f>
        <v>2</v>
      </c>
    </row>
    <row r="6" spans="1:52" x14ac:dyDescent="0.25">
      <c r="A6">
        <v>3</v>
      </c>
      <c r="C6">
        <f ca="1">MIN(Dados!C5:AZ5)</f>
        <v>1.9744318229486237</v>
      </c>
      <c r="D6">
        <f t="array" aca="1" ref="D6" ca="1">MAX(MAX(IF(Dados!C5:AZ5&lt;(E6-1.5*L6),Dados!C5:AZ5,-10000)),C6)</f>
        <v>1.9744318229486237</v>
      </c>
      <c r="E6">
        <f ca="1">QUARTILE(Dados!C5:AZ5,1)</f>
        <v>2.0632150911131544</v>
      </c>
      <c r="F6">
        <f ca="1">MEDIAN(Dados!C5:AZ5)</f>
        <v>2.1045242388059435</v>
      </c>
      <c r="G6">
        <f ca="1">QUARTILE(Dados!C5:AZ5,3)</f>
        <v>2.181753207444356</v>
      </c>
      <c r="H6">
        <f t="array" aca="1" ref="H6" ca="1">MIN(MIN(IF(Dados!C5:AZ5&gt;(G6+1.5*L6),Dados!C5:AZ5,10000)),I6)</f>
        <v>2.351360800988239</v>
      </c>
      <c r="I6">
        <f ca="1">MAX(Dados!C5:AZ5)</f>
        <v>2.351360800988239</v>
      </c>
      <c r="K6">
        <f t="shared" ca="1" si="0"/>
        <v>2.3595603819411584</v>
      </c>
      <c r="L6">
        <f t="shared" ca="1" si="1"/>
        <v>0.11853811633120159</v>
      </c>
      <c r="N6">
        <f t="shared" ca="1" si="2"/>
        <v>1.9744318229486237</v>
      </c>
      <c r="O6">
        <f t="shared" ref="O6:P6" ca="1" si="36">N6</f>
        <v>1.9744318229486237</v>
      </c>
      <c r="P6">
        <f t="shared" ca="1" si="36"/>
        <v>1.9744318229486237</v>
      </c>
      <c r="Q6">
        <f t="shared" ca="1" si="4"/>
        <v>2.0632150911131544</v>
      </c>
      <c r="R6">
        <f t="shared" ca="1" si="5"/>
        <v>2.0632150911131544</v>
      </c>
      <c r="S6">
        <f t="shared" ca="1" si="6"/>
        <v>2.1045242388059435</v>
      </c>
      <c r="T6">
        <f t="shared" ca="1" si="7"/>
        <v>2.1045242388059435</v>
      </c>
      <c r="U6">
        <f t="shared" ca="1" si="8"/>
        <v>2.181753207444356</v>
      </c>
      <c r="V6">
        <f t="shared" ca="1" si="9"/>
        <v>2.181753207444356</v>
      </c>
      <c r="W6">
        <f t="shared" ca="1" si="10"/>
        <v>2.351360800988239</v>
      </c>
      <c r="X6">
        <f t="shared" ref="X6:Z6" ca="1" si="37">W6</f>
        <v>2.351360800988239</v>
      </c>
      <c r="Y6">
        <f t="shared" ca="1" si="37"/>
        <v>2.351360800988239</v>
      </c>
      <c r="Z6">
        <f t="shared" ca="1" si="37"/>
        <v>2.351360800988239</v>
      </c>
      <c r="AA6">
        <f t="shared" ca="1" si="12"/>
        <v>2.181753207444356</v>
      </c>
      <c r="AB6">
        <f t="shared" ca="1" si="13"/>
        <v>2.181753207444356</v>
      </c>
      <c r="AC6">
        <f t="shared" ca="1" si="14"/>
        <v>2.1045242388059435</v>
      </c>
      <c r="AD6">
        <f t="shared" ca="1" si="15"/>
        <v>2.1045242388059435</v>
      </c>
      <c r="AE6">
        <f t="shared" ca="1" si="16"/>
        <v>2.0632150911131544</v>
      </c>
      <c r="AF6">
        <f t="shared" ca="1" si="17"/>
        <v>2.0632150911131544</v>
      </c>
      <c r="AH6">
        <f t="shared" si="18"/>
        <v>2.6</v>
      </c>
      <c r="AI6">
        <f t="shared" si="19"/>
        <v>3.4</v>
      </c>
      <c r="AJ6">
        <f t="shared" ref="AJ6:AJ23" si="38">AJ5+1</f>
        <v>3</v>
      </c>
      <c r="AK6">
        <f t="shared" si="20"/>
        <v>3</v>
      </c>
      <c r="AL6">
        <f t="shared" si="21"/>
        <v>2.6</v>
      </c>
      <c r="AM6">
        <f t="shared" si="22"/>
        <v>2.6</v>
      </c>
      <c r="AN6">
        <f t="shared" si="23"/>
        <v>3.4</v>
      </c>
      <c r="AO6">
        <f t="shared" si="24"/>
        <v>3.4</v>
      </c>
      <c r="AP6">
        <f t="shared" si="25"/>
        <v>3</v>
      </c>
      <c r="AQ6">
        <f t="shared" si="26"/>
        <v>3</v>
      </c>
      <c r="AR6">
        <f t="shared" si="27"/>
        <v>2.6</v>
      </c>
      <c r="AS6">
        <f t="shared" si="28"/>
        <v>3.4</v>
      </c>
      <c r="AT6">
        <f t="shared" si="29"/>
        <v>3</v>
      </c>
      <c r="AU6">
        <f t="shared" si="30"/>
        <v>3</v>
      </c>
      <c r="AV6">
        <f t="shared" si="31"/>
        <v>2.6</v>
      </c>
      <c r="AW6">
        <f t="shared" si="32"/>
        <v>2.6</v>
      </c>
      <c r="AX6">
        <f t="shared" si="33"/>
        <v>3.4</v>
      </c>
      <c r="AY6">
        <f t="shared" si="34"/>
        <v>3.4</v>
      </c>
      <c r="AZ6">
        <f t="shared" si="35"/>
        <v>3</v>
      </c>
    </row>
    <row r="7" spans="1:52" x14ac:dyDescent="0.25">
      <c r="A7">
        <v>4</v>
      </c>
      <c r="C7">
        <f ca="1">MIN(Dados!C6:AZ6)</f>
        <v>2.4664263777867665</v>
      </c>
      <c r="D7">
        <f t="array" aca="1" ref="D7" ca="1">MAX(MAX(IF(Dados!C6:AZ6&lt;(E7-1.5*L7),Dados!C6:AZ6,-10000)),C7)</f>
        <v>2.4664263777867665</v>
      </c>
      <c r="E7">
        <f ca="1">QUARTILE(Dados!C6:AZ6,1)</f>
        <v>2.625962247232688</v>
      </c>
      <c r="F7">
        <f ca="1">MEDIAN(Dados!C6:AZ6)</f>
        <v>2.7330717922093313</v>
      </c>
      <c r="G7">
        <f ca="1">QUARTILE(Dados!C6:AZ6,3)</f>
        <v>2.8175763681822081</v>
      </c>
      <c r="H7">
        <f t="array" aca="1" ref="H7" ca="1">MIN(MIN(IF(Dados!C6:AZ6&gt;(G7+1.5*L7),Dados!C6:AZ6,10000)),I7)</f>
        <v>3.1346689589648649</v>
      </c>
      <c r="I7">
        <f ca="1">MAX(Dados!C6:AZ6)</f>
        <v>3.1346689589648649</v>
      </c>
      <c r="K7">
        <f t="shared" ca="1" si="0"/>
        <v>3.1049975496064883</v>
      </c>
      <c r="L7">
        <f t="shared" ca="1" si="1"/>
        <v>0.19161412094952013</v>
      </c>
      <c r="N7">
        <f t="shared" ca="1" si="2"/>
        <v>2.4664263777867665</v>
      </c>
      <c r="O7">
        <f t="shared" ref="O7:P7" ca="1" si="39">N7</f>
        <v>2.4664263777867665</v>
      </c>
      <c r="P7">
        <f t="shared" ca="1" si="39"/>
        <v>2.4664263777867665</v>
      </c>
      <c r="Q7">
        <f t="shared" ca="1" si="4"/>
        <v>2.625962247232688</v>
      </c>
      <c r="R7">
        <f t="shared" ca="1" si="5"/>
        <v>2.625962247232688</v>
      </c>
      <c r="S7">
        <f t="shared" ca="1" si="6"/>
        <v>2.7330717922093313</v>
      </c>
      <c r="T7">
        <f t="shared" ca="1" si="7"/>
        <v>2.7330717922093313</v>
      </c>
      <c r="U7">
        <f t="shared" ca="1" si="8"/>
        <v>2.8175763681822081</v>
      </c>
      <c r="V7">
        <f t="shared" ca="1" si="9"/>
        <v>2.8175763681822081</v>
      </c>
      <c r="W7">
        <f t="shared" ca="1" si="10"/>
        <v>3.1346689589648649</v>
      </c>
      <c r="X7">
        <f t="shared" ref="X7:Z7" ca="1" si="40">W7</f>
        <v>3.1346689589648649</v>
      </c>
      <c r="Y7">
        <f t="shared" ca="1" si="40"/>
        <v>3.1346689589648649</v>
      </c>
      <c r="Z7">
        <f t="shared" ca="1" si="40"/>
        <v>3.1346689589648649</v>
      </c>
      <c r="AA7">
        <f t="shared" ca="1" si="12"/>
        <v>2.8175763681822081</v>
      </c>
      <c r="AB7">
        <f t="shared" ca="1" si="13"/>
        <v>2.8175763681822081</v>
      </c>
      <c r="AC7">
        <f t="shared" ca="1" si="14"/>
        <v>2.7330717922093313</v>
      </c>
      <c r="AD7">
        <f t="shared" ca="1" si="15"/>
        <v>2.7330717922093313</v>
      </c>
      <c r="AE7">
        <f t="shared" ca="1" si="16"/>
        <v>2.625962247232688</v>
      </c>
      <c r="AF7">
        <f t="shared" ca="1" si="17"/>
        <v>2.625962247232688</v>
      </c>
      <c r="AH7">
        <f t="shared" si="18"/>
        <v>3.6</v>
      </c>
      <c r="AI7">
        <f t="shared" si="19"/>
        <v>4.4000000000000004</v>
      </c>
      <c r="AJ7">
        <f t="shared" si="38"/>
        <v>4</v>
      </c>
      <c r="AK7">
        <f t="shared" si="20"/>
        <v>4</v>
      </c>
      <c r="AL7">
        <f t="shared" si="21"/>
        <v>3.6</v>
      </c>
      <c r="AM7">
        <f t="shared" si="22"/>
        <v>3.6</v>
      </c>
      <c r="AN7">
        <f t="shared" si="23"/>
        <v>4.4000000000000004</v>
      </c>
      <c r="AO7">
        <f t="shared" si="24"/>
        <v>4.4000000000000004</v>
      </c>
      <c r="AP7">
        <f t="shared" si="25"/>
        <v>4</v>
      </c>
      <c r="AQ7">
        <f t="shared" si="26"/>
        <v>4</v>
      </c>
      <c r="AR7">
        <f t="shared" si="27"/>
        <v>3.6</v>
      </c>
      <c r="AS7">
        <f t="shared" si="28"/>
        <v>4.4000000000000004</v>
      </c>
      <c r="AT7">
        <f t="shared" si="29"/>
        <v>4</v>
      </c>
      <c r="AU7">
        <f t="shared" si="30"/>
        <v>4</v>
      </c>
      <c r="AV7">
        <f t="shared" si="31"/>
        <v>3.6</v>
      </c>
      <c r="AW7">
        <f t="shared" si="32"/>
        <v>3.6</v>
      </c>
      <c r="AX7">
        <f t="shared" si="33"/>
        <v>4.4000000000000004</v>
      </c>
      <c r="AY7">
        <f t="shared" si="34"/>
        <v>4.4000000000000004</v>
      </c>
      <c r="AZ7">
        <f t="shared" si="35"/>
        <v>4</v>
      </c>
    </row>
    <row r="8" spans="1:52" x14ac:dyDescent="0.25">
      <c r="A8">
        <v>5</v>
      </c>
      <c r="C8">
        <f ca="1">MIN(Dados!C7:AZ7)</f>
        <v>3.1425118333590278</v>
      </c>
      <c r="D8">
        <f t="array" aca="1" ref="D8" ca="1">MAX(MAX(IF(Dados!C7:AZ7&lt;(E8-1.5*L8),Dados!C7:AZ7,-10000)),C8)</f>
        <v>3.1425118333590278</v>
      </c>
      <c r="E8">
        <f ca="1">QUARTILE(Dados!C7:AZ7,1)</f>
        <v>3.3937656287136608</v>
      </c>
      <c r="F8">
        <f ca="1">MEDIAN(Dados!C7:AZ7)</f>
        <v>3.5365199991045455</v>
      </c>
      <c r="G8">
        <f ca="1">QUARTILE(Dados!C7:AZ7,3)</f>
        <v>3.6459665613083483</v>
      </c>
      <c r="H8">
        <f t="array" aca="1" ref="H8" ca="1">MIN(MIN(IF(Dados!C7:AZ7&gt;(G8+1.5*L8),Dados!C7:AZ7,10000)),I8)</f>
        <v>4.1218485934403937</v>
      </c>
      <c r="I8">
        <f ca="1">MAX(Dados!C7:AZ7)</f>
        <v>4.1218485934403937</v>
      </c>
      <c r="K8">
        <f t="shared" ca="1" si="0"/>
        <v>4.0242679602003797</v>
      </c>
      <c r="L8">
        <f t="shared" ca="1" si="1"/>
        <v>0.25220093259468745</v>
      </c>
      <c r="N8">
        <f t="shared" ca="1" si="2"/>
        <v>3.1425118333590278</v>
      </c>
      <c r="O8">
        <f t="shared" ref="O8:P8" ca="1" si="41">N8</f>
        <v>3.1425118333590278</v>
      </c>
      <c r="P8">
        <f t="shared" ca="1" si="41"/>
        <v>3.1425118333590278</v>
      </c>
      <c r="Q8">
        <f t="shared" ca="1" si="4"/>
        <v>3.3937656287136608</v>
      </c>
      <c r="R8">
        <f t="shared" ca="1" si="5"/>
        <v>3.3937656287136608</v>
      </c>
      <c r="S8">
        <f t="shared" ca="1" si="6"/>
        <v>3.5365199991045455</v>
      </c>
      <c r="T8">
        <f t="shared" ca="1" si="7"/>
        <v>3.5365199991045455</v>
      </c>
      <c r="U8">
        <f t="shared" ca="1" si="8"/>
        <v>3.6459665613083483</v>
      </c>
      <c r="V8">
        <f t="shared" ca="1" si="9"/>
        <v>3.6459665613083483</v>
      </c>
      <c r="W8">
        <f t="shared" ca="1" si="10"/>
        <v>4.1218485934403937</v>
      </c>
      <c r="X8">
        <f t="shared" ref="X8:Z8" ca="1" si="42">W8</f>
        <v>4.1218485934403937</v>
      </c>
      <c r="Y8">
        <f t="shared" ca="1" si="42"/>
        <v>4.1218485934403937</v>
      </c>
      <c r="Z8">
        <f t="shared" ca="1" si="42"/>
        <v>4.1218485934403937</v>
      </c>
      <c r="AA8">
        <f t="shared" ca="1" si="12"/>
        <v>3.6459665613083483</v>
      </c>
      <c r="AB8">
        <f t="shared" ca="1" si="13"/>
        <v>3.6459665613083483</v>
      </c>
      <c r="AC8">
        <f t="shared" ca="1" si="14"/>
        <v>3.5365199991045455</v>
      </c>
      <c r="AD8">
        <f t="shared" ca="1" si="15"/>
        <v>3.5365199991045455</v>
      </c>
      <c r="AE8">
        <f t="shared" ca="1" si="16"/>
        <v>3.3937656287136608</v>
      </c>
      <c r="AF8">
        <f t="shared" ca="1" si="17"/>
        <v>3.3937656287136608</v>
      </c>
      <c r="AH8">
        <f t="shared" si="18"/>
        <v>4.5999999999999996</v>
      </c>
      <c r="AI8">
        <f t="shared" si="19"/>
        <v>5.4</v>
      </c>
      <c r="AJ8">
        <f t="shared" si="38"/>
        <v>5</v>
      </c>
      <c r="AK8">
        <f t="shared" si="20"/>
        <v>5</v>
      </c>
      <c r="AL8">
        <f t="shared" si="21"/>
        <v>4.5999999999999996</v>
      </c>
      <c r="AM8">
        <f t="shared" si="22"/>
        <v>4.5999999999999996</v>
      </c>
      <c r="AN8">
        <f t="shared" si="23"/>
        <v>5.4</v>
      </c>
      <c r="AO8">
        <f t="shared" si="24"/>
        <v>5.4</v>
      </c>
      <c r="AP8">
        <f t="shared" si="25"/>
        <v>5</v>
      </c>
      <c r="AQ8">
        <f t="shared" si="26"/>
        <v>5</v>
      </c>
      <c r="AR8">
        <f t="shared" si="27"/>
        <v>4.5999999999999996</v>
      </c>
      <c r="AS8">
        <f t="shared" si="28"/>
        <v>5.4</v>
      </c>
      <c r="AT8">
        <f t="shared" si="29"/>
        <v>5</v>
      </c>
      <c r="AU8">
        <f t="shared" si="30"/>
        <v>5</v>
      </c>
      <c r="AV8">
        <f t="shared" si="31"/>
        <v>4.5999999999999996</v>
      </c>
      <c r="AW8">
        <f t="shared" si="32"/>
        <v>4.5999999999999996</v>
      </c>
      <c r="AX8">
        <f t="shared" si="33"/>
        <v>5.4</v>
      </c>
      <c r="AY8">
        <f t="shared" si="34"/>
        <v>5.4</v>
      </c>
      <c r="AZ8">
        <f t="shared" si="35"/>
        <v>5</v>
      </c>
    </row>
    <row r="9" spans="1:52" x14ac:dyDescent="0.25">
      <c r="A9">
        <v>6</v>
      </c>
      <c r="C9">
        <f ca="1">MIN(Dados!C8:AZ8)</f>
        <v>3.8998812672433094</v>
      </c>
      <c r="D9">
        <f t="array" aca="1" ref="D9" ca="1">MAX(MAX(IF(Dados!C8:AZ8&lt;(E9-1.5*L9),Dados!C8:AZ8,-10000)),C9)</f>
        <v>3.8998812672433094</v>
      </c>
      <c r="E9">
        <f ca="1">QUARTILE(Dados!C8:AZ8,1)</f>
        <v>4.346284016491242</v>
      </c>
      <c r="F9">
        <f ca="1">MEDIAN(Dados!C8:AZ8)</f>
        <v>4.5505991711416556</v>
      </c>
      <c r="G9">
        <f ca="1">QUARTILE(Dados!C8:AZ8,3)</f>
        <v>4.7408308781541262</v>
      </c>
      <c r="H9">
        <f t="array" aca="1" ref="H9" ca="1">MIN(MIN(IF(Dados!C8:AZ8&gt;(G9+1.5*L9),Dados!C8:AZ8,10000)),I9)</f>
        <v>5.3539070497413936</v>
      </c>
      <c r="I9">
        <f ca="1">MAX(Dados!C8:AZ8)</f>
        <v>5.3539070497413936</v>
      </c>
      <c r="K9">
        <f t="shared" ca="1" si="0"/>
        <v>5.3326511706484521</v>
      </c>
      <c r="L9">
        <f t="shared" ca="1" si="1"/>
        <v>0.39454686166288422</v>
      </c>
      <c r="N9">
        <f t="shared" ca="1" si="2"/>
        <v>3.8998812672433094</v>
      </c>
      <c r="O9">
        <f t="shared" ref="O9:P9" ca="1" si="43">N9</f>
        <v>3.8998812672433094</v>
      </c>
      <c r="P9">
        <f t="shared" ca="1" si="43"/>
        <v>3.8998812672433094</v>
      </c>
      <c r="Q9">
        <f t="shared" ca="1" si="4"/>
        <v>4.346284016491242</v>
      </c>
      <c r="R9">
        <f t="shared" ca="1" si="5"/>
        <v>4.346284016491242</v>
      </c>
      <c r="S9">
        <f t="shared" ca="1" si="6"/>
        <v>4.5505991711416556</v>
      </c>
      <c r="T9">
        <f t="shared" ca="1" si="7"/>
        <v>4.5505991711416556</v>
      </c>
      <c r="U9">
        <f t="shared" ca="1" si="8"/>
        <v>4.7408308781541262</v>
      </c>
      <c r="V9">
        <f t="shared" ca="1" si="9"/>
        <v>4.7408308781541262</v>
      </c>
      <c r="W9">
        <f t="shared" ca="1" si="10"/>
        <v>5.3539070497413936</v>
      </c>
      <c r="X9">
        <f t="shared" ref="X9:Z9" ca="1" si="44">W9</f>
        <v>5.3539070497413936</v>
      </c>
      <c r="Y9">
        <f t="shared" ca="1" si="44"/>
        <v>5.3539070497413936</v>
      </c>
      <c r="Z9">
        <f t="shared" ca="1" si="44"/>
        <v>5.3539070497413936</v>
      </c>
      <c r="AA9">
        <f t="shared" ca="1" si="12"/>
        <v>4.7408308781541262</v>
      </c>
      <c r="AB9">
        <f t="shared" ca="1" si="13"/>
        <v>4.7408308781541262</v>
      </c>
      <c r="AC9">
        <f t="shared" ca="1" si="14"/>
        <v>4.5505991711416556</v>
      </c>
      <c r="AD9">
        <f t="shared" ca="1" si="15"/>
        <v>4.5505991711416556</v>
      </c>
      <c r="AE9">
        <f t="shared" ca="1" si="16"/>
        <v>4.346284016491242</v>
      </c>
      <c r="AF9">
        <f t="shared" ca="1" si="17"/>
        <v>4.346284016491242</v>
      </c>
      <c r="AH9">
        <f t="shared" si="18"/>
        <v>5.6</v>
      </c>
      <c r="AI9">
        <f t="shared" si="19"/>
        <v>6.4</v>
      </c>
      <c r="AJ9">
        <f t="shared" si="38"/>
        <v>6</v>
      </c>
      <c r="AK9">
        <f t="shared" si="20"/>
        <v>6</v>
      </c>
      <c r="AL9">
        <f t="shared" si="21"/>
        <v>5.6</v>
      </c>
      <c r="AM9">
        <f t="shared" si="22"/>
        <v>5.6</v>
      </c>
      <c r="AN9">
        <f t="shared" si="23"/>
        <v>6.4</v>
      </c>
      <c r="AO9">
        <f t="shared" si="24"/>
        <v>6.4</v>
      </c>
      <c r="AP9">
        <f t="shared" si="25"/>
        <v>6</v>
      </c>
      <c r="AQ9">
        <f t="shared" si="26"/>
        <v>6</v>
      </c>
      <c r="AR9">
        <f t="shared" si="27"/>
        <v>5.6</v>
      </c>
      <c r="AS9">
        <f t="shared" si="28"/>
        <v>6.4</v>
      </c>
      <c r="AT9">
        <f t="shared" si="29"/>
        <v>6</v>
      </c>
      <c r="AU9">
        <f t="shared" si="30"/>
        <v>6</v>
      </c>
      <c r="AV9">
        <f t="shared" si="31"/>
        <v>5.6</v>
      </c>
      <c r="AW9">
        <f t="shared" si="32"/>
        <v>5.6</v>
      </c>
      <c r="AX9">
        <f t="shared" si="33"/>
        <v>6.4</v>
      </c>
      <c r="AY9">
        <f t="shared" si="34"/>
        <v>6.4</v>
      </c>
      <c r="AZ9">
        <f t="shared" si="35"/>
        <v>6</v>
      </c>
    </row>
    <row r="10" spans="1:52" x14ac:dyDescent="0.25">
      <c r="A10">
        <v>7</v>
      </c>
      <c r="C10">
        <f ca="1">MIN(Dados!C9:AZ9)</f>
        <v>5.0036950109186487</v>
      </c>
      <c r="D10">
        <f t="array" aca="1" ref="D10" ca="1">MAX(MAX(IF(Dados!C9:AZ9&lt;(E10-1.5*L10),Dados!C9:AZ9,-10000)),C10)</f>
        <v>5.0036950109186487</v>
      </c>
      <c r="E10">
        <f ca="1">QUARTILE(Dados!C9:AZ9,1)</f>
        <v>5.5545658226363157</v>
      </c>
      <c r="F10">
        <f ca="1">MEDIAN(Dados!C9:AZ9)</f>
        <v>5.8242401112820721</v>
      </c>
      <c r="G10">
        <f ca="1">QUARTILE(Dados!C9:AZ9,3)</f>
        <v>5.9947537681006642</v>
      </c>
      <c r="H10">
        <f t="array" aca="1" ref="H10" ca="1">MIN(MIN(IF(Dados!C9:AZ9&gt;(G10+1.5*L10),Dados!C9:AZ9,10000)),I10)</f>
        <v>6.6055297677232696</v>
      </c>
      <c r="I10">
        <f ca="1">MAX(Dados!C9:AZ9)</f>
        <v>6.6055297677232696</v>
      </c>
      <c r="K10">
        <f t="shared" ca="1" si="0"/>
        <v>6.6550356862971869</v>
      </c>
      <c r="L10">
        <f t="shared" ca="1" si="1"/>
        <v>0.44018794546434847</v>
      </c>
      <c r="N10">
        <f t="shared" ca="1" si="2"/>
        <v>5.0036950109186487</v>
      </c>
      <c r="O10">
        <f t="shared" ref="O10:P10" ca="1" si="45">N10</f>
        <v>5.0036950109186487</v>
      </c>
      <c r="P10">
        <f t="shared" ca="1" si="45"/>
        <v>5.0036950109186487</v>
      </c>
      <c r="Q10">
        <f t="shared" ca="1" si="4"/>
        <v>5.5545658226363157</v>
      </c>
      <c r="R10">
        <f t="shared" ca="1" si="5"/>
        <v>5.5545658226363157</v>
      </c>
      <c r="S10">
        <f t="shared" ca="1" si="6"/>
        <v>5.8242401112820721</v>
      </c>
      <c r="T10">
        <f t="shared" ca="1" si="7"/>
        <v>5.8242401112820721</v>
      </c>
      <c r="U10">
        <f t="shared" ca="1" si="8"/>
        <v>5.9947537681006642</v>
      </c>
      <c r="V10">
        <f t="shared" ca="1" si="9"/>
        <v>5.9947537681006642</v>
      </c>
      <c r="W10">
        <f t="shared" ca="1" si="10"/>
        <v>6.6055297677232696</v>
      </c>
      <c r="X10">
        <f t="shared" ref="X10:Z10" ca="1" si="46">W10</f>
        <v>6.6055297677232696</v>
      </c>
      <c r="Y10">
        <f t="shared" ca="1" si="46"/>
        <v>6.6055297677232696</v>
      </c>
      <c r="Z10">
        <f t="shared" ca="1" si="46"/>
        <v>6.6055297677232696</v>
      </c>
      <c r="AA10">
        <f t="shared" ca="1" si="12"/>
        <v>5.9947537681006642</v>
      </c>
      <c r="AB10">
        <f t="shared" ca="1" si="13"/>
        <v>5.9947537681006642</v>
      </c>
      <c r="AC10">
        <f t="shared" ca="1" si="14"/>
        <v>5.8242401112820721</v>
      </c>
      <c r="AD10">
        <f t="shared" ca="1" si="15"/>
        <v>5.8242401112820721</v>
      </c>
      <c r="AE10">
        <f t="shared" ca="1" si="16"/>
        <v>5.5545658226363157</v>
      </c>
      <c r="AF10">
        <f t="shared" ca="1" si="17"/>
        <v>5.5545658226363157</v>
      </c>
      <c r="AH10">
        <f t="shared" si="18"/>
        <v>6.6</v>
      </c>
      <c r="AI10">
        <f t="shared" si="19"/>
        <v>7.4</v>
      </c>
      <c r="AJ10">
        <f t="shared" si="38"/>
        <v>7</v>
      </c>
      <c r="AK10">
        <f t="shared" si="20"/>
        <v>7</v>
      </c>
      <c r="AL10">
        <f t="shared" si="21"/>
        <v>6.6</v>
      </c>
      <c r="AM10">
        <f t="shared" si="22"/>
        <v>6.6</v>
      </c>
      <c r="AN10">
        <f t="shared" si="23"/>
        <v>7.4</v>
      </c>
      <c r="AO10">
        <f t="shared" si="24"/>
        <v>7.4</v>
      </c>
      <c r="AP10">
        <f t="shared" si="25"/>
        <v>7</v>
      </c>
      <c r="AQ10">
        <f t="shared" si="26"/>
        <v>7</v>
      </c>
      <c r="AR10">
        <f t="shared" si="27"/>
        <v>6.6</v>
      </c>
      <c r="AS10">
        <f t="shared" si="28"/>
        <v>7.4</v>
      </c>
      <c r="AT10">
        <f t="shared" si="29"/>
        <v>7</v>
      </c>
      <c r="AU10">
        <f t="shared" si="30"/>
        <v>7</v>
      </c>
      <c r="AV10">
        <f t="shared" si="31"/>
        <v>6.6</v>
      </c>
      <c r="AW10">
        <f t="shared" si="32"/>
        <v>6.6</v>
      </c>
      <c r="AX10">
        <f t="shared" si="33"/>
        <v>7.4</v>
      </c>
      <c r="AY10">
        <f t="shared" si="34"/>
        <v>7.4</v>
      </c>
      <c r="AZ10">
        <f t="shared" si="35"/>
        <v>7</v>
      </c>
    </row>
    <row r="11" spans="1:52" x14ac:dyDescent="0.25">
      <c r="A11">
        <v>8</v>
      </c>
      <c r="C11">
        <f ca="1">MIN(Dados!C10:AZ10)</f>
        <v>6.5237913618074419</v>
      </c>
      <c r="D11">
        <f t="array" aca="1" ref="D11" ca="1">MAX(MAX(IF(Dados!C10:AZ10&lt;(E11-1.5*L11),Dados!C10:AZ10,-10000)),C11)</f>
        <v>6.5237913618074419</v>
      </c>
      <c r="E11">
        <f ca="1">QUARTILE(Dados!C10:AZ10,1)</f>
        <v>7.0108490714035874</v>
      </c>
      <c r="F11">
        <f ca="1">MEDIAN(Dados!C10:AZ10)</f>
        <v>7.3816785317696993</v>
      </c>
      <c r="G11">
        <f ca="1">QUARTILE(Dados!C10:AZ10,3)</f>
        <v>7.7075907848166088</v>
      </c>
      <c r="H11">
        <f t="array" aca="1" ref="H11" ca="1">MIN(MIN(IF(Dados!C10:AZ10&gt;(G11+1.5*L11),Dados!C10:AZ10,10000)),I11)</f>
        <v>8.6206147320993054</v>
      </c>
      <c r="I11">
        <f ca="1">MAX(Dados!C10:AZ10)</f>
        <v>8.6206147320993054</v>
      </c>
      <c r="K11">
        <f t="shared" ca="1" si="0"/>
        <v>8.7527033549361413</v>
      </c>
      <c r="L11">
        <f t="shared" ca="1" si="1"/>
        <v>0.69674171341302138</v>
      </c>
      <c r="N11">
        <f t="shared" ca="1" si="2"/>
        <v>6.5237913618074419</v>
      </c>
      <c r="O11">
        <f t="shared" ref="O11:P11" ca="1" si="47">N11</f>
        <v>6.5237913618074419</v>
      </c>
      <c r="P11">
        <f t="shared" ca="1" si="47"/>
        <v>6.5237913618074419</v>
      </c>
      <c r="Q11">
        <f t="shared" ca="1" si="4"/>
        <v>7.0108490714035874</v>
      </c>
      <c r="R11">
        <f t="shared" ca="1" si="5"/>
        <v>7.0108490714035874</v>
      </c>
      <c r="S11">
        <f t="shared" ca="1" si="6"/>
        <v>7.3816785317696993</v>
      </c>
      <c r="T11">
        <f t="shared" ca="1" si="7"/>
        <v>7.3816785317696993</v>
      </c>
      <c r="U11">
        <f t="shared" ca="1" si="8"/>
        <v>7.7075907848166088</v>
      </c>
      <c r="V11">
        <f t="shared" ca="1" si="9"/>
        <v>7.7075907848166088</v>
      </c>
      <c r="W11">
        <f t="shared" ca="1" si="10"/>
        <v>8.6206147320993054</v>
      </c>
      <c r="X11">
        <f t="shared" ref="X11:Z11" ca="1" si="48">W11</f>
        <v>8.6206147320993054</v>
      </c>
      <c r="Y11">
        <f t="shared" ca="1" si="48"/>
        <v>8.6206147320993054</v>
      </c>
      <c r="Z11">
        <f t="shared" ca="1" si="48"/>
        <v>8.6206147320993054</v>
      </c>
      <c r="AA11">
        <f t="shared" ca="1" si="12"/>
        <v>7.7075907848166088</v>
      </c>
      <c r="AB11">
        <f t="shared" ca="1" si="13"/>
        <v>7.7075907848166088</v>
      </c>
      <c r="AC11">
        <f t="shared" ca="1" si="14"/>
        <v>7.3816785317696993</v>
      </c>
      <c r="AD11">
        <f t="shared" ca="1" si="15"/>
        <v>7.3816785317696993</v>
      </c>
      <c r="AE11">
        <f t="shared" ca="1" si="16"/>
        <v>7.0108490714035874</v>
      </c>
      <c r="AF11">
        <f t="shared" ca="1" si="17"/>
        <v>7.0108490714035874</v>
      </c>
      <c r="AH11">
        <f t="shared" si="18"/>
        <v>7.6</v>
      </c>
      <c r="AI11">
        <f t="shared" si="19"/>
        <v>8.4</v>
      </c>
      <c r="AJ11">
        <f t="shared" si="38"/>
        <v>8</v>
      </c>
      <c r="AK11">
        <f t="shared" si="20"/>
        <v>8</v>
      </c>
      <c r="AL11">
        <f t="shared" si="21"/>
        <v>7.6</v>
      </c>
      <c r="AM11">
        <f t="shared" si="22"/>
        <v>7.6</v>
      </c>
      <c r="AN11">
        <f t="shared" si="23"/>
        <v>8.4</v>
      </c>
      <c r="AO11">
        <f t="shared" si="24"/>
        <v>8.4</v>
      </c>
      <c r="AP11">
        <f t="shared" si="25"/>
        <v>8</v>
      </c>
      <c r="AQ11">
        <f t="shared" si="26"/>
        <v>8</v>
      </c>
      <c r="AR11">
        <f t="shared" si="27"/>
        <v>7.6</v>
      </c>
      <c r="AS11">
        <f t="shared" si="28"/>
        <v>8.4</v>
      </c>
      <c r="AT11">
        <f t="shared" si="29"/>
        <v>8</v>
      </c>
      <c r="AU11">
        <f t="shared" si="30"/>
        <v>8</v>
      </c>
      <c r="AV11">
        <f t="shared" si="31"/>
        <v>7.6</v>
      </c>
      <c r="AW11">
        <f t="shared" si="32"/>
        <v>7.6</v>
      </c>
      <c r="AX11">
        <f t="shared" si="33"/>
        <v>8.4</v>
      </c>
      <c r="AY11">
        <f t="shared" si="34"/>
        <v>8.4</v>
      </c>
      <c r="AZ11">
        <f t="shared" si="35"/>
        <v>8</v>
      </c>
    </row>
    <row r="12" spans="1:52" x14ac:dyDescent="0.25">
      <c r="A12">
        <v>9</v>
      </c>
      <c r="C12">
        <f ca="1">MIN(Dados!C11:AZ11)</f>
        <v>8.2354847388285428</v>
      </c>
      <c r="D12">
        <f t="array" aca="1" ref="D12" ca="1">MAX(MAX(IF(Dados!C11:AZ11&lt;(E12-1.5*L12),Dados!C11:AZ11,-10000)),C12)</f>
        <v>8.2354847388285428</v>
      </c>
      <c r="E12">
        <f ca="1">QUARTILE(Dados!C11:AZ11,1)</f>
        <v>8.8838643377094133</v>
      </c>
      <c r="F12">
        <f ca="1">MEDIAN(Dados!C11:AZ11)</f>
        <v>9.4430184174972389</v>
      </c>
      <c r="G12">
        <f ca="1">QUARTILE(Dados!C11:AZ11,3)</f>
        <v>9.9762806664643744</v>
      </c>
      <c r="H12">
        <f t="array" aca="1" ref="H12" ca="1">MIN(MIN(IF(Dados!C11:AZ11&gt;(G12+1.5*L12),Dados!C11:AZ11,10000)),I12)</f>
        <v>11.514420633133913</v>
      </c>
      <c r="I12">
        <f ca="1">MAX(Dados!C11:AZ11)</f>
        <v>11.514420633133913</v>
      </c>
      <c r="K12">
        <f t="shared" ca="1" si="0"/>
        <v>11.614905159596816</v>
      </c>
      <c r="L12">
        <f t="shared" ca="1" si="1"/>
        <v>1.0924163287549611</v>
      </c>
      <c r="N12">
        <f t="shared" ca="1" si="2"/>
        <v>8.2354847388285428</v>
      </c>
      <c r="O12">
        <f t="shared" ref="O12:P12" ca="1" si="49">N12</f>
        <v>8.2354847388285428</v>
      </c>
      <c r="P12">
        <f t="shared" ca="1" si="49"/>
        <v>8.2354847388285428</v>
      </c>
      <c r="Q12">
        <f t="shared" ca="1" si="4"/>
        <v>8.8838643377094133</v>
      </c>
      <c r="R12">
        <f t="shared" ca="1" si="5"/>
        <v>8.8838643377094133</v>
      </c>
      <c r="S12">
        <f t="shared" ca="1" si="6"/>
        <v>9.4430184174972389</v>
      </c>
      <c r="T12">
        <f t="shared" ca="1" si="7"/>
        <v>9.4430184174972389</v>
      </c>
      <c r="U12">
        <f t="shared" ca="1" si="8"/>
        <v>9.9762806664643744</v>
      </c>
      <c r="V12">
        <f t="shared" ca="1" si="9"/>
        <v>9.9762806664643744</v>
      </c>
      <c r="W12">
        <f t="shared" ca="1" si="10"/>
        <v>11.514420633133913</v>
      </c>
      <c r="X12">
        <f t="shared" ref="X12:Z12" ca="1" si="50">W12</f>
        <v>11.514420633133913</v>
      </c>
      <c r="Y12">
        <f t="shared" ca="1" si="50"/>
        <v>11.514420633133913</v>
      </c>
      <c r="Z12">
        <f t="shared" ca="1" si="50"/>
        <v>11.514420633133913</v>
      </c>
      <c r="AA12">
        <f t="shared" ca="1" si="12"/>
        <v>9.9762806664643744</v>
      </c>
      <c r="AB12">
        <f t="shared" ca="1" si="13"/>
        <v>9.9762806664643744</v>
      </c>
      <c r="AC12">
        <f t="shared" ca="1" si="14"/>
        <v>9.4430184174972389</v>
      </c>
      <c r="AD12">
        <f t="shared" ca="1" si="15"/>
        <v>9.4430184174972389</v>
      </c>
      <c r="AE12">
        <f t="shared" ca="1" si="16"/>
        <v>8.8838643377094133</v>
      </c>
      <c r="AF12">
        <f t="shared" ca="1" si="17"/>
        <v>8.8838643377094133</v>
      </c>
      <c r="AH12">
        <f t="shared" si="18"/>
        <v>8.6</v>
      </c>
      <c r="AI12">
        <f t="shared" si="19"/>
        <v>9.4</v>
      </c>
      <c r="AJ12">
        <f t="shared" si="38"/>
        <v>9</v>
      </c>
      <c r="AK12">
        <f t="shared" si="20"/>
        <v>9</v>
      </c>
      <c r="AL12">
        <f t="shared" si="21"/>
        <v>8.6</v>
      </c>
      <c r="AM12">
        <f t="shared" si="22"/>
        <v>8.6</v>
      </c>
      <c r="AN12">
        <f t="shared" si="23"/>
        <v>9.4</v>
      </c>
      <c r="AO12">
        <f t="shared" si="24"/>
        <v>9.4</v>
      </c>
      <c r="AP12">
        <f t="shared" si="25"/>
        <v>9</v>
      </c>
      <c r="AQ12">
        <f t="shared" si="26"/>
        <v>9</v>
      </c>
      <c r="AR12">
        <f t="shared" si="27"/>
        <v>8.6</v>
      </c>
      <c r="AS12">
        <f t="shared" si="28"/>
        <v>9.4</v>
      </c>
      <c r="AT12">
        <f t="shared" si="29"/>
        <v>9</v>
      </c>
      <c r="AU12">
        <f t="shared" si="30"/>
        <v>9</v>
      </c>
      <c r="AV12">
        <f t="shared" si="31"/>
        <v>8.6</v>
      </c>
      <c r="AW12">
        <f t="shared" si="32"/>
        <v>8.6</v>
      </c>
      <c r="AX12">
        <f t="shared" si="33"/>
        <v>9.4</v>
      </c>
      <c r="AY12">
        <f t="shared" si="34"/>
        <v>9.4</v>
      </c>
      <c r="AZ12">
        <f t="shared" si="35"/>
        <v>9</v>
      </c>
    </row>
    <row r="13" spans="1:52" x14ac:dyDescent="0.25">
      <c r="A13">
        <v>10</v>
      </c>
      <c r="C13">
        <f ca="1">MIN(Dados!C12:AZ12)</f>
        <v>10.302402951373301</v>
      </c>
      <c r="D13">
        <f t="array" aca="1" ref="D13" ca="1">MAX(MAX(IF(Dados!C12:AZ12&lt;(E13-1.5*L13),Dados!C12:AZ12,-10000)),C13)</f>
        <v>10.302402951373301</v>
      </c>
      <c r="E13">
        <f ca="1">QUARTILE(Dados!C12:AZ12,1)</f>
        <v>11.527746640044166</v>
      </c>
      <c r="F13">
        <f ca="1">MEDIAN(Dados!C12:AZ12)</f>
        <v>12.136052239579083</v>
      </c>
      <c r="G13">
        <f ca="1">QUARTILE(Dados!C12:AZ12,3)</f>
        <v>12.595284185492133</v>
      </c>
      <c r="H13">
        <f t="array" aca="1" ref="H13" ca="1">MIN(MIN(IF(Dados!C12:AZ12&gt;(G13+1.5*L13),Dados!C12:AZ12,10000)),I13)</f>
        <v>14.741750247629492</v>
      </c>
      <c r="I13">
        <f ca="1">MAX(Dados!C12:AZ12)</f>
        <v>14.741750247629492</v>
      </c>
      <c r="K13">
        <f t="shared" ca="1" si="0"/>
        <v>14.196590503664083</v>
      </c>
      <c r="L13">
        <f t="shared" ca="1" si="1"/>
        <v>1.0675375454479674</v>
      </c>
      <c r="N13">
        <f t="shared" ca="1" si="2"/>
        <v>10.302402951373301</v>
      </c>
      <c r="O13">
        <f t="shared" ref="O13:P13" ca="1" si="51">N13</f>
        <v>10.302402951373301</v>
      </c>
      <c r="P13">
        <f t="shared" ca="1" si="51"/>
        <v>10.302402951373301</v>
      </c>
      <c r="Q13">
        <f t="shared" ca="1" si="4"/>
        <v>11.527746640044166</v>
      </c>
      <c r="R13">
        <f t="shared" ca="1" si="5"/>
        <v>11.527746640044166</v>
      </c>
      <c r="S13">
        <f t="shared" ca="1" si="6"/>
        <v>12.136052239579083</v>
      </c>
      <c r="T13">
        <f t="shared" ca="1" si="7"/>
        <v>12.136052239579083</v>
      </c>
      <c r="U13">
        <f t="shared" ca="1" si="8"/>
        <v>12.595284185492133</v>
      </c>
      <c r="V13">
        <f t="shared" ca="1" si="9"/>
        <v>12.595284185492133</v>
      </c>
      <c r="W13">
        <f t="shared" ca="1" si="10"/>
        <v>14.741750247629492</v>
      </c>
      <c r="X13">
        <f t="shared" ref="X13:Z13" ca="1" si="52">W13</f>
        <v>14.741750247629492</v>
      </c>
      <c r="Y13">
        <f t="shared" ca="1" si="52"/>
        <v>14.741750247629492</v>
      </c>
      <c r="Z13">
        <f t="shared" ca="1" si="52"/>
        <v>14.741750247629492</v>
      </c>
      <c r="AA13">
        <f t="shared" ca="1" si="12"/>
        <v>12.595284185492133</v>
      </c>
      <c r="AB13">
        <f t="shared" ca="1" si="13"/>
        <v>12.595284185492133</v>
      </c>
      <c r="AC13">
        <f t="shared" ca="1" si="14"/>
        <v>12.136052239579083</v>
      </c>
      <c r="AD13">
        <f t="shared" ca="1" si="15"/>
        <v>12.136052239579083</v>
      </c>
      <c r="AE13">
        <f t="shared" ca="1" si="16"/>
        <v>11.527746640044166</v>
      </c>
      <c r="AF13">
        <f t="shared" ca="1" si="17"/>
        <v>11.527746640044166</v>
      </c>
      <c r="AH13">
        <f t="shared" si="18"/>
        <v>9.6</v>
      </c>
      <c r="AI13">
        <f t="shared" si="19"/>
        <v>10.4</v>
      </c>
      <c r="AJ13">
        <f t="shared" si="38"/>
        <v>10</v>
      </c>
      <c r="AK13">
        <f t="shared" si="20"/>
        <v>10</v>
      </c>
      <c r="AL13">
        <f t="shared" si="21"/>
        <v>9.6</v>
      </c>
      <c r="AM13">
        <f t="shared" si="22"/>
        <v>9.6</v>
      </c>
      <c r="AN13">
        <f t="shared" si="23"/>
        <v>10.4</v>
      </c>
      <c r="AO13">
        <f t="shared" si="24"/>
        <v>10.4</v>
      </c>
      <c r="AP13">
        <f t="shared" si="25"/>
        <v>10</v>
      </c>
      <c r="AQ13">
        <f t="shared" si="26"/>
        <v>10</v>
      </c>
      <c r="AR13">
        <f t="shared" si="27"/>
        <v>9.6</v>
      </c>
      <c r="AS13">
        <f t="shared" si="28"/>
        <v>10.4</v>
      </c>
      <c r="AT13">
        <f t="shared" si="29"/>
        <v>10</v>
      </c>
      <c r="AU13">
        <f t="shared" si="30"/>
        <v>10</v>
      </c>
      <c r="AV13">
        <f t="shared" si="31"/>
        <v>9.6</v>
      </c>
      <c r="AW13">
        <f t="shared" si="32"/>
        <v>9.6</v>
      </c>
      <c r="AX13">
        <f t="shared" si="33"/>
        <v>10.4</v>
      </c>
      <c r="AY13">
        <f t="shared" si="34"/>
        <v>10.4</v>
      </c>
      <c r="AZ13">
        <f t="shared" si="35"/>
        <v>10</v>
      </c>
    </row>
    <row r="14" spans="1:52" x14ac:dyDescent="0.25">
      <c r="A14">
        <v>11</v>
      </c>
      <c r="C14">
        <f ca="1">MIN(Dados!C13:AZ13)</f>
        <v>13.56881047904373</v>
      </c>
      <c r="D14">
        <f t="array" aca="1" ref="D14" ca="1">MAX(MAX(IF(Dados!C13:AZ13&lt;(E14-1.5*L14),Dados!C13:AZ13,-10000)),C14)</f>
        <v>13.56881047904373</v>
      </c>
      <c r="E14">
        <f ca="1">QUARTILE(Dados!C13:AZ13,1)</f>
        <v>14.669722722158404</v>
      </c>
      <c r="F14">
        <f ca="1">MEDIAN(Dados!C13:AZ13)</f>
        <v>15.392151779268579</v>
      </c>
      <c r="G14">
        <f ca="1">QUARTILE(Dados!C13:AZ13,3)</f>
        <v>16.335368881401696</v>
      </c>
      <c r="H14">
        <f t="array" aca="1" ref="H14" ca="1">MIN(MIN(IF(Dados!C13:AZ13&gt;(G14+1.5*L14),Dados!C13:AZ13,10000)),I14)</f>
        <v>19.318853453330817</v>
      </c>
      <c r="I14">
        <f ca="1">MAX(Dados!C13:AZ13)</f>
        <v>19.318853453330817</v>
      </c>
      <c r="K14">
        <f t="shared" ca="1" si="0"/>
        <v>18.833838120266634</v>
      </c>
      <c r="L14">
        <f t="shared" ca="1" si="1"/>
        <v>1.6656461592432912</v>
      </c>
      <c r="N14">
        <f t="shared" ca="1" si="2"/>
        <v>13.56881047904373</v>
      </c>
      <c r="O14">
        <f t="shared" ref="O14:P14" ca="1" si="53">N14</f>
        <v>13.56881047904373</v>
      </c>
      <c r="P14">
        <f t="shared" ca="1" si="53"/>
        <v>13.56881047904373</v>
      </c>
      <c r="Q14">
        <f t="shared" ca="1" si="4"/>
        <v>14.669722722158404</v>
      </c>
      <c r="R14">
        <f t="shared" ca="1" si="5"/>
        <v>14.669722722158404</v>
      </c>
      <c r="S14">
        <f t="shared" ca="1" si="6"/>
        <v>15.392151779268579</v>
      </c>
      <c r="T14">
        <f t="shared" ca="1" si="7"/>
        <v>15.392151779268579</v>
      </c>
      <c r="U14">
        <f t="shared" ca="1" si="8"/>
        <v>16.335368881401696</v>
      </c>
      <c r="V14">
        <f t="shared" ca="1" si="9"/>
        <v>16.335368881401696</v>
      </c>
      <c r="W14">
        <f t="shared" ca="1" si="10"/>
        <v>19.318853453330817</v>
      </c>
      <c r="X14">
        <f t="shared" ref="X14:Z14" ca="1" si="54">W14</f>
        <v>19.318853453330817</v>
      </c>
      <c r="Y14">
        <f t="shared" ca="1" si="54"/>
        <v>19.318853453330817</v>
      </c>
      <c r="Z14">
        <f t="shared" ca="1" si="54"/>
        <v>19.318853453330817</v>
      </c>
      <c r="AA14">
        <f t="shared" ca="1" si="12"/>
        <v>16.335368881401696</v>
      </c>
      <c r="AB14">
        <f t="shared" ca="1" si="13"/>
        <v>16.335368881401696</v>
      </c>
      <c r="AC14">
        <f t="shared" ca="1" si="14"/>
        <v>15.392151779268579</v>
      </c>
      <c r="AD14">
        <f t="shared" ca="1" si="15"/>
        <v>15.392151779268579</v>
      </c>
      <c r="AE14">
        <f t="shared" ca="1" si="16"/>
        <v>14.669722722158404</v>
      </c>
      <c r="AF14">
        <f t="shared" ca="1" si="17"/>
        <v>14.669722722158404</v>
      </c>
      <c r="AH14">
        <f t="shared" si="18"/>
        <v>10.6</v>
      </c>
      <c r="AI14">
        <f t="shared" si="19"/>
        <v>11.4</v>
      </c>
      <c r="AJ14">
        <f t="shared" si="38"/>
        <v>11</v>
      </c>
      <c r="AK14">
        <f t="shared" si="20"/>
        <v>11</v>
      </c>
      <c r="AL14">
        <f t="shared" si="21"/>
        <v>10.6</v>
      </c>
      <c r="AM14">
        <f t="shared" si="22"/>
        <v>10.6</v>
      </c>
      <c r="AN14">
        <f t="shared" si="23"/>
        <v>11.4</v>
      </c>
      <c r="AO14">
        <f t="shared" si="24"/>
        <v>11.4</v>
      </c>
      <c r="AP14">
        <f t="shared" si="25"/>
        <v>11</v>
      </c>
      <c r="AQ14">
        <f t="shared" si="26"/>
        <v>11</v>
      </c>
      <c r="AR14">
        <f t="shared" si="27"/>
        <v>10.6</v>
      </c>
      <c r="AS14">
        <f t="shared" si="28"/>
        <v>11.4</v>
      </c>
      <c r="AT14">
        <f t="shared" si="29"/>
        <v>11</v>
      </c>
      <c r="AU14">
        <f t="shared" si="30"/>
        <v>11</v>
      </c>
      <c r="AV14">
        <f t="shared" si="31"/>
        <v>10.6</v>
      </c>
      <c r="AW14">
        <f t="shared" si="32"/>
        <v>10.6</v>
      </c>
      <c r="AX14">
        <f t="shared" si="33"/>
        <v>11.4</v>
      </c>
      <c r="AY14">
        <f t="shared" si="34"/>
        <v>11.4</v>
      </c>
      <c r="AZ14">
        <f t="shared" si="35"/>
        <v>11</v>
      </c>
    </row>
    <row r="15" spans="1:52" x14ac:dyDescent="0.25">
      <c r="A15">
        <v>12</v>
      </c>
      <c r="C15">
        <f ca="1">MIN(Dados!C14:AZ14)</f>
        <v>17.244418707001696</v>
      </c>
      <c r="D15">
        <f t="array" aca="1" ref="D15" ca="1">MAX(MAX(IF(Dados!C14:AZ14&lt;(E15-1.5*L15),Dados!C14:AZ14,-10000)),C15)</f>
        <v>17.244418707001696</v>
      </c>
      <c r="E15">
        <f ca="1">QUARTILE(Dados!C14:AZ14,1)</f>
        <v>18.74960864170431</v>
      </c>
      <c r="F15">
        <f ca="1">MEDIAN(Dados!C14:AZ14)</f>
        <v>19.884448921872931</v>
      </c>
      <c r="G15">
        <f ca="1">QUARTILE(Dados!C14:AZ14,3)</f>
        <v>20.922246535958422</v>
      </c>
      <c r="H15">
        <f t="array" aca="1" ref="H15" ca="1">MIN(MIN(IF(Dados!C14:AZ14&gt;(G15+1.5*L15),Dados!C14:AZ14,10000)),I15)</f>
        <v>24.407223539554131</v>
      </c>
      <c r="I15">
        <f ca="1">MAX(Dados!C14:AZ14)</f>
        <v>25.839249699823533</v>
      </c>
      <c r="K15">
        <f t="shared" ca="1" si="0"/>
        <v>24.181203377339592</v>
      </c>
      <c r="L15">
        <f t="shared" ca="1" si="1"/>
        <v>2.1726378942541125</v>
      </c>
      <c r="N15">
        <f t="shared" ca="1" si="2"/>
        <v>17.244418707001696</v>
      </c>
      <c r="O15">
        <f t="shared" ref="O15:P15" ca="1" si="55">N15</f>
        <v>17.244418707001696</v>
      </c>
      <c r="P15">
        <f t="shared" ca="1" si="55"/>
        <v>17.244418707001696</v>
      </c>
      <c r="Q15">
        <f t="shared" ca="1" si="4"/>
        <v>18.74960864170431</v>
      </c>
      <c r="R15">
        <f t="shared" ca="1" si="5"/>
        <v>18.74960864170431</v>
      </c>
      <c r="S15">
        <f t="shared" ca="1" si="6"/>
        <v>19.884448921872931</v>
      </c>
      <c r="T15">
        <f t="shared" ca="1" si="7"/>
        <v>19.884448921872931</v>
      </c>
      <c r="U15">
        <f t="shared" ca="1" si="8"/>
        <v>20.922246535958422</v>
      </c>
      <c r="V15">
        <f t="shared" ca="1" si="9"/>
        <v>20.922246535958422</v>
      </c>
      <c r="W15">
        <f t="shared" ca="1" si="10"/>
        <v>24.407223539554131</v>
      </c>
      <c r="X15">
        <f t="shared" ref="X15:Z15" ca="1" si="56">W15</f>
        <v>24.407223539554131</v>
      </c>
      <c r="Y15">
        <f t="shared" ca="1" si="56"/>
        <v>24.407223539554131</v>
      </c>
      <c r="Z15">
        <f t="shared" ca="1" si="56"/>
        <v>24.407223539554131</v>
      </c>
      <c r="AA15">
        <f t="shared" ca="1" si="12"/>
        <v>20.922246535958422</v>
      </c>
      <c r="AB15">
        <f t="shared" ca="1" si="13"/>
        <v>20.922246535958422</v>
      </c>
      <c r="AC15">
        <f t="shared" ca="1" si="14"/>
        <v>19.884448921872931</v>
      </c>
      <c r="AD15">
        <f t="shared" ca="1" si="15"/>
        <v>19.884448921872931</v>
      </c>
      <c r="AE15">
        <f t="shared" ca="1" si="16"/>
        <v>18.74960864170431</v>
      </c>
      <c r="AF15">
        <f t="shared" ca="1" si="17"/>
        <v>18.74960864170431</v>
      </c>
      <c r="AH15">
        <f t="shared" si="18"/>
        <v>11.6</v>
      </c>
      <c r="AI15">
        <f t="shared" si="19"/>
        <v>12.4</v>
      </c>
      <c r="AJ15">
        <f t="shared" si="38"/>
        <v>12</v>
      </c>
      <c r="AK15">
        <f t="shared" si="20"/>
        <v>12</v>
      </c>
      <c r="AL15">
        <f t="shared" si="21"/>
        <v>11.6</v>
      </c>
      <c r="AM15">
        <f t="shared" si="22"/>
        <v>11.6</v>
      </c>
      <c r="AN15">
        <f t="shared" si="23"/>
        <v>12.4</v>
      </c>
      <c r="AO15">
        <f t="shared" si="24"/>
        <v>12.4</v>
      </c>
      <c r="AP15">
        <f t="shared" si="25"/>
        <v>12</v>
      </c>
      <c r="AQ15">
        <f t="shared" si="26"/>
        <v>12</v>
      </c>
      <c r="AR15">
        <f t="shared" si="27"/>
        <v>11.6</v>
      </c>
      <c r="AS15">
        <f t="shared" si="28"/>
        <v>12.4</v>
      </c>
      <c r="AT15">
        <f t="shared" si="29"/>
        <v>12</v>
      </c>
      <c r="AU15">
        <f t="shared" si="30"/>
        <v>12</v>
      </c>
      <c r="AV15">
        <f t="shared" si="31"/>
        <v>11.6</v>
      </c>
      <c r="AW15">
        <f t="shared" si="32"/>
        <v>11.6</v>
      </c>
      <c r="AX15">
        <f t="shared" si="33"/>
        <v>12.4</v>
      </c>
      <c r="AY15">
        <f t="shared" si="34"/>
        <v>12.4</v>
      </c>
      <c r="AZ15">
        <f t="shared" si="35"/>
        <v>12</v>
      </c>
    </row>
    <row r="16" spans="1:52" x14ac:dyDescent="0.25">
      <c r="A16">
        <v>13</v>
      </c>
      <c r="C16">
        <f ca="1">MIN(Dados!C15:AZ15)</f>
        <v>21.849453022142278</v>
      </c>
      <c r="D16">
        <f t="array" aca="1" ref="D16" ca="1">MAX(MAX(IF(Dados!C15:AZ15&lt;(E16-1.5*L16),Dados!C15:AZ15,-10000)),C16)</f>
        <v>21.849453022142278</v>
      </c>
      <c r="E16">
        <f ca="1">QUARTILE(Dados!C15:AZ15,1)</f>
        <v>23.796235090279264</v>
      </c>
      <c r="F16">
        <f ca="1">MEDIAN(Dados!C15:AZ15)</f>
        <v>25.344478621363223</v>
      </c>
      <c r="G16">
        <f ca="1">QUARTILE(Dados!C15:AZ15,3)</f>
        <v>26.83117549466763</v>
      </c>
      <c r="H16">
        <f t="array" aca="1" ref="H16" ca="1">MIN(MIN(IF(Dados!C15:AZ15&gt;(G16+1.5*L16),Dados!C15:AZ15,10000)),I16)</f>
        <v>33.841641841106053</v>
      </c>
      <c r="I16">
        <f ca="1">MAX(Dados!C15:AZ15)</f>
        <v>33.841641841106053</v>
      </c>
      <c r="K16">
        <f t="shared" ca="1" si="0"/>
        <v>31.383586101250177</v>
      </c>
      <c r="L16">
        <f t="shared" ca="1" si="1"/>
        <v>3.0349404043883652</v>
      </c>
      <c r="N16">
        <f t="shared" ca="1" si="2"/>
        <v>21.849453022142278</v>
      </c>
      <c r="O16">
        <f t="shared" ref="O16:P16" ca="1" si="57">N16</f>
        <v>21.849453022142278</v>
      </c>
      <c r="P16">
        <f t="shared" ca="1" si="57"/>
        <v>21.849453022142278</v>
      </c>
      <c r="Q16">
        <f t="shared" ca="1" si="4"/>
        <v>23.796235090279264</v>
      </c>
      <c r="R16">
        <f t="shared" ca="1" si="5"/>
        <v>23.796235090279264</v>
      </c>
      <c r="S16">
        <f t="shared" ca="1" si="6"/>
        <v>25.344478621363223</v>
      </c>
      <c r="T16">
        <f t="shared" ca="1" si="7"/>
        <v>25.344478621363223</v>
      </c>
      <c r="U16">
        <f t="shared" ca="1" si="8"/>
        <v>26.83117549466763</v>
      </c>
      <c r="V16">
        <f t="shared" ca="1" si="9"/>
        <v>26.83117549466763</v>
      </c>
      <c r="W16">
        <f t="shared" ca="1" si="10"/>
        <v>33.841641841106053</v>
      </c>
      <c r="X16">
        <f t="shared" ref="X16:Z16" ca="1" si="58">W16</f>
        <v>33.841641841106053</v>
      </c>
      <c r="Y16">
        <f t="shared" ca="1" si="58"/>
        <v>33.841641841106053</v>
      </c>
      <c r="Z16">
        <f t="shared" ca="1" si="58"/>
        <v>33.841641841106053</v>
      </c>
      <c r="AA16">
        <f t="shared" ca="1" si="12"/>
        <v>26.83117549466763</v>
      </c>
      <c r="AB16">
        <f t="shared" ca="1" si="13"/>
        <v>26.83117549466763</v>
      </c>
      <c r="AC16">
        <f t="shared" ca="1" si="14"/>
        <v>25.344478621363223</v>
      </c>
      <c r="AD16">
        <f t="shared" ca="1" si="15"/>
        <v>25.344478621363223</v>
      </c>
      <c r="AE16">
        <f t="shared" ca="1" si="16"/>
        <v>23.796235090279264</v>
      </c>
      <c r="AF16">
        <f t="shared" ca="1" si="17"/>
        <v>23.796235090279264</v>
      </c>
      <c r="AH16">
        <f t="shared" si="18"/>
        <v>12.6</v>
      </c>
      <c r="AI16">
        <f t="shared" si="19"/>
        <v>13.4</v>
      </c>
      <c r="AJ16">
        <f t="shared" si="38"/>
        <v>13</v>
      </c>
      <c r="AK16">
        <f t="shared" si="20"/>
        <v>13</v>
      </c>
      <c r="AL16">
        <f t="shared" si="21"/>
        <v>12.6</v>
      </c>
      <c r="AM16">
        <f t="shared" si="22"/>
        <v>12.6</v>
      </c>
      <c r="AN16">
        <f t="shared" si="23"/>
        <v>13.4</v>
      </c>
      <c r="AO16">
        <f t="shared" si="24"/>
        <v>13.4</v>
      </c>
      <c r="AP16">
        <f t="shared" si="25"/>
        <v>13</v>
      </c>
      <c r="AQ16">
        <f t="shared" si="26"/>
        <v>13</v>
      </c>
      <c r="AR16">
        <f t="shared" si="27"/>
        <v>12.6</v>
      </c>
      <c r="AS16">
        <f t="shared" si="28"/>
        <v>13.4</v>
      </c>
      <c r="AT16">
        <f t="shared" si="29"/>
        <v>13</v>
      </c>
      <c r="AU16">
        <f t="shared" si="30"/>
        <v>13</v>
      </c>
      <c r="AV16">
        <f t="shared" si="31"/>
        <v>12.6</v>
      </c>
      <c r="AW16">
        <f t="shared" si="32"/>
        <v>12.6</v>
      </c>
      <c r="AX16">
        <f t="shared" si="33"/>
        <v>13.4</v>
      </c>
      <c r="AY16">
        <f t="shared" si="34"/>
        <v>13.4</v>
      </c>
      <c r="AZ16">
        <f t="shared" si="35"/>
        <v>13</v>
      </c>
    </row>
    <row r="17" spans="1:52" x14ac:dyDescent="0.25">
      <c r="A17">
        <v>14</v>
      </c>
      <c r="C17">
        <f ca="1">MIN(Dados!C16:AZ16)</f>
        <v>27.932812859459681</v>
      </c>
      <c r="D17">
        <f t="array" aca="1" ref="D17" ca="1">MAX(MAX(IF(Dados!C16:AZ16&lt;(E17-1.5*L17),Dados!C16:AZ16,-10000)),C17)</f>
        <v>27.932812859459681</v>
      </c>
      <c r="E17">
        <f ca="1">QUARTILE(Dados!C16:AZ16,1)</f>
        <v>30.990541648411252</v>
      </c>
      <c r="F17">
        <f ca="1">MEDIAN(Dados!C16:AZ16)</f>
        <v>32.43667859429506</v>
      </c>
      <c r="G17">
        <f ca="1">QUARTILE(Dados!C16:AZ16,3)</f>
        <v>35.247209278761041</v>
      </c>
      <c r="H17">
        <f t="array" aca="1" ref="H17" ca="1">MIN(MIN(IF(Dados!C16:AZ16&gt;(G17+1.5*L17),Dados!C16:AZ16,10000)),I17)</f>
        <v>44.467879645996739</v>
      </c>
      <c r="I17">
        <f ca="1">MAX(Dados!C16:AZ16)</f>
        <v>44.467879645996739</v>
      </c>
      <c r="K17">
        <f t="shared" ca="1" si="0"/>
        <v>41.632210724285727</v>
      </c>
      <c r="L17">
        <f t="shared" ca="1" si="1"/>
        <v>4.2566676303497886</v>
      </c>
      <c r="N17">
        <f t="shared" ca="1" si="2"/>
        <v>27.932812859459681</v>
      </c>
      <c r="O17">
        <f t="shared" ref="O17:P17" ca="1" si="59">N17</f>
        <v>27.932812859459681</v>
      </c>
      <c r="P17">
        <f t="shared" ca="1" si="59"/>
        <v>27.932812859459681</v>
      </c>
      <c r="Q17">
        <f t="shared" ca="1" si="4"/>
        <v>30.990541648411252</v>
      </c>
      <c r="R17">
        <f t="shared" ca="1" si="5"/>
        <v>30.990541648411252</v>
      </c>
      <c r="S17">
        <f t="shared" ca="1" si="6"/>
        <v>32.43667859429506</v>
      </c>
      <c r="T17">
        <f t="shared" ca="1" si="7"/>
        <v>32.43667859429506</v>
      </c>
      <c r="U17">
        <f t="shared" ca="1" si="8"/>
        <v>35.247209278761041</v>
      </c>
      <c r="V17">
        <f t="shared" ca="1" si="9"/>
        <v>35.247209278761041</v>
      </c>
      <c r="W17">
        <f t="shared" ca="1" si="10"/>
        <v>44.467879645996739</v>
      </c>
      <c r="X17">
        <f t="shared" ref="X17:Z17" ca="1" si="60">W17</f>
        <v>44.467879645996739</v>
      </c>
      <c r="Y17">
        <f t="shared" ca="1" si="60"/>
        <v>44.467879645996739</v>
      </c>
      <c r="Z17">
        <f t="shared" ca="1" si="60"/>
        <v>44.467879645996739</v>
      </c>
      <c r="AA17">
        <f t="shared" ca="1" si="12"/>
        <v>35.247209278761041</v>
      </c>
      <c r="AB17">
        <f t="shared" ca="1" si="13"/>
        <v>35.247209278761041</v>
      </c>
      <c r="AC17">
        <f t="shared" ca="1" si="14"/>
        <v>32.43667859429506</v>
      </c>
      <c r="AD17">
        <f t="shared" ca="1" si="15"/>
        <v>32.43667859429506</v>
      </c>
      <c r="AE17">
        <f t="shared" ca="1" si="16"/>
        <v>30.990541648411252</v>
      </c>
      <c r="AF17">
        <f t="shared" ca="1" si="17"/>
        <v>30.990541648411252</v>
      </c>
      <c r="AH17">
        <f t="shared" si="18"/>
        <v>13.6</v>
      </c>
      <c r="AI17">
        <f t="shared" si="19"/>
        <v>14.4</v>
      </c>
      <c r="AJ17">
        <f t="shared" si="38"/>
        <v>14</v>
      </c>
      <c r="AK17">
        <f t="shared" si="20"/>
        <v>14</v>
      </c>
      <c r="AL17">
        <f t="shared" si="21"/>
        <v>13.6</v>
      </c>
      <c r="AM17">
        <f t="shared" si="22"/>
        <v>13.6</v>
      </c>
      <c r="AN17">
        <f t="shared" si="23"/>
        <v>14.4</v>
      </c>
      <c r="AO17">
        <f t="shared" si="24"/>
        <v>14.4</v>
      </c>
      <c r="AP17">
        <f t="shared" si="25"/>
        <v>14</v>
      </c>
      <c r="AQ17">
        <f t="shared" si="26"/>
        <v>14</v>
      </c>
      <c r="AR17">
        <f t="shared" si="27"/>
        <v>13.6</v>
      </c>
      <c r="AS17">
        <f t="shared" si="28"/>
        <v>14.4</v>
      </c>
      <c r="AT17">
        <f t="shared" si="29"/>
        <v>14</v>
      </c>
      <c r="AU17">
        <f t="shared" si="30"/>
        <v>14</v>
      </c>
      <c r="AV17">
        <f t="shared" si="31"/>
        <v>13.6</v>
      </c>
      <c r="AW17">
        <f t="shared" si="32"/>
        <v>13.6</v>
      </c>
      <c r="AX17">
        <f t="shared" si="33"/>
        <v>14.4</v>
      </c>
      <c r="AY17">
        <f t="shared" si="34"/>
        <v>14.4</v>
      </c>
      <c r="AZ17">
        <f t="shared" si="35"/>
        <v>14</v>
      </c>
    </row>
    <row r="18" spans="1:52" x14ac:dyDescent="0.25">
      <c r="A18">
        <v>15</v>
      </c>
      <c r="C18">
        <f ca="1">MIN(Dados!C17:AZ17)</f>
        <v>36.386304158527231</v>
      </c>
      <c r="D18">
        <f t="array" aca="1" ref="D18" ca="1">MAX(MAX(IF(Dados!C17:AZ17&lt;(E18-1.5*L18),Dados!C17:AZ17,-10000)),C18)</f>
        <v>36.386304158527231</v>
      </c>
      <c r="E18">
        <f ca="1">QUARTILE(Dados!C17:AZ17,1)</f>
        <v>39.251042339498369</v>
      </c>
      <c r="F18">
        <f ca="1">MEDIAN(Dados!C17:AZ17)</f>
        <v>40.772366023886008</v>
      </c>
      <c r="G18">
        <f ca="1">QUARTILE(Dados!C17:AZ17,3)</f>
        <v>45.04789094326302</v>
      </c>
      <c r="H18">
        <f t="array" aca="1" ref="H18" ca="1">MIN(MIN(IF(Dados!C17:AZ17&gt;(G18+1.5*L18),Dados!C17:AZ17,10000)),I18)</f>
        <v>55.663959627983665</v>
      </c>
      <c r="I18">
        <f ca="1">MAX(Dados!C17:AZ17)</f>
        <v>55.663959627983665</v>
      </c>
      <c r="K18">
        <f t="shared" ca="1" si="0"/>
        <v>53.743163848910001</v>
      </c>
      <c r="L18">
        <f t="shared" ca="1" si="1"/>
        <v>5.7968486037646514</v>
      </c>
      <c r="N18">
        <f t="shared" ca="1" si="2"/>
        <v>36.386304158527231</v>
      </c>
      <c r="O18">
        <f t="shared" ref="O18:P18" ca="1" si="61">N18</f>
        <v>36.386304158527231</v>
      </c>
      <c r="P18">
        <f t="shared" ca="1" si="61"/>
        <v>36.386304158527231</v>
      </c>
      <c r="Q18">
        <f t="shared" ca="1" si="4"/>
        <v>39.251042339498369</v>
      </c>
      <c r="R18">
        <f t="shared" ca="1" si="5"/>
        <v>39.251042339498369</v>
      </c>
      <c r="S18">
        <f t="shared" ca="1" si="6"/>
        <v>40.772366023886008</v>
      </c>
      <c r="T18">
        <f t="shared" ca="1" si="7"/>
        <v>40.772366023886008</v>
      </c>
      <c r="U18">
        <f t="shared" ca="1" si="8"/>
        <v>45.04789094326302</v>
      </c>
      <c r="V18">
        <f t="shared" ca="1" si="9"/>
        <v>45.04789094326302</v>
      </c>
      <c r="W18">
        <f t="shared" ca="1" si="10"/>
        <v>55.663959627983665</v>
      </c>
      <c r="X18">
        <f t="shared" ref="X18:Z18" ca="1" si="62">W18</f>
        <v>55.663959627983665</v>
      </c>
      <c r="Y18">
        <f t="shared" ca="1" si="62"/>
        <v>55.663959627983665</v>
      </c>
      <c r="Z18">
        <f t="shared" ca="1" si="62"/>
        <v>55.663959627983665</v>
      </c>
      <c r="AA18">
        <f t="shared" ca="1" si="12"/>
        <v>45.04789094326302</v>
      </c>
      <c r="AB18">
        <f t="shared" ca="1" si="13"/>
        <v>45.04789094326302</v>
      </c>
      <c r="AC18">
        <f t="shared" ca="1" si="14"/>
        <v>40.772366023886008</v>
      </c>
      <c r="AD18">
        <f t="shared" ca="1" si="15"/>
        <v>40.772366023886008</v>
      </c>
      <c r="AE18">
        <f t="shared" ca="1" si="16"/>
        <v>39.251042339498369</v>
      </c>
      <c r="AF18">
        <f t="shared" ca="1" si="17"/>
        <v>39.251042339498369</v>
      </c>
      <c r="AH18">
        <f t="shared" si="18"/>
        <v>14.6</v>
      </c>
      <c r="AI18">
        <f t="shared" si="19"/>
        <v>15.4</v>
      </c>
      <c r="AJ18">
        <f t="shared" si="38"/>
        <v>15</v>
      </c>
      <c r="AK18">
        <f t="shared" si="20"/>
        <v>15</v>
      </c>
      <c r="AL18">
        <f t="shared" si="21"/>
        <v>14.6</v>
      </c>
      <c r="AM18">
        <f t="shared" si="22"/>
        <v>14.6</v>
      </c>
      <c r="AN18">
        <f t="shared" si="23"/>
        <v>15.4</v>
      </c>
      <c r="AO18">
        <f t="shared" si="24"/>
        <v>15.4</v>
      </c>
      <c r="AP18">
        <f t="shared" si="25"/>
        <v>15</v>
      </c>
      <c r="AQ18">
        <f t="shared" si="26"/>
        <v>15</v>
      </c>
      <c r="AR18">
        <f t="shared" si="27"/>
        <v>14.6</v>
      </c>
      <c r="AS18">
        <f t="shared" si="28"/>
        <v>15.4</v>
      </c>
      <c r="AT18">
        <f t="shared" si="29"/>
        <v>15</v>
      </c>
      <c r="AU18">
        <f t="shared" si="30"/>
        <v>15</v>
      </c>
      <c r="AV18">
        <f t="shared" si="31"/>
        <v>14.6</v>
      </c>
      <c r="AW18">
        <f t="shared" si="32"/>
        <v>14.6</v>
      </c>
      <c r="AX18">
        <f t="shared" si="33"/>
        <v>15.4</v>
      </c>
      <c r="AY18">
        <f t="shared" si="34"/>
        <v>15.4</v>
      </c>
      <c r="AZ18">
        <f t="shared" si="35"/>
        <v>15</v>
      </c>
    </row>
    <row r="19" spans="1:52" x14ac:dyDescent="0.25">
      <c r="A19">
        <v>16</v>
      </c>
      <c r="C19">
        <f ca="1">MIN(Dados!C18:AZ18)</f>
        <v>45.537151566589834</v>
      </c>
      <c r="D19">
        <f t="array" aca="1" ref="D19" ca="1">MAX(MAX(IF(Dados!C18:AZ18&lt;(E19-1.5*L19),Dados!C18:AZ18,-10000)),C19)</f>
        <v>45.537151566589834</v>
      </c>
      <c r="E19">
        <f ca="1">QUARTILE(Dados!C18:AZ18,1)</f>
        <v>50.777274709527759</v>
      </c>
      <c r="F19">
        <f ca="1">MEDIAN(Dados!C18:AZ18)</f>
        <v>53.096727587541736</v>
      </c>
      <c r="G19">
        <f ca="1">QUARTILE(Dados!C18:AZ18,3)</f>
        <v>56.963939036151565</v>
      </c>
      <c r="H19">
        <f t="array" aca="1" ref="H19" ca="1">MIN(MIN(IF(Dados!C18:AZ18&gt;(G19+1.5*L19),Dados!C18:AZ18,10000)),I19)</f>
        <v>66.407106315358021</v>
      </c>
      <c r="I19">
        <f ca="1">MAX(Dados!C18:AZ18)</f>
        <v>69.045160619638395</v>
      </c>
      <c r="K19">
        <f t="shared" ca="1" si="0"/>
        <v>66.24393552608727</v>
      </c>
      <c r="L19">
        <f t="shared" ca="1" si="1"/>
        <v>6.1866643266238057</v>
      </c>
      <c r="N19">
        <f t="shared" ca="1" si="2"/>
        <v>45.537151566589834</v>
      </c>
      <c r="O19">
        <f t="shared" ref="O19:P19" ca="1" si="63">N19</f>
        <v>45.537151566589834</v>
      </c>
      <c r="P19">
        <f t="shared" ca="1" si="63"/>
        <v>45.537151566589834</v>
      </c>
      <c r="Q19">
        <f t="shared" ca="1" si="4"/>
        <v>50.777274709527759</v>
      </c>
      <c r="R19">
        <f t="shared" ca="1" si="5"/>
        <v>50.777274709527759</v>
      </c>
      <c r="S19">
        <f t="shared" ca="1" si="6"/>
        <v>53.096727587541736</v>
      </c>
      <c r="T19">
        <f t="shared" ca="1" si="7"/>
        <v>53.096727587541736</v>
      </c>
      <c r="U19">
        <f t="shared" ca="1" si="8"/>
        <v>56.963939036151565</v>
      </c>
      <c r="V19">
        <f t="shared" ca="1" si="9"/>
        <v>56.963939036151565</v>
      </c>
      <c r="W19">
        <f t="shared" ca="1" si="10"/>
        <v>66.407106315358021</v>
      </c>
      <c r="X19">
        <f t="shared" ref="X19:Z19" ca="1" si="64">W19</f>
        <v>66.407106315358021</v>
      </c>
      <c r="Y19">
        <f t="shared" ca="1" si="64"/>
        <v>66.407106315358021</v>
      </c>
      <c r="Z19">
        <f t="shared" ca="1" si="64"/>
        <v>66.407106315358021</v>
      </c>
      <c r="AA19">
        <f t="shared" ca="1" si="12"/>
        <v>56.963939036151565</v>
      </c>
      <c r="AB19">
        <f t="shared" ca="1" si="13"/>
        <v>56.963939036151565</v>
      </c>
      <c r="AC19">
        <f t="shared" ca="1" si="14"/>
        <v>53.096727587541736</v>
      </c>
      <c r="AD19">
        <f t="shared" ca="1" si="15"/>
        <v>53.096727587541736</v>
      </c>
      <c r="AE19">
        <f t="shared" ca="1" si="16"/>
        <v>50.777274709527759</v>
      </c>
      <c r="AF19">
        <f t="shared" ca="1" si="17"/>
        <v>50.777274709527759</v>
      </c>
      <c r="AH19">
        <f t="shared" si="18"/>
        <v>15.6</v>
      </c>
      <c r="AI19">
        <f t="shared" si="19"/>
        <v>16.399999999999999</v>
      </c>
      <c r="AJ19">
        <f t="shared" si="38"/>
        <v>16</v>
      </c>
      <c r="AK19">
        <f t="shared" si="20"/>
        <v>16</v>
      </c>
      <c r="AL19">
        <f t="shared" si="21"/>
        <v>15.6</v>
      </c>
      <c r="AM19">
        <f t="shared" si="22"/>
        <v>15.6</v>
      </c>
      <c r="AN19">
        <f t="shared" si="23"/>
        <v>16.399999999999999</v>
      </c>
      <c r="AO19">
        <f t="shared" si="24"/>
        <v>16.399999999999999</v>
      </c>
      <c r="AP19">
        <f t="shared" si="25"/>
        <v>16</v>
      </c>
      <c r="AQ19">
        <f t="shared" si="26"/>
        <v>16</v>
      </c>
      <c r="AR19">
        <f t="shared" si="27"/>
        <v>15.6</v>
      </c>
      <c r="AS19">
        <f t="shared" si="28"/>
        <v>16.399999999999999</v>
      </c>
      <c r="AT19">
        <f t="shared" si="29"/>
        <v>16</v>
      </c>
      <c r="AU19">
        <f t="shared" si="30"/>
        <v>16</v>
      </c>
      <c r="AV19">
        <f t="shared" si="31"/>
        <v>15.6</v>
      </c>
      <c r="AW19">
        <f t="shared" si="32"/>
        <v>15.6</v>
      </c>
      <c r="AX19">
        <f t="shared" si="33"/>
        <v>16.399999999999999</v>
      </c>
      <c r="AY19">
        <f t="shared" si="34"/>
        <v>16.399999999999999</v>
      </c>
      <c r="AZ19">
        <f t="shared" si="35"/>
        <v>16</v>
      </c>
    </row>
    <row r="20" spans="1:52" x14ac:dyDescent="0.25">
      <c r="A20">
        <v>17</v>
      </c>
      <c r="C20">
        <f ca="1">MIN(Dados!C19:AZ19)</f>
        <v>57.459216971681556</v>
      </c>
      <c r="D20">
        <f t="array" aca="1" ref="D20" ca="1">MAX(MAX(IF(Dados!C19:AZ19&lt;(E20-1.5*L20),Dados!C19:AZ19,-10000)),C20)</f>
        <v>57.459216971681556</v>
      </c>
      <c r="E20">
        <f ca="1">QUARTILE(Dados!C19:AZ19,1)</f>
        <v>64.769551794360737</v>
      </c>
      <c r="F20">
        <f ca="1">MEDIAN(Dados!C19:AZ19)</f>
        <v>69.388761854937925</v>
      </c>
      <c r="G20">
        <f ca="1">QUARTILE(Dados!C19:AZ19,3)</f>
        <v>73.40422525948108</v>
      </c>
      <c r="H20">
        <f t="array" aca="1" ref="H20" ca="1">MIN(MIN(IF(Dados!C19:AZ19&gt;(G20+1.5*L20),Dados!C19:AZ19,10000)),I20)</f>
        <v>86.774537100898371</v>
      </c>
      <c r="I20">
        <f ca="1">MAX(Dados!C19:AZ19)</f>
        <v>89.92877558741759</v>
      </c>
      <c r="K20">
        <f t="shared" ca="1" si="0"/>
        <v>86.356235457161603</v>
      </c>
      <c r="L20">
        <f t="shared" ca="1" si="1"/>
        <v>8.6346734651203434</v>
      </c>
      <c r="N20">
        <f t="shared" ca="1" si="2"/>
        <v>57.459216971681556</v>
      </c>
      <c r="O20">
        <f t="shared" ref="O20:P20" ca="1" si="65">N20</f>
        <v>57.459216971681556</v>
      </c>
      <c r="P20">
        <f t="shared" ca="1" si="65"/>
        <v>57.459216971681556</v>
      </c>
      <c r="Q20">
        <f t="shared" ca="1" si="4"/>
        <v>64.769551794360737</v>
      </c>
      <c r="R20">
        <f t="shared" ca="1" si="5"/>
        <v>64.769551794360737</v>
      </c>
      <c r="S20">
        <f t="shared" ca="1" si="6"/>
        <v>69.388761854937925</v>
      </c>
      <c r="T20">
        <f t="shared" ca="1" si="7"/>
        <v>69.388761854937925</v>
      </c>
      <c r="U20">
        <f t="shared" ca="1" si="8"/>
        <v>73.40422525948108</v>
      </c>
      <c r="V20">
        <f t="shared" ca="1" si="9"/>
        <v>73.40422525948108</v>
      </c>
      <c r="W20">
        <f t="shared" ca="1" si="10"/>
        <v>86.774537100898371</v>
      </c>
      <c r="X20">
        <f t="shared" ref="X20:Z20" ca="1" si="66">W20</f>
        <v>86.774537100898371</v>
      </c>
      <c r="Y20">
        <f t="shared" ca="1" si="66"/>
        <v>86.774537100898371</v>
      </c>
      <c r="Z20">
        <f t="shared" ca="1" si="66"/>
        <v>86.774537100898371</v>
      </c>
      <c r="AA20">
        <f t="shared" ca="1" si="12"/>
        <v>73.40422525948108</v>
      </c>
      <c r="AB20">
        <f t="shared" ca="1" si="13"/>
        <v>73.40422525948108</v>
      </c>
      <c r="AC20">
        <f t="shared" ca="1" si="14"/>
        <v>69.388761854937925</v>
      </c>
      <c r="AD20">
        <f t="shared" ca="1" si="15"/>
        <v>69.388761854937925</v>
      </c>
      <c r="AE20">
        <f t="shared" ca="1" si="16"/>
        <v>64.769551794360737</v>
      </c>
      <c r="AF20">
        <f t="shared" ca="1" si="17"/>
        <v>64.769551794360737</v>
      </c>
      <c r="AH20">
        <f t="shared" si="18"/>
        <v>16.600000000000001</v>
      </c>
      <c r="AI20">
        <f t="shared" si="19"/>
        <v>17.399999999999999</v>
      </c>
      <c r="AJ20">
        <f t="shared" si="38"/>
        <v>17</v>
      </c>
      <c r="AK20">
        <f t="shared" si="20"/>
        <v>17</v>
      </c>
      <c r="AL20">
        <f t="shared" si="21"/>
        <v>16.600000000000001</v>
      </c>
      <c r="AM20">
        <f t="shared" si="22"/>
        <v>16.600000000000001</v>
      </c>
      <c r="AN20">
        <f t="shared" si="23"/>
        <v>17.399999999999999</v>
      </c>
      <c r="AO20">
        <f t="shared" si="24"/>
        <v>17.399999999999999</v>
      </c>
      <c r="AP20">
        <f t="shared" si="25"/>
        <v>17</v>
      </c>
      <c r="AQ20">
        <f t="shared" si="26"/>
        <v>17</v>
      </c>
      <c r="AR20">
        <f t="shared" si="27"/>
        <v>16.600000000000001</v>
      </c>
      <c r="AS20">
        <f t="shared" si="28"/>
        <v>17.399999999999999</v>
      </c>
      <c r="AT20">
        <f t="shared" si="29"/>
        <v>17</v>
      </c>
      <c r="AU20">
        <f t="shared" si="30"/>
        <v>17</v>
      </c>
      <c r="AV20">
        <f t="shared" si="31"/>
        <v>16.600000000000001</v>
      </c>
      <c r="AW20">
        <f t="shared" si="32"/>
        <v>16.600000000000001</v>
      </c>
      <c r="AX20">
        <f t="shared" si="33"/>
        <v>17.399999999999999</v>
      </c>
      <c r="AY20">
        <f t="shared" si="34"/>
        <v>17.399999999999999</v>
      </c>
      <c r="AZ20">
        <f t="shared" si="35"/>
        <v>17</v>
      </c>
    </row>
    <row r="21" spans="1:52" x14ac:dyDescent="0.25">
      <c r="A21">
        <v>18</v>
      </c>
      <c r="C21">
        <f ca="1">MIN(Dados!C20:AZ20)</f>
        <v>74.208779722548471</v>
      </c>
      <c r="D21">
        <f t="array" aca="1" ref="D21" ca="1">MAX(MAX(IF(Dados!C20:AZ20&lt;(E21-1.5*L21),Dados!C20:AZ20,-10000)),C21)</f>
        <v>74.208779722548471</v>
      </c>
      <c r="E21">
        <f ca="1">QUARTILE(Dados!C20:AZ20,1)</f>
        <v>84.101461989445397</v>
      </c>
      <c r="F21">
        <f ca="1">MEDIAN(Dados!C20:AZ20)</f>
        <v>86.980943722634422</v>
      </c>
      <c r="G21">
        <f ca="1">QUARTILE(Dados!C20:AZ20,3)</f>
        <v>92.605129530076766</v>
      </c>
      <c r="H21">
        <f t="array" aca="1" ref="H21" ca="1">MIN(MIN(IF(Dados!C20:AZ20&gt;(G21+1.5*L21),Dados!C20:AZ20,10000)),I21)</f>
        <v>105.9895358961865</v>
      </c>
      <c r="I21">
        <f ca="1">MAX(Dados!C20:AZ20)</f>
        <v>119.22015268733634</v>
      </c>
      <c r="K21">
        <f t="shared" ca="1" si="0"/>
        <v>105.36063084102382</v>
      </c>
      <c r="L21">
        <f t="shared" ca="1" si="1"/>
        <v>8.5036675406313691</v>
      </c>
      <c r="N21">
        <f t="shared" ca="1" si="2"/>
        <v>74.208779722548471</v>
      </c>
      <c r="O21">
        <f t="shared" ref="O21:P21" ca="1" si="67">N21</f>
        <v>74.208779722548471</v>
      </c>
      <c r="P21">
        <f t="shared" ca="1" si="67"/>
        <v>74.208779722548471</v>
      </c>
      <c r="Q21">
        <f t="shared" ca="1" si="4"/>
        <v>84.101461989445397</v>
      </c>
      <c r="R21">
        <f t="shared" ca="1" si="5"/>
        <v>84.101461989445397</v>
      </c>
      <c r="S21">
        <f t="shared" ca="1" si="6"/>
        <v>86.980943722634422</v>
      </c>
      <c r="T21">
        <f t="shared" ca="1" si="7"/>
        <v>86.980943722634422</v>
      </c>
      <c r="U21">
        <f t="shared" ca="1" si="8"/>
        <v>92.605129530076766</v>
      </c>
      <c r="V21">
        <f t="shared" ca="1" si="9"/>
        <v>92.605129530076766</v>
      </c>
      <c r="W21">
        <f t="shared" ca="1" si="10"/>
        <v>105.9895358961865</v>
      </c>
      <c r="X21">
        <f t="shared" ref="X21:Z21" ca="1" si="68">W21</f>
        <v>105.9895358961865</v>
      </c>
      <c r="Y21">
        <f t="shared" ca="1" si="68"/>
        <v>105.9895358961865</v>
      </c>
      <c r="Z21">
        <f t="shared" ca="1" si="68"/>
        <v>105.9895358961865</v>
      </c>
      <c r="AA21">
        <f t="shared" ca="1" si="12"/>
        <v>92.605129530076766</v>
      </c>
      <c r="AB21">
        <f t="shared" ca="1" si="13"/>
        <v>92.605129530076766</v>
      </c>
      <c r="AC21">
        <f t="shared" ca="1" si="14"/>
        <v>86.980943722634422</v>
      </c>
      <c r="AD21">
        <f t="shared" ca="1" si="15"/>
        <v>86.980943722634422</v>
      </c>
      <c r="AE21">
        <f t="shared" ca="1" si="16"/>
        <v>84.101461989445397</v>
      </c>
      <c r="AF21">
        <f t="shared" ca="1" si="17"/>
        <v>84.101461989445397</v>
      </c>
      <c r="AH21">
        <f t="shared" si="18"/>
        <v>17.600000000000001</v>
      </c>
      <c r="AI21">
        <f t="shared" si="19"/>
        <v>18.399999999999999</v>
      </c>
      <c r="AJ21">
        <f t="shared" si="38"/>
        <v>18</v>
      </c>
      <c r="AK21">
        <f t="shared" si="20"/>
        <v>18</v>
      </c>
      <c r="AL21">
        <f t="shared" si="21"/>
        <v>17.600000000000001</v>
      </c>
      <c r="AM21">
        <f t="shared" si="22"/>
        <v>17.600000000000001</v>
      </c>
      <c r="AN21">
        <f t="shared" si="23"/>
        <v>18.399999999999999</v>
      </c>
      <c r="AO21">
        <f t="shared" si="24"/>
        <v>18.399999999999999</v>
      </c>
      <c r="AP21">
        <f t="shared" si="25"/>
        <v>18</v>
      </c>
      <c r="AQ21">
        <f t="shared" si="26"/>
        <v>18</v>
      </c>
      <c r="AR21">
        <f t="shared" si="27"/>
        <v>17.600000000000001</v>
      </c>
      <c r="AS21">
        <f t="shared" si="28"/>
        <v>18.399999999999999</v>
      </c>
      <c r="AT21">
        <f t="shared" si="29"/>
        <v>18</v>
      </c>
      <c r="AU21">
        <f t="shared" si="30"/>
        <v>18</v>
      </c>
      <c r="AV21">
        <f t="shared" si="31"/>
        <v>17.600000000000001</v>
      </c>
      <c r="AW21">
        <f t="shared" si="32"/>
        <v>17.600000000000001</v>
      </c>
      <c r="AX21">
        <f t="shared" si="33"/>
        <v>18.399999999999999</v>
      </c>
      <c r="AY21">
        <f t="shared" si="34"/>
        <v>18.399999999999999</v>
      </c>
      <c r="AZ21">
        <f t="shared" si="35"/>
        <v>18</v>
      </c>
    </row>
    <row r="22" spans="1:52" x14ac:dyDescent="0.25">
      <c r="A22">
        <v>19</v>
      </c>
      <c r="C22">
        <f ca="1">MIN(Dados!C21:AZ21)</f>
        <v>93.782188916548208</v>
      </c>
      <c r="D22">
        <f t="array" aca="1" ref="D22" ca="1">MAX(MAX(IF(Dados!C21:AZ21&lt;(E22-1.5*L22),Dados!C21:AZ21,-10000)),C22)</f>
        <v>93.782188916548208</v>
      </c>
      <c r="E22">
        <f ca="1">QUARTILE(Dados!C21:AZ21,1)</f>
        <v>107.90163986521881</v>
      </c>
      <c r="F22">
        <f ca="1">MEDIAN(Dados!C21:AZ21)</f>
        <v>112.4051689953005</v>
      </c>
      <c r="G22">
        <f ca="1">QUARTILE(Dados!C21:AZ21,3)</f>
        <v>122.34807575138882</v>
      </c>
      <c r="H22">
        <f t="array" aca="1" ref="H22" ca="1">MIN(MIN(IF(Dados!C21:AZ21&gt;(G22+1.5*L22),Dados!C21:AZ21,10000)),I22)</f>
        <v>146.49777524784631</v>
      </c>
      <c r="I22">
        <f ca="1">MAX(Dados!C21:AZ21)</f>
        <v>151.87038799036154</v>
      </c>
      <c r="K22">
        <f t="shared" ca="1" si="0"/>
        <v>144.01772958064385</v>
      </c>
      <c r="L22">
        <f t="shared" ca="1" si="1"/>
        <v>14.446435886170008</v>
      </c>
      <c r="N22">
        <f t="shared" ca="1" si="2"/>
        <v>93.782188916548208</v>
      </c>
      <c r="O22">
        <f t="shared" ref="O22:P22" ca="1" si="69">N22</f>
        <v>93.782188916548208</v>
      </c>
      <c r="P22">
        <f t="shared" ca="1" si="69"/>
        <v>93.782188916548208</v>
      </c>
      <c r="Q22">
        <f t="shared" ca="1" si="4"/>
        <v>107.90163986521881</v>
      </c>
      <c r="R22">
        <f t="shared" ca="1" si="5"/>
        <v>107.90163986521881</v>
      </c>
      <c r="S22">
        <f t="shared" ca="1" si="6"/>
        <v>112.4051689953005</v>
      </c>
      <c r="T22">
        <f t="shared" ca="1" si="7"/>
        <v>112.4051689953005</v>
      </c>
      <c r="U22">
        <f t="shared" ca="1" si="8"/>
        <v>122.34807575138882</v>
      </c>
      <c r="V22">
        <f t="shared" ca="1" si="9"/>
        <v>122.34807575138882</v>
      </c>
      <c r="W22">
        <f t="shared" ca="1" si="10"/>
        <v>146.49777524784631</v>
      </c>
      <c r="X22">
        <f t="shared" ref="X22:Z22" ca="1" si="70">W22</f>
        <v>146.49777524784631</v>
      </c>
      <c r="Y22">
        <f t="shared" ca="1" si="70"/>
        <v>146.49777524784631</v>
      </c>
      <c r="Z22">
        <f t="shared" ca="1" si="70"/>
        <v>146.49777524784631</v>
      </c>
      <c r="AA22">
        <f t="shared" ca="1" si="12"/>
        <v>122.34807575138882</v>
      </c>
      <c r="AB22">
        <f t="shared" ca="1" si="13"/>
        <v>122.34807575138882</v>
      </c>
      <c r="AC22">
        <f t="shared" ca="1" si="14"/>
        <v>112.4051689953005</v>
      </c>
      <c r="AD22">
        <f t="shared" ca="1" si="15"/>
        <v>112.4051689953005</v>
      </c>
      <c r="AE22">
        <f t="shared" ca="1" si="16"/>
        <v>107.90163986521881</v>
      </c>
      <c r="AF22">
        <f t="shared" ca="1" si="17"/>
        <v>107.90163986521881</v>
      </c>
      <c r="AH22">
        <f t="shared" si="18"/>
        <v>18.600000000000001</v>
      </c>
      <c r="AI22">
        <f t="shared" si="19"/>
        <v>19.399999999999999</v>
      </c>
      <c r="AJ22">
        <f t="shared" si="38"/>
        <v>19</v>
      </c>
      <c r="AK22">
        <f t="shared" si="20"/>
        <v>19</v>
      </c>
      <c r="AL22">
        <f t="shared" si="21"/>
        <v>18.600000000000001</v>
      </c>
      <c r="AM22">
        <f t="shared" si="22"/>
        <v>18.600000000000001</v>
      </c>
      <c r="AN22">
        <f t="shared" si="23"/>
        <v>19.399999999999999</v>
      </c>
      <c r="AO22">
        <f t="shared" si="24"/>
        <v>19.399999999999999</v>
      </c>
      <c r="AP22">
        <f t="shared" si="25"/>
        <v>19</v>
      </c>
      <c r="AQ22">
        <f t="shared" si="26"/>
        <v>19</v>
      </c>
      <c r="AR22">
        <f t="shared" si="27"/>
        <v>18.600000000000001</v>
      </c>
      <c r="AS22">
        <f t="shared" si="28"/>
        <v>19.399999999999999</v>
      </c>
      <c r="AT22">
        <f t="shared" si="29"/>
        <v>19</v>
      </c>
      <c r="AU22">
        <f t="shared" si="30"/>
        <v>19</v>
      </c>
      <c r="AV22">
        <f t="shared" si="31"/>
        <v>18.600000000000001</v>
      </c>
      <c r="AW22">
        <f t="shared" si="32"/>
        <v>18.600000000000001</v>
      </c>
      <c r="AX22">
        <f t="shared" si="33"/>
        <v>19.399999999999999</v>
      </c>
      <c r="AY22">
        <f t="shared" si="34"/>
        <v>19.399999999999999</v>
      </c>
      <c r="AZ22">
        <f t="shared" si="35"/>
        <v>19</v>
      </c>
    </row>
    <row r="23" spans="1:52" x14ac:dyDescent="0.25">
      <c r="A23">
        <v>20</v>
      </c>
      <c r="C23">
        <f ca="1">MIN(Dados!C22:AZ22)</f>
        <v>120.97633247645237</v>
      </c>
      <c r="D23">
        <f t="array" aca="1" ref="D23" ca="1">MAX(MAX(IF(Dados!C22:AZ22&lt;(E23-1.5*L23),Dados!C22:AZ22,-10000)),C23)</f>
        <v>120.97633247645237</v>
      </c>
      <c r="E23">
        <f ca="1">QUARTILE(Dados!C22:AZ22,1)</f>
        <v>136.51897761547019</v>
      </c>
      <c r="F23">
        <f ca="1">MEDIAN(Dados!C22:AZ22)</f>
        <v>145.98799635053368</v>
      </c>
      <c r="G23">
        <f ca="1">QUARTILE(Dados!C22:AZ22,3)</f>
        <v>155.31662507052314</v>
      </c>
      <c r="H23">
        <f t="array" aca="1" ref="H23" ca="1">MIN(MIN(IF(Dados!C22:AZ22&gt;(G23+1.5*L23),Dados!C22:AZ22,10000)),I23)</f>
        <v>185.09120351031908</v>
      </c>
      <c r="I23">
        <f ca="1">MAX(Dados!C22:AZ22)</f>
        <v>202.31707447495165</v>
      </c>
      <c r="K23">
        <f t="shared" ca="1" si="0"/>
        <v>183.51309625310256</v>
      </c>
      <c r="L23">
        <f t="shared" ca="1" si="1"/>
        <v>18.797647455052953</v>
      </c>
      <c r="N23">
        <f t="shared" ca="1" si="2"/>
        <v>120.97633247645237</v>
      </c>
      <c r="O23">
        <f t="shared" ref="O23:P23" ca="1" si="71">N23</f>
        <v>120.97633247645237</v>
      </c>
      <c r="P23">
        <f t="shared" ca="1" si="71"/>
        <v>120.97633247645237</v>
      </c>
      <c r="Q23">
        <f t="shared" ca="1" si="4"/>
        <v>136.51897761547019</v>
      </c>
      <c r="R23">
        <f t="shared" ca="1" si="5"/>
        <v>136.51897761547019</v>
      </c>
      <c r="S23">
        <f t="shared" ca="1" si="6"/>
        <v>145.98799635053368</v>
      </c>
      <c r="T23">
        <f t="shared" ca="1" si="7"/>
        <v>145.98799635053368</v>
      </c>
      <c r="U23">
        <f t="shared" ca="1" si="8"/>
        <v>155.31662507052314</v>
      </c>
      <c r="V23">
        <f t="shared" ca="1" si="9"/>
        <v>155.31662507052314</v>
      </c>
      <c r="W23">
        <f t="shared" ca="1" si="10"/>
        <v>185.09120351031908</v>
      </c>
      <c r="X23">
        <f t="shared" ref="X23:Z23" ca="1" si="72">W23</f>
        <v>185.09120351031908</v>
      </c>
      <c r="Y23">
        <f t="shared" ca="1" si="72"/>
        <v>185.09120351031908</v>
      </c>
      <c r="Z23">
        <f t="shared" ca="1" si="72"/>
        <v>185.09120351031908</v>
      </c>
      <c r="AA23">
        <f t="shared" ca="1" si="12"/>
        <v>155.31662507052314</v>
      </c>
      <c r="AB23">
        <f t="shared" ca="1" si="13"/>
        <v>155.31662507052314</v>
      </c>
      <c r="AC23">
        <f t="shared" ca="1" si="14"/>
        <v>145.98799635053368</v>
      </c>
      <c r="AD23">
        <f t="shared" ca="1" si="15"/>
        <v>145.98799635053368</v>
      </c>
      <c r="AE23">
        <f t="shared" ca="1" si="16"/>
        <v>136.51897761547019</v>
      </c>
      <c r="AF23">
        <f t="shared" ca="1" si="17"/>
        <v>136.51897761547019</v>
      </c>
      <c r="AH23">
        <f t="shared" si="18"/>
        <v>19.600000000000001</v>
      </c>
      <c r="AI23">
        <f t="shared" si="19"/>
        <v>20.399999999999999</v>
      </c>
      <c r="AJ23">
        <f t="shared" si="38"/>
        <v>20</v>
      </c>
      <c r="AK23">
        <f t="shared" si="20"/>
        <v>20</v>
      </c>
      <c r="AL23">
        <f t="shared" si="21"/>
        <v>19.600000000000001</v>
      </c>
      <c r="AM23">
        <f t="shared" si="22"/>
        <v>19.600000000000001</v>
      </c>
      <c r="AN23">
        <f t="shared" si="23"/>
        <v>20.399999999999999</v>
      </c>
      <c r="AO23">
        <f t="shared" si="24"/>
        <v>20.399999999999999</v>
      </c>
      <c r="AP23">
        <f t="shared" si="25"/>
        <v>20</v>
      </c>
      <c r="AQ23">
        <f t="shared" si="26"/>
        <v>20</v>
      </c>
      <c r="AR23">
        <f t="shared" si="27"/>
        <v>19.600000000000001</v>
      </c>
      <c r="AS23">
        <f t="shared" si="28"/>
        <v>20.399999999999999</v>
      </c>
      <c r="AT23">
        <f t="shared" si="29"/>
        <v>20</v>
      </c>
      <c r="AU23">
        <f t="shared" si="30"/>
        <v>20</v>
      </c>
      <c r="AV23">
        <f t="shared" si="31"/>
        <v>19.600000000000001</v>
      </c>
      <c r="AW23">
        <f t="shared" si="32"/>
        <v>19.600000000000001</v>
      </c>
      <c r="AX23">
        <f t="shared" si="33"/>
        <v>20.399999999999999</v>
      </c>
      <c r="AY23">
        <f t="shared" si="34"/>
        <v>20.399999999999999</v>
      </c>
      <c r="AZ23">
        <f t="shared" si="35"/>
        <v>20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Daleles Rennó</cp:lastModifiedBy>
  <dcterms:created xsi:type="dcterms:W3CDTF">2024-05-29T14:49:42Z</dcterms:created>
  <dcterms:modified xsi:type="dcterms:W3CDTF">2025-06-03T13:10:12Z</dcterms:modified>
</cp:coreProperties>
</file>