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0" documentId="11_8BADEB7E15D873723E2E2C90A803F1DC1BF6576F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Dados" sheetId="1" r:id="rId1"/>
    <sheet name="gráfic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3" l="1"/>
  <c r="AN4" i="3" s="1"/>
  <c r="AH4" i="3"/>
  <c r="AM4" i="3" s="1"/>
  <c r="AJ5" i="3"/>
  <c r="AQ5" i="3" s="1"/>
  <c r="AF3" i="3"/>
  <c r="AA3" i="3"/>
  <c r="Z3" i="3"/>
  <c r="W3" i="3"/>
  <c r="V3" i="3"/>
  <c r="Q3" i="3"/>
  <c r="O3" i="3"/>
  <c r="Y3" i="3" s="1"/>
  <c r="N3" i="3"/>
  <c r="S3" i="3" s="1"/>
  <c r="AZ4" i="3"/>
  <c r="AU4" i="3"/>
  <c r="AT4" i="3"/>
  <c r="AQ4" i="3"/>
  <c r="AP4" i="3"/>
  <c r="AK4" i="3"/>
  <c r="AD3" i="3" l="1"/>
  <c r="AJ6" i="3"/>
  <c r="AI5" i="3"/>
  <c r="R3" i="3"/>
  <c r="AE3" i="3"/>
  <c r="AH5" i="3"/>
  <c r="AV5" i="3" s="1"/>
  <c r="AO4" i="3"/>
  <c r="AS4" i="3"/>
  <c r="AY4" i="3"/>
  <c r="AX4" i="3"/>
  <c r="AW4" i="3"/>
  <c r="AV4" i="3"/>
  <c r="AR4" i="3"/>
  <c r="AL4" i="3"/>
  <c r="AZ5" i="3"/>
  <c r="AK5" i="3"/>
  <c r="AU5" i="3"/>
  <c r="AT5" i="3"/>
  <c r="AP5" i="3"/>
  <c r="X3" i="3"/>
  <c r="U3" i="3"/>
  <c r="AC3" i="3"/>
  <c r="T3" i="3"/>
  <c r="AB3" i="3"/>
  <c r="AP6" i="3" l="1"/>
  <c r="AQ6" i="3"/>
  <c r="AH6" i="3"/>
  <c r="AT6" i="3"/>
  <c r="AU6" i="3"/>
  <c r="AZ6" i="3"/>
  <c r="AJ7" i="3"/>
  <c r="AI6" i="3"/>
  <c r="AK6" i="3"/>
  <c r="AX5" i="3"/>
  <c r="AO5" i="3"/>
  <c r="AM5" i="3"/>
  <c r="AR5" i="3"/>
  <c r="AW5" i="3"/>
  <c r="AY5" i="3"/>
  <c r="AS5" i="3"/>
  <c r="AN5" i="3"/>
  <c r="AL5" i="3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2" i="1"/>
  <c r="D2" i="1" l="1"/>
  <c r="C3" i="1"/>
  <c r="AJ8" i="3"/>
  <c r="AU7" i="3"/>
  <c r="AH7" i="3"/>
  <c r="AZ7" i="3"/>
  <c r="AI7" i="3"/>
  <c r="AK7" i="3"/>
  <c r="AP7" i="3"/>
  <c r="AQ7" i="3"/>
  <c r="AT7" i="3"/>
  <c r="AX6" i="3"/>
  <c r="AY6" i="3"/>
  <c r="AS6" i="3"/>
  <c r="AN6" i="3"/>
  <c r="AO6" i="3"/>
  <c r="AV6" i="3"/>
  <c r="AL6" i="3"/>
  <c r="AM6" i="3"/>
  <c r="AW6" i="3"/>
  <c r="AR6" i="3"/>
  <c r="C4" i="1" l="1"/>
  <c r="C5" i="1" s="1"/>
  <c r="E2" i="1"/>
  <c r="D3" i="1"/>
  <c r="D4" i="1" s="1"/>
  <c r="D5" i="1" s="1"/>
  <c r="AH8" i="3"/>
  <c r="AI8" i="3"/>
  <c r="AJ9" i="3"/>
  <c r="AP8" i="3"/>
  <c r="AK8" i="3"/>
  <c r="AU8" i="3"/>
  <c r="AT8" i="3"/>
  <c r="AQ8" i="3"/>
  <c r="AZ8" i="3"/>
  <c r="AR7" i="3"/>
  <c r="AV7" i="3"/>
  <c r="AL7" i="3"/>
  <c r="AM7" i="3"/>
  <c r="AW7" i="3"/>
  <c r="AO7" i="3"/>
  <c r="AY7" i="3"/>
  <c r="AX7" i="3"/>
  <c r="AN7" i="3"/>
  <c r="AS7" i="3"/>
  <c r="E3" i="1" l="1"/>
  <c r="F2" i="1"/>
  <c r="AM8" i="3"/>
  <c r="AV8" i="3"/>
  <c r="AW8" i="3"/>
  <c r="AR8" i="3"/>
  <c r="AL8" i="3"/>
  <c r="AO8" i="3"/>
  <c r="AS8" i="3"/>
  <c r="AX8" i="3"/>
  <c r="AN8" i="3"/>
  <c r="AY8" i="3"/>
  <c r="AI9" i="3"/>
  <c r="AH9" i="3"/>
  <c r="AT9" i="3"/>
  <c r="AJ10" i="3"/>
  <c r="AU9" i="3"/>
  <c r="AZ9" i="3"/>
  <c r="AK9" i="3"/>
  <c r="AP9" i="3"/>
  <c r="AQ9" i="3"/>
  <c r="D6" i="1"/>
  <c r="C6" i="1"/>
  <c r="E4" i="1" l="1"/>
  <c r="F3" i="1"/>
  <c r="F4" i="1" s="1"/>
  <c r="F5" i="1" s="1"/>
  <c r="F6" i="1" s="1"/>
  <c r="G2" i="1"/>
  <c r="AI10" i="3"/>
  <c r="AH10" i="3"/>
  <c r="AQ10" i="3"/>
  <c r="AP10" i="3"/>
  <c r="AZ10" i="3"/>
  <c r="AK10" i="3"/>
  <c r="AU10" i="3"/>
  <c r="AJ11" i="3"/>
  <c r="AT10" i="3"/>
  <c r="AX9" i="3"/>
  <c r="AO9" i="3"/>
  <c r="AN9" i="3"/>
  <c r="AS9" i="3"/>
  <c r="AY9" i="3"/>
  <c r="AL9" i="3"/>
  <c r="AW9" i="3"/>
  <c r="AM9" i="3"/>
  <c r="AV9" i="3"/>
  <c r="AR9" i="3"/>
  <c r="D7" i="1"/>
  <c r="C7" i="1"/>
  <c r="E5" i="1" l="1"/>
  <c r="G3" i="1"/>
  <c r="H2" i="1"/>
  <c r="AS10" i="3"/>
  <c r="AN10" i="3"/>
  <c r="AY10" i="3"/>
  <c r="AX10" i="3"/>
  <c r="AO10" i="3"/>
  <c r="AI11" i="3"/>
  <c r="AH11" i="3"/>
  <c r="AZ11" i="3"/>
  <c r="AJ12" i="3"/>
  <c r="AT11" i="3"/>
  <c r="AQ11" i="3"/>
  <c r="AK11" i="3"/>
  <c r="AU11" i="3"/>
  <c r="AP11" i="3"/>
  <c r="AV10" i="3"/>
  <c r="AL10" i="3"/>
  <c r="AR10" i="3"/>
  <c r="AM10" i="3"/>
  <c r="AW10" i="3"/>
  <c r="D8" i="1"/>
  <c r="F7" i="1"/>
  <c r="C8" i="1"/>
  <c r="E6" i="1" l="1"/>
  <c r="G4" i="1"/>
  <c r="H3" i="1"/>
  <c r="H4" i="1" s="1"/>
  <c r="H5" i="1" s="1"/>
  <c r="H6" i="1" s="1"/>
  <c r="I2" i="1"/>
  <c r="AL11" i="3"/>
  <c r="AV11" i="3"/>
  <c r="AR11" i="3"/>
  <c r="AM11" i="3"/>
  <c r="AW11" i="3"/>
  <c r="AI12" i="3"/>
  <c r="AH12" i="3"/>
  <c r="AJ13" i="3"/>
  <c r="AQ12" i="3"/>
  <c r="AU12" i="3"/>
  <c r="AK12" i="3"/>
  <c r="AT12" i="3"/>
  <c r="AP12" i="3"/>
  <c r="AZ12" i="3"/>
  <c r="AS11" i="3"/>
  <c r="AO11" i="3"/>
  <c r="AX11" i="3"/>
  <c r="AN11" i="3"/>
  <c r="AY11" i="3"/>
  <c r="D9" i="1"/>
  <c r="F8" i="1"/>
  <c r="C9" i="1"/>
  <c r="E7" i="1" l="1"/>
  <c r="G5" i="1"/>
  <c r="I3" i="1"/>
  <c r="I4" i="1" s="1"/>
  <c r="I5" i="1" s="1"/>
  <c r="I6" i="1" s="1"/>
  <c r="J2" i="1"/>
  <c r="AS12" i="3"/>
  <c r="AX12" i="3"/>
  <c r="AO12" i="3"/>
  <c r="AY12" i="3"/>
  <c r="AN12" i="3"/>
  <c r="AH13" i="3"/>
  <c r="AI13" i="3"/>
  <c r="AT13" i="3"/>
  <c r="AQ13" i="3"/>
  <c r="AJ14" i="3"/>
  <c r="AK13" i="3"/>
  <c r="AP13" i="3"/>
  <c r="AZ13" i="3"/>
  <c r="AU13" i="3"/>
  <c r="AW12" i="3"/>
  <c r="AV12" i="3"/>
  <c r="AL12" i="3"/>
  <c r="AR12" i="3"/>
  <c r="AM12" i="3"/>
  <c r="H7" i="1"/>
  <c r="F9" i="1"/>
  <c r="D10" i="1"/>
  <c r="C10" i="1"/>
  <c r="G6" i="1" l="1"/>
  <c r="E8" i="1"/>
  <c r="J3" i="1"/>
  <c r="K2" i="1"/>
  <c r="AV13" i="3"/>
  <c r="AW13" i="3"/>
  <c r="AM13" i="3"/>
  <c r="AL13" i="3"/>
  <c r="AR13" i="3"/>
  <c r="AS13" i="3"/>
  <c r="AX13" i="3"/>
  <c r="AO13" i="3"/>
  <c r="AY13" i="3"/>
  <c r="AN13" i="3"/>
  <c r="AI14" i="3"/>
  <c r="AH14" i="3"/>
  <c r="AT14" i="3"/>
  <c r="AQ14" i="3"/>
  <c r="AP14" i="3"/>
  <c r="AJ15" i="3"/>
  <c r="AZ14" i="3"/>
  <c r="AK14" i="3"/>
  <c r="AU14" i="3"/>
  <c r="H8" i="1"/>
  <c r="D11" i="1"/>
  <c r="F10" i="1"/>
  <c r="C11" i="1"/>
  <c r="I7" i="1"/>
  <c r="E9" i="1" l="1"/>
  <c r="G7" i="1"/>
  <c r="J4" i="1"/>
  <c r="K3" i="1"/>
  <c r="K4" i="1" s="1"/>
  <c r="K5" i="1" s="1"/>
  <c r="K6" i="1" s="1"/>
  <c r="L2" i="1"/>
  <c r="AH15" i="3"/>
  <c r="AI15" i="3"/>
  <c r="AZ15" i="3"/>
  <c r="AJ16" i="3"/>
  <c r="AK15" i="3"/>
  <c r="AQ15" i="3"/>
  <c r="AP15" i="3"/>
  <c r="AU15" i="3"/>
  <c r="AT15" i="3"/>
  <c r="AS14" i="3"/>
  <c r="AO14" i="3"/>
  <c r="AX14" i="3"/>
  <c r="AN14" i="3"/>
  <c r="AY14" i="3"/>
  <c r="AV14" i="3"/>
  <c r="AW14" i="3"/>
  <c r="AL14" i="3"/>
  <c r="AR14" i="3"/>
  <c r="AM14" i="3"/>
  <c r="D12" i="1"/>
  <c r="H9" i="1"/>
  <c r="F11" i="1"/>
  <c r="C12" i="1"/>
  <c r="I8" i="1"/>
  <c r="G8" i="1" l="1"/>
  <c r="E10" i="1"/>
  <c r="J5" i="1"/>
  <c r="L3" i="1"/>
  <c r="L4" i="1" s="1"/>
  <c r="L5" i="1" s="1"/>
  <c r="L6" i="1" s="1"/>
  <c r="M2" i="1"/>
  <c r="AR15" i="3"/>
  <c r="AL15" i="3"/>
  <c r="AM15" i="3"/>
  <c r="AW15" i="3"/>
  <c r="AV15" i="3"/>
  <c r="AX15" i="3"/>
  <c r="AN15" i="3"/>
  <c r="AO15" i="3"/>
  <c r="AY15" i="3"/>
  <c r="AS15" i="3"/>
  <c r="AH16" i="3"/>
  <c r="AI16" i="3"/>
  <c r="AT16" i="3"/>
  <c r="AQ16" i="3"/>
  <c r="AP16" i="3"/>
  <c r="AZ16" i="3"/>
  <c r="AJ17" i="3"/>
  <c r="AK16" i="3"/>
  <c r="AU16" i="3"/>
  <c r="H10" i="1"/>
  <c r="F12" i="1"/>
  <c r="K7" i="1"/>
  <c r="D13" i="1"/>
  <c r="I9" i="1"/>
  <c r="C13" i="1"/>
  <c r="E11" i="1" l="1"/>
  <c r="J6" i="1"/>
  <c r="G9" i="1"/>
  <c r="M3" i="1"/>
  <c r="M4" i="1" s="1"/>
  <c r="M5" i="1" s="1"/>
  <c r="M6" i="1" s="1"/>
  <c r="N2" i="1"/>
  <c r="AI17" i="3"/>
  <c r="AH17" i="3"/>
  <c r="AT17" i="3"/>
  <c r="AJ18" i="3"/>
  <c r="AQ17" i="3"/>
  <c r="AU17" i="3"/>
  <c r="AP17" i="3"/>
  <c r="AZ17" i="3"/>
  <c r="AK17" i="3"/>
  <c r="AV16" i="3"/>
  <c r="AR16" i="3"/>
  <c r="AM16" i="3"/>
  <c r="AW16" i="3"/>
  <c r="AL16" i="3"/>
  <c r="AS16" i="3"/>
  <c r="AY16" i="3"/>
  <c r="AO16" i="3"/>
  <c r="AX16" i="3"/>
  <c r="AN16" i="3"/>
  <c r="F13" i="1"/>
  <c r="K8" i="1"/>
  <c r="H11" i="1"/>
  <c r="D14" i="1"/>
  <c r="C14" i="1"/>
  <c r="L7" i="1"/>
  <c r="I10" i="1"/>
  <c r="J7" i="1" l="1"/>
  <c r="E12" i="1"/>
  <c r="G10" i="1"/>
  <c r="N3" i="1"/>
  <c r="N4" i="1" s="1"/>
  <c r="N5" i="1" s="1"/>
  <c r="N6" i="1" s="1"/>
  <c r="O2" i="1"/>
  <c r="AX17" i="3"/>
  <c r="AO17" i="3"/>
  <c r="AN17" i="3"/>
  <c r="AS17" i="3"/>
  <c r="AY17" i="3"/>
  <c r="AV17" i="3"/>
  <c r="AR17" i="3"/>
  <c r="AL17" i="3"/>
  <c r="AW17" i="3"/>
  <c r="AM17" i="3"/>
  <c r="AI18" i="3"/>
  <c r="AH18" i="3"/>
  <c r="AK18" i="3"/>
  <c r="AJ19" i="3"/>
  <c r="AU18" i="3"/>
  <c r="AP18" i="3"/>
  <c r="AT18" i="3"/>
  <c r="AQ18" i="3"/>
  <c r="AZ18" i="3"/>
  <c r="M7" i="1"/>
  <c r="H12" i="1"/>
  <c r="F14" i="1"/>
  <c r="D15" i="1"/>
  <c r="K9" i="1"/>
  <c r="I11" i="1"/>
  <c r="L8" i="1"/>
  <c r="C15" i="1"/>
  <c r="G11" i="1" l="1"/>
  <c r="E13" i="1"/>
  <c r="J8" i="1"/>
  <c r="O3" i="1"/>
  <c r="O4" i="1" s="1"/>
  <c r="O5" i="1" s="1"/>
  <c r="O6" i="1" s="1"/>
  <c r="P2" i="1"/>
  <c r="AI19" i="3"/>
  <c r="AH19" i="3"/>
  <c r="AJ20" i="3"/>
  <c r="AK19" i="3"/>
  <c r="AU19" i="3"/>
  <c r="AT19" i="3"/>
  <c r="AQ19" i="3"/>
  <c r="AP19" i="3"/>
  <c r="AZ19" i="3"/>
  <c r="AS18" i="3"/>
  <c r="AN18" i="3"/>
  <c r="AY18" i="3"/>
  <c r="AX18" i="3"/>
  <c r="AO18" i="3"/>
  <c r="AV18" i="3"/>
  <c r="AL18" i="3"/>
  <c r="AR18" i="3"/>
  <c r="AM18" i="3"/>
  <c r="AW18" i="3"/>
  <c r="D16" i="1"/>
  <c r="M8" i="1"/>
  <c r="N7" i="1"/>
  <c r="H13" i="1"/>
  <c r="F15" i="1"/>
  <c r="K10" i="1"/>
  <c r="L9" i="1"/>
  <c r="C16" i="1"/>
  <c r="I12" i="1"/>
  <c r="E14" i="1" l="1"/>
  <c r="G12" i="1"/>
  <c r="J9" i="1"/>
  <c r="P3" i="1"/>
  <c r="P4" i="1" s="1"/>
  <c r="P5" i="1" s="1"/>
  <c r="P6" i="1" s="1"/>
  <c r="Q2" i="1"/>
  <c r="AO19" i="3"/>
  <c r="AN19" i="3"/>
  <c r="AY19" i="3"/>
  <c r="AX19" i="3"/>
  <c r="AS19" i="3"/>
  <c r="AL19" i="3"/>
  <c r="AW19" i="3"/>
  <c r="AR19" i="3"/>
  <c r="AM19" i="3"/>
  <c r="AV19" i="3"/>
  <c r="AI20" i="3"/>
  <c r="AH20" i="3"/>
  <c r="AQ20" i="3"/>
  <c r="AP20" i="3"/>
  <c r="AZ20" i="3"/>
  <c r="AJ21" i="3"/>
  <c r="AU20" i="3"/>
  <c r="AK20" i="3"/>
  <c r="AT20" i="3"/>
  <c r="M9" i="1"/>
  <c r="K11" i="1"/>
  <c r="D17" i="1"/>
  <c r="O7" i="1"/>
  <c r="N8" i="1"/>
  <c r="H14" i="1"/>
  <c r="F16" i="1"/>
  <c r="L10" i="1"/>
  <c r="C17" i="1"/>
  <c r="I13" i="1"/>
  <c r="G13" i="1" l="1"/>
  <c r="J10" i="1"/>
  <c r="E15" i="1"/>
  <c r="Q3" i="1"/>
  <c r="Q4" i="1" s="1"/>
  <c r="Q5" i="1" s="1"/>
  <c r="Q6" i="1" s="1"/>
  <c r="R2" i="1"/>
  <c r="AY20" i="3"/>
  <c r="AO20" i="3"/>
  <c r="AN20" i="3"/>
  <c r="AS20" i="3"/>
  <c r="AX20" i="3"/>
  <c r="AV20" i="3"/>
  <c r="AL20" i="3"/>
  <c r="AM20" i="3"/>
  <c r="AR20" i="3"/>
  <c r="AW20" i="3"/>
  <c r="AH21" i="3"/>
  <c r="AI21" i="3"/>
  <c r="AP21" i="3"/>
  <c r="AK21" i="3"/>
  <c r="AZ21" i="3"/>
  <c r="AU21" i="3"/>
  <c r="AT21" i="3"/>
  <c r="AJ22" i="3"/>
  <c r="AQ21" i="3"/>
  <c r="H15" i="1"/>
  <c r="O8" i="1"/>
  <c r="F17" i="1"/>
  <c r="M10" i="1"/>
  <c r="K12" i="1"/>
  <c r="N9" i="1"/>
  <c r="D18" i="1"/>
  <c r="P7" i="1"/>
  <c r="I14" i="1"/>
  <c r="C18" i="1"/>
  <c r="L11" i="1"/>
  <c r="E16" i="1" l="1"/>
  <c r="G14" i="1"/>
  <c r="J11" i="1"/>
  <c r="R3" i="1"/>
  <c r="R4" i="1" s="1"/>
  <c r="R5" i="1" s="1"/>
  <c r="R6" i="1" s="1"/>
  <c r="S2" i="1"/>
  <c r="AH22" i="3"/>
  <c r="AI22" i="3"/>
  <c r="AQ22" i="3"/>
  <c r="AP22" i="3"/>
  <c r="AJ23" i="3"/>
  <c r="AU22" i="3"/>
  <c r="AK22" i="3"/>
  <c r="AZ22" i="3"/>
  <c r="AT22" i="3"/>
  <c r="AL21" i="3"/>
  <c r="AM21" i="3"/>
  <c r="AW21" i="3"/>
  <c r="AV21" i="3"/>
  <c r="AR21" i="3"/>
  <c r="AX21" i="3"/>
  <c r="AS21" i="3"/>
  <c r="AY21" i="3"/>
  <c r="AO21" i="3"/>
  <c r="AN21" i="3"/>
  <c r="F18" i="1"/>
  <c r="N10" i="1"/>
  <c r="H16" i="1"/>
  <c r="P8" i="1"/>
  <c r="K13" i="1"/>
  <c r="O9" i="1"/>
  <c r="D19" i="1"/>
  <c r="Q7" i="1"/>
  <c r="M11" i="1"/>
  <c r="C19" i="1"/>
  <c r="L12" i="1"/>
  <c r="I15" i="1"/>
  <c r="E17" i="1" l="1"/>
  <c r="G15" i="1"/>
  <c r="J12" i="1"/>
  <c r="S3" i="1"/>
  <c r="S4" i="1" s="1"/>
  <c r="S5" i="1" s="1"/>
  <c r="S6" i="1" s="1"/>
  <c r="T2" i="1"/>
  <c r="AL22" i="3"/>
  <c r="AW22" i="3"/>
  <c r="AR22" i="3"/>
  <c r="AM22" i="3"/>
  <c r="AV22" i="3"/>
  <c r="AN22" i="3"/>
  <c r="AS22" i="3"/>
  <c r="AY22" i="3"/>
  <c r="AO22" i="3"/>
  <c r="AX22" i="3"/>
  <c r="AH23" i="3"/>
  <c r="AI23" i="3"/>
  <c r="AT23" i="3"/>
  <c r="AP23" i="3"/>
  <c r="AZ23" i="3"/>
  <c r="AK23" i="3"/>
  <c r="AU23" i="3"/>
  <c r="AQ23" i="3"/>
  <c r="F19" i="1"/>
  <c r="O10" i="1"/>
  <c r="P9" i="1"/>
  <c r="D20" i="1"/>
  <c r="N11" i="1"/>
  <c r="R7" i="1"/>
  <c r="M12" i="1"/>
  <c r="Q8" i="1"/>
  <c r="K14" i="1"/>
  <c r="H17" i="1"/>
  <c r="L13" i="1"/>
  <c r="C20" i="1"/>
  <c r="I16" i="1"/>
  <c r="G16" i="1" l="1"/>
  <c r="J13" i="1"/>
  <c r="E18" i="1"/>
  <c r="T3" i="1"/>
  <c r="T4" i="1" s="1"/>
  <c r="T5" i="1" s="1"/>
  <c r="T6" i="1" s="1"/>
  <c r="U2" i="1"/>
  <c r="AR23" i="3"/>
  <c r="AL23" i="3"/>
  <c r="AW23" i="3"/>
  <c r="AV23" i="3"/>
  <c r="AM23" i="3"/>
  <c r="AN23" i="3"/>
  <c r="AY23" i="3"/>
  <c r="AO23" i="3"/>
  <c r="AX23" i="3"/>
  <c r="AS23" i="3"/>
  <c r="D21" i="1"/>
  <c r="F20" i="1"/>
  <c r="K15" i="1"/>
  <c r="R8" i="1"/>
  <c r="O11" i="1"/>
  <c r="Q9" i="1"/>
  <c r="H18" i="1"/>
  <c r="M13" i="1"/>
  <c r="N12" i="1"/>
  <c r="P10" i="1"/>
  <c r="S7" i="1"/>
  <c r="C21" i="1"/>
  <c r="I17" i="1"/>
  <c r="L14" i="1"/>
  <c r="G17" i="1" l="1"/>
  <c r="E19" i="1"/>
  <c r="J14" i="1"/>
  <c r="U3" i="1"/>
  <c r="U4" i="1" s="1"/>
  <c r="U5" i="1" s="1"/>
  <c r="U6" i="1" s="1"/>
  <c r="V2" i="1"/>
  <c r="H19" i="1"/>
  <c r="D22" i="1"/>
  <c r="P11" i="1"/>
  <c r="M14" i="1"/>
  <c r="O12" i="1"/>
  <c r="F21" i="1"/>
  <c r="S8" i="1"/>
  <c r="K16" i="1"/>
  <c r="N13" i="1"/>
  <c r="Q10" i="1"/>
  <c r="T7" i="1"/>
  <c r="R9" i="1"/>
  <c r="I18" i="1"/>
  <c r="L15" i="1"/>
  <c r="C22" i="1"/>
  <c r="G18" i="1" l="1"/>
  <c r="E20" i="1"/>
  <c r="J15" i="1"/>
  <c r="V3" i="1"/>
  <c r="V4" i="1" s="1"/>
  <c r="V5" i="1" s="1"/>
  <c r="V6" i="1" s="1"/>
  <c r="W2" i="1"/>
  <c r="S9" i="1"/>
  <c r="M15" i="1"/>
  <c r="H20" i="1"/>
  <c r="T8" i="1"/>
  <c r="K17" i="1"/>
  <c r="O13" i="1"/>
  <c r="N14" i="1"/>
  <c r="F22" i="1"/>
  <c r="R10" i="1"/>
  <c r="P12" i="1"/>
  <c r="Q11" i="1"/>
  <c r="U7" i="1"/>
  <c r="L16" i="1"/>
  <c r="I19" i="1"/>
  <c r="G19" i="1" l="1"/>
  <c r="J16" i="1"/>
  <c r="E21" i="1"/>
  <c r="W3" i="1"/>
  <c r="W4" i="1" s="1"/>
  <c r="W5" i="1" s="1"/>
  <c r="W6" i="1" s="1"/>
  <c r="X2" i="1"/>
  <c r="N15" i="1"/>
  <c r="S10" i="1"/>
  <c r="O14" i="1"/>
  <c r="M16" i="1"/>
  <c r="Q12" i="1"/>
  <c r="U8" i="1"/>
  <c r="K18" i="1"/>
  <c r="R11" i="1"/>
  <c r="H21" i="1"/>
  <c r="V7" i="1"/>
  <c r="T9" i="1"/>
  <c r="P13" i="1"/>
  <c r="I20" i="1"/>
  <c r="L17" i="1"/>
  <c r="G20" i="1" l="1"/>
  <c r="E22" i="1"/>
  <c r="J17" i="1"/>
  <c r="X3" i="1"/>
  <c r="X4" i="1" s="1"/>
  <c r="X5" i="1" s="1"/>
  <c r="X6" i="1" s="1"/>
  <c r="Y2" i="1"/>
  <c r="M17" i="1"/>
  <c r="P14" i="1"/>
  <c r="Q13" i="1"/>
  <c r="N16" i="1"/>
  <c r="H22" i="1"/>
  <c r="V8" i="1"/>
  <c r="R12" i="1"/>
  <c r="U9" i="1"/>
  <c r="S11" i="1"/>
  <c r="T10" i="1"/>
  <c r="W7" i="1"/>
  <c r="K19" i="1"/>
  <c r="O15" i="1"/>
  <c r="L18" i="1"/>
  <c r="I21" i="1"/>
  <c r="J18" i="1" l="1"/>
  <c r="G21" i="1"/>
  <c r="Y3" i="1"/>
  <c r="Y4" i="1" s="1"/>
  <c r="Y5" i="1" s="1"/>
  <c r="Y6" i="1" s="1"/>
  <c r="Z2" i="1"/>
  <c r="P15" i="1"/>
  <c r="S12" i="1"/>
  <c r="X7" i="1"/>
  <c r="O16" i="1"/>
  <c r="V9" i="1"/>
  <c r="K20" i="1"/>
  <c r="T11" i="1"/>
  <c r="R13" i="1"/>
  <c r="Q14" i="1"/>
  <c r="M18" i="1"/>
  <c r="W8" i="1"/>
  <c r="U10" i="1"/>
  <c r="N17" i="1"/>
  <c r="I22" i="1"/>
  <c r="L19" i="1"/>
  <c r="G22" i="1" l="1"/>
  <c r="J19" i="1"/>
  <c r="Z3" i="1"/>
  <c r="Z4" i="1" s="1"/>
  <c r="Z5" i="1" s="1"/>
  <c r="Z6" i="1" s="1"/>
  <c r="AA2" i="1"/>
  <c r="N18" i="1"/>
  <c r="P16" i="1"/>
  <c r="M19" i="1"/>
  <c r="K21" i="1"/>
  <c r="V10" i="1"/>
  <c r="S13" i="1"/>
  <c r="Q15" i="1"/>
  <c r="W9" i="1"/>
  <c r="T12" i="1"/>
  <c r="Y7" i="1"/>
  <c r="X8" i="1"/>
  <c r="U11" i="1"/>
  <c r="R14" i="1"/>
  <c r="O17" i="1"/>
  <c r="L20" i="1"/>
  <c r="J20" i="1" l="1"/>
  <c r="AA3" i="1"/>
  <c r="AA4" i="1" s="1"/>
  <c r="AA5" i="1" s="1"/>
  <c r="AA6" i="1" s="1"/>
  <c r="AB2" i="1"/>
  <c r="Z7" i="1"/>
  <c r="M20" i="1"/>
  <c r="O18" i="1"/>
  <c r="W10" i="1"/>
  <c r="K22" i="1"/>
  <c r="N19" i="1"/>
  <c r="X9" i="1"/>
  <c r="T13" i="1"/>
  <c r="V11" i="1"/>
  <c r="Q16" i="1"/>
  <c r="U12" i="1"/>
  <c r="R15" i="1"/>
  <c r="Y8" i="1"/>
  <c r="S14" i="1"/>
  <c r="P17" i="1"/>
  <c r="L21" i="1"/>
  <c r="J21" i="1" l="1"/>
  <c r="AB3" i="1"/>
  <c r="AB4" i="1" s="1"/>
  <c r="AB5" i="1" s="1"/>
  <c r="AB6" i="1" s="1"/>
  <c r="AC2" i="1"/>
  <c r="Z8" i="1"/>
  <c r="U13" i="1"/>
  <c r="W11" i="1"/>
  <c r="V12" i="1"/>
  <c r="M21" i="1"/>
  <c r="AA7" i="1"/>
  <c r="N20" i="1"/>
  <c r="O19" i="1"/>
  <c r="S15" i="1"/>
  <c r="T14" i="1"/>
  <c r="P18" i="1"/>
  <c r="R16" i="1"/>
  <c r="Y9" i="1"/>
  <c r="Q17" i="1"/>
  <c r="X10" i="1"/>
  <c r="L22" i="1"/>
  <c r="J22" i="1" l="1"/>
  <c r="AC3" i="1"/>
  <c r="AC4" i="1" s="1"/>
  <c r="AC5" i="1" s="1"/>
  <c r="AC6" i="1" s="1"/>
  <c r="AD2" i="1"/>
  <c r="Q18" i="1"/>
  <c r="P19" i="1"/>
  <c r="X11" i="1"/>
  <c r="R17" i="1"/>
  <c r="O20" i="1"/>
  <c r="V13" i="1"/>
  <c r="Z9" i="1"/>
  <c r="N21" i="1"/>
  <c r="AB7" i="1"/>
  <c r="S16" i="1"/>
  <c r="M22" i="1"/>
  <c r="U14" i="1"/>
  <c r="Y10" i="1"/>
  <c r="T15" i="1"/>
  <c r="AA8" i="1"/>
  <c r="W12" i="1"/>
  <c r="AD3" i="1" l="1"/>
  <c r="AD4" i="1" s="1"/>
  <c r="AD5" i="1" s="1"/>
  <c r="AD6" i="1" s="1"/>
  <c r="AE2" i="1"/>
  <c r="P20" i="1"/>
  <c r="X12" i="1"/>
  <c r="T16" i="1"/>
  <c r="S17" i="1"/>
  <c r="R18" i="1"/>
  <c r="Q19" i="1"/>
  <c r="Y11" i="1"/>
  <c r="Z10" i="1"/>
  <c r="AA9" i="1"/>
  <c r="N22" i="1"/>
  <c r="O21" i="1"/>
  <c r="AC7" i="1"/>
  <c r="W13" i="1"/>
  <c r="U15" i="1"/>
  <c r="AB8" i="1"/>
  <c r="V14" i="1"/>
  <c r="AE3" i="1" l="1"/>
  <c r="AE4" i="1" s="1"/>
  <c r="AE5" i="1" s="1"/>
  <c r="AE6" i="1" s="1"/>
  <c r="AF2" i="1"/>
  <c r="Q20" i="1"/>
  <c r="T17" i="1"/>
  <c r="P21" i="1"/>
  <c r="AB9" i="1"/>
  <c r="S18" i="1"/>
  <c r="V15" i="1"/>
  <c r="X13" i="1"/>
  <c r="U16" i="1"/>
  <c r="O22" i="1"/>
  <c r="Y12" i="1"/>
  <c r="AD7" i="1"/>
  <c r="AC8" i="1"/>
  <c r="Z11" i="1"/>
  <c r="W14" i="1"/>
  <c r="AA10" i="1"/>
  <c r="R19" i="1"/>
  <c r="AF3" i="1" l="1"/>
  <c r="AF4" i="1" s="1"/>
  <c r="AF5" i="1" s="1"/>
  <c r="AF6" i="1" s="1"/>
  <c r="AG2" i="1"/>
  <c r="AC9" i="1"/>
  <c r="S19" i="1"/>
  <c r="AA11" i="1"/>
  <c r="U17" i="1"/>
  <c r="Q21" i="1"/>
  <c r="Z12" i="1"/>
  <c r="V16" i="1"/>
  <c r="T18" i="1"/>
  <c r="R20" i="1"/>
  <c r="AE7" i="1"/>
  <c r="Y13" i="1"/>
  <c r="X14" i="1"/>
  <c r="P22" i="1"/>
  <c r="W15" i="1"/>
  <c r="AD8" i="1"/>
  <c r="AB10" i="1"/>
  <c r="AG3" i="1" l="1"/>
  <c r="AG4" i="1" s="1"/>
  <c r="AG5" i="1" s="1"/>
  <c r="AG6" i="1" s="1"/>
  <c r="AH2" i="1"/>
  <c r="W16" i="1"/>
  <c r="Y14" i="1"/>
  <c r="T19" i="1"/>
  <c r="U18" i="1"/>
  <c r="AD9" i="1"/>
  <c r="X15" i="1"/>
  <c r="R21" i="1"/>
  <c r="Q22" i="1"/>
  <c r="AC10" i="1"/>
  <c r="AF7" i="1"/>
  <c r="Z13" i="1"/>
  <c r="S20" i="1"/>
  <c r="AB11" i="1"/>
  <c r="AE8" i="1"/>
  <c r="V17" i="1"/>
  <c r="AA12" i="1"/>
  <c r="AH3" i="1" l="1"/>
  <c r="AH4" i="1" s="1"/>
  <c r="AH5" i="1" s="1"/>
  <c r="AH6" i="1" s="1"/>
  <c r="AI2" i="1"/>
  <c r="AF8" i="1"/>
  <c r="U19" i="1"/>
  <c r="AE9" i="1"/>
  <c r="Z14" i="1"/>
  <c r="AC11" i="1"/>
  <c r="AD10" i="1"/>
  <c r="W17" i="1"/>
  <c r="V18" i="1"/>
  <c r="S21" i="1"/>
  <c r="X16" i="1"/>
  <c r="Y15" i="1"/>
  <c r="AA13" i="1"/>
  <c r="AB12" i="1"/>
  <c r="AG7" i="1"/>
  <c r="R22" i="1"/>
  <c r="T20" i="1"/>
  <c r="AI3" i="1" l="1"/>
  <c r="AI4" i="1" s="1"/>
  <c r="AI5" i="1" s="1"/>
  <c r="AI6" i="1" s="1"/>
  <c r="AJ2" i="1"/>
  <c r="AB13" i="1"/>
  <c r="W18" i="1"/>
  <c r="AE10" i="1"/>
  <c r="AG8" i="1"/>
  <c r="X17" i="1"/>
  <c r="AH7" i="1"/>
  <c r="Z15" i="1"/>
  <c r="Y16" i="1"/>
  <c r="V19" i="1"/>
  <c r="AC12" i="1"/>
  <c r="AF9" i="1"/>
  <c r="T21" i="1"/>
  <c r="AA14" i="1"/>
  <c r="S22" i="1"/>
  <c r="AD11" i="1"/>
  <c r="U20" i="1"/>
  <c r="AJ3" i="1" l="1"/>
  <c r="AJ4" i="1" s="1"/>
  <c r="AJ5" i="1" s="1"/>
  <c r="AJ6" i="1" s="1"/>
  <c r="AK2" i="1"/>
  <c r="Z16" i="1"/>
  <c r="AF10" i="1"/>
  <c r="V20" i="1"/>
  <c r="AG9" i="1"/>
  <c r="X18" i="1"/>
  <c r="T22" i="1"/>
  <c r="Y17" i="1"/>
  <c r="W19" i="1"/>
  <c r="AA15" i="1"/>
  <c r="AE11" i="1"/>
  <c r="AC13" i="1"/>
  <c r="AB14" i="1"/>
  <c r="AD12" i="1"/>
  <c r="AI7" i="1"/>
  <c r="U21" i="1"/>
  <c r="AH8" i="1"/>
  <c r="AK3" i="1" l="1"/>
  <c r="AK4" i="1" s="1"/>
  <c r="AK5" i="1" s="1"/>
  <c r="AK6" i="1" s="1"/>
  <c r="AL2" i="1"/>
  <c r="AE12" i="1"/>
  <c r="V21" i="1"/>
  <c r="U22" i="1"/>
  <c r="AC14" i="1"/>
  <c r="Y18" i="1"/>
  <c r="AG10" i="1"/>
  <c r="Z17" i="1"/>
  <c r="AI8" i="1"/>
  <c r="AH9" i="1"/>
  <c r="W20" i="1"/>
  <c r="AJ7" i="1"/>
  <c r="AB15" i="1"/>
  <c r="AD13" i="1"/>
  <c r="AA16" i="1"/>
  <c r="X19" i="1"/>
  <c r="AF11" i="1"/>
  <c r="AL3" i="1" l="1"/>
  <c r="AL4" i="1" s="1"/>
  <c r="AL5" i="1" s="1"/>
  <c r="AL6" i="1" s="1"/>
  <c r="AM2" i="1"/>
  <c r="AD14" i="1"/>
  <c r="AJ8" i="1"/>
  <c r="AI9" i="1"/>
  <c r="AC15" i="1"/>
  <c r="AA17" i="1"/>
  <c r="AB16" i="1"/>
  <c r="Y19" i="1"/>
  <c r="AE13" i="1"/>
  <c r="X20" i="1"/>
  <c r="AK7" i="1"/>
  <c r="AH10" i="1"/>
  <c r="AG11" i="1"/>
  <c r="V22" i="1"/>
  <c r="AF12" i="1"/>
  <c r="W21" i="1"/>
  <c r="Z18" i="1"/>
  <c r="AM3" i="1" l="1"/>
  <c r="AM4" i="1" s="1"/>
  <c r="AM5" i="1" s="1"/>
  <c r="AM6" i="1" s="1"/>
  <c r="AN2" i="1"/>
  <c r="AF13" i="1"/>
  <c r="AL7" i="1"/>
  <c r="AI10" i="1"/>
  <c r="AH11" i="1"/>
  <c r="Y20" i="1"/>
  <c r="AC16" i="1"/>
  <c r="AK8" i="1"/>
  <c r="W22" i="1"/>
  <c r="AG12" i="1"/>
  <c r="AE14" i="1"/>
  <c r="AA18" i="1"/>
  <c r="AD15" i="1"/>
  <c r="Z19" i="1"/>
  <c r="X21" i="1"/>
  <c r="AB17" i="1"/>
  <c r="AJ9" i="1"/>
  <c r="AN3" i="1" l="1"/>
  <c r="AN4" i="1" s="1"/>
  <c r="AN5" i="1" s="1"/>
  <c r="AO2" i="1"/>
  <c r="AG13" i="1"/>
  <c r="AN6" i="1"/>
  <c r="AM7" i="1"/>
  <c r="X22" i="1"/>
  <c r="AE15" i="1"/>
  <c r="AH12" i="1"/>
  <c r="AF14" i="1"/>
  <c r="Z20" i="1"/>
  <c r="AB18" i="1"/>
  <c r="AA19" i="1"/>
  <c r="AK9" i="1"/>
  <c r="Y21" i="1"/>
  <c r="AL8" i="1"/>
  <c r="AJ10" i="1"/>
  <c r="AD16" i="1"/>
  <c r="AC17" i="1"/>
  <c r="AI11" i="1"/>
  <c r="AO3" i="1" l="1"/>
  <c r="AO4" i="1" s="1"/>
  <c r="AO5" i="1" s="1"/>
  <c r="AO6" i="1" s="1"/>
  <c r="AP2" i="1"/>
  <c r="AJ11" i="1"/>
  <c r="AH13" i="1"/>
  <c r="AM8" i="1"/>
  <c r="AD17" i="1"/>
  <c r="AK10" i="1"/>
  <c r="AF15" i="1"/>
  <c r="AA20" i="1"/>
  <c r="AC18" i="1"/>
  <c r="Y22" i="1"/>
  <c r="Z21" i="1"/>
  <c r="AE16" i="1"/>
  <c r="AG14" i="1"/>
  <c r="AI12" i="1"/>
  <c r="AL9" i="1"/>
  <c r="AB19" i="1"/>
  <c r="AN7" i="1"/>
  <c r="AP3" i="1" l="1"/>
  <c r="AP4" i="1" s="1"/>
  <c r="AP5" i="1" s="1"/>
  <c r="AP6" i="1" s="1"/>
  <c r="AQ2" i="1"/>
  <c r="AL10" i="1"/>
  <c r="AD18" i="1"/>
  <c r="AB20" i="1"/>
  <c r="AE17" i="1"/>
  <c r="AA21" i="1"/>
  <c r="AK11" i="1"/>
  <c r="AJ12" i="1"/>
  <c r="Z22" i="1"/>
  <c r="AO7" i="1"/>
  <c r="AG15" i="1"/>
  <c r="AC19" i="1"/>
  <c r="AF16" i="1"/>
  <c r="AH14" i="1"/>
  <c r="AN8" i="1"/>
  <c r="AI13" i="1"/>
  <c r="AM9" i="1"/>
  <c r="AQ3" i="1" l="1"/>
  <c r="AQ4" i="1" s="1"/>
  <c r="AQ5" i="1" s="1"/>
  <c r="AQ6" i="1" s="1"/>
  <c r="AR2" i="1"/>
  <c r="AN9" i="1"/>
  <c r="AG16" i="1"/>
  <c r="AJ13" i="1"/>
  <c r="AB21" i="1"/>
  <c r="AI14" i="1"/>
  <c r="AC20" i="1"/>
  <c r="AE18" i="1"/>
  <c r="AL11" i="1"/>
  <c r="AP7" i="1"/>
  <c r="AF17" i="1"/>
  <c r="AA22" i="1"/>
  <c r="AM10" i="1"/>
  <c r="AH15" i="1"/>
  <c r="AO8" i="1"/>
  <c r="AK12" i="1"/>
  <c r="AD19" i="1"/>
  <c r="AR3" i="1" l="1"/>
  <c r="AR4" i="1" s="1"/>
  <c r="AR5" i="1" s="1"/>
  <c r="AR6" i="1" s="1"/>
  <c r="AS2" i="1"/>
  <c r="AF18" i="1"/>
  <c r="AE19" i="1"/>
  <c r="AB22" i="1"/>
  <c r="AO9" i="1"/>
  <c r="AL12" i="1"/>
  <c r="AI15" i="1"/>
  <c r="AN10" i="1"/>
  <c r="AH16" i="1"/>
  <c r="AK13" i="1"/>
  <c r="AQ7" i="1"/>
  <c r="AC21" i="1"/>
  <c r="AG17" i="1"/>
  <c r="AD20" i="1"/>
  <c r="AM11" i="1"/>
  <c r="AP8" i="1"/>
  <c r="AJ14" i="1"/>
  <c r="AS3" i="1" l="1"/>
  <c r="AS4" i="1" s="1"/>
  <c r="AS5" i="1" s="1"/>
  <c r="AS6" i="1" s="1"/>
  <c r="AT2" i="1"/>
  <c r="AM12" i="1"/>
  <c r="AN11" i="1"/>
  <c r="AP9" i="1"/>
  <c r="AC22" i="1"/>
  <c r="AH17" i="1"/>
  <c r="AO10" i="1"/>
  <c r="AR7" i="1"/>
  <c r="AG18" i="1"/>
  <c r="AK14" i="1"/>
  <c r="AL13" i="1"/>
  <c r="AF19" i="1"/>
  <c r="AJ15" i="1"/>
  <c r="AD21" i="1"/>
  <c r="AQ8" i="1"/>
  <c r="AI16" i="1"/>
  <c r="AE20" i="1"/>
  <c r="AT3" i="1" l="1"/>
  <c r="AT4" i="1" s="1"/>
  <c r="AT5" i="1" s="1"/>
  <c r="AT6" i="1" s="1"/>
  <c r="AU2" i="1"/>
  <c r="AK15" i="1"/>
  <c r="AP10" i="1"/>
  <c r="AQ9" i="1"/>
  <c r="AL14" i="1"/>
  <c r="AM13" i="1"/>
  <c r="AD22" i="1"/>
  <c r="AI17" i="1"/>
  <c r="AF20" i="1"/>
  <c r="AR8" i="1"/>
  <c r="AH18" i="1"/>
  <c r="AS7" i="1"/>
  <c r="AE21" i="1"/>
  <c r="AJ16" i="1"/>
  <c r="AG19" i="1"/>
  <c r="AO11" i="1"/>
  <c r="AN12" i="1"/>
  <c r="AU3" i="1" l="1"/>
  <c r="AU4" i="1" s="1"/>
  <c r="AU5" i="1" s="1"/>
  <c r="AU6" i="1" s="1"/>
  <c r="AV2" i="1"/>
  <c r="AJ17" i="1"/>
  <c r="AM14" i="1"/>
  <c r="AP11" i="1"/>
  <c r="AG20" i="1"/>
  <c r="AH19" i="1"/>
  <c r="AQ10" i="1"/>
  <c r="AR9" i="1"/>
  <c r="AO12" i="1"/>
  <c r="AS8" i="1"/>
  <c r="AI18" i="1"/>
  <c r="AL15" i="1"/>
  <c r="AK16" i="1"/>
  <c r="AN13" i="1"/>
  <c r="AE22" i="1"/>
  <c r="AF21" i="1"/>
  <c r="AT7" i="1"/>
  <c r="AV3" i="1" l="1"/>
  <c r="AV4" i="1" s="1"/>
  <c r="AV5" i="1" s="1"/>
  <c r="AV6" i="1" s="1"/>
  <c r="AW2" i="1"/>
  <c r="AG21" i="1"/>
  <c r="AF22" i="1"/>
  <c r="AL16" i="1"/>
  <c r="AR10" i="1"/>
  <c r="AH20" i="1"/>
  <c r="AJ18" i="1"/>
  <c r="AI19" i="1"/>
  <c r="AU7" i="1"/>
  <c r="AK17" i="1"/>
  <c r="AO13" i="1"/>
  <c r="AQ11" i="1"/>
  <c r="AM15" i="1"/>
  <c r="AT8" i="1"/>
  <c r="AN14" i="1"/>
  <c r="AS9" i="1"/>
  <c r="AP12" i="1"/>
  <c r="AW3" i="1" l="1"/>
  <c r="AW4" i="1" s="1"/>
  <c r="AW5" i="1" s="1"/>
  <c r="AW6" i="1" s="1"/>
  <c r="AX2" i="1"/>
  <c r="AN15" i="1"/>
  <c r="AL17" i="1"/>
  <c r="AS10" i="1"/>
  <c r="AQ12" i="1"/>
  <c r="AI20" i="1"/>
  <c r="AR11" i="1"/>
  <c r="AO14" i="1"/>
  <c r="AV7" i="1"/>
  <c r="AM16" i="1"/>
  <c r="AU8" i="1"/>
  <c r="AH21" i="1"/>
  <c r="AG22" i="1"/>
  <c r="AP13" i="1"/>
  <c r="AT9" i="1"/>
  <c r="AK18" i="1"/>
  <c r="AJ19" i="1"/>
  <c r="AX3" i="1" l="1"/>
  <c r="AX4" i="1" s="1"/>
  <c r="AX5" i="1" s="1"/>
  <c r="AX6" i="1" s="1"/>
  <c r="AY2" i="1"/>
  <c r="AM17" i="1"/>
  <c r="AR12" i="1"/>
  <c r="AL18" i="1"/>
  <c r="AT10" i="1"/>
  <c r="AU9" i="1"/>
  <c r="AW7" i="1"/>
  <c r="AS11" i="1"/>
  <c r="AP14" i="1"/>
  <c r="AK19" i="1"/>
  <c r="AH22" i="1"/>
  <c r="AO15" i="1"/>
  <c r="AQ13" i="1"/>
  <c r="AN16" i="1"/>
  <c r="AJ20" i="1"/>
  <c r="AV8" i="1"/>
  <c r="AI21" i="1"/>
  <c r="AY3" i="1" l="1"/>
  <c r="AZ2" i="1"/>
  <c r="AO16" i="1"/>
  <c r="AT11" i="1"/>
  <c r="AK20" i="1"/>
  <c r="AR13" i="1"/>
  <c r="AJ21" i="1"/>
  <c r="AS12" i="1"/>
  <c r="AL19" i="1"/>
  <c r="AV9" i="1"/>
  <c r="AI22" i="1"/>
  <c r="AQ14" i="1"/>
  <c r="AP15" i="1"/>
  <c r="AU10" i="1"/>
  <c r="AM18" i="1"/>
  <c r="AX7" i="1"/>
  <c r="AN17" i="1"/>
  <c r="AW8" i="1"/>
  <c r="AZ3" i="1" l="1"/>
  <c r="C3" i="3"/>
  <c r="F3" i="3"/>
  <c r="I3" i="3"/>
  <c r="E3" i="3"/>
  <c r="G3" i="3"/>
  <c r="AY4" i="1"/>
  <c r="E4" i="3"/>
  <c r="Q4" i="3" s="1"/>
  <c r="R4" i="3" s="1"/>
  <c r="AE4" i="3" s="1"/>
  <c r="AF4" i="3" s="1"/>
  <c r="AP16" i="1"/>
  <c r="AV10" i="1"/>
  <c r="AR14" i="1"/>
  <c r="AN18" i="1"/>
  <c r="AU11" i="1"/>
  <c r="AJ22" i="1"/>
  <c r="AO17" i="1"/>
  <c r="AX8" i="1"/>
  <c r="AW9" i="1"/>
  <c r="AM19" i="1"/>
  <c r="AS13" i="1"/>
  <c r="AT12" i="1"/>
  <c r="AQ15" i="1"/>
  <c r="AL20" i="1"/>
  <c r="AK21" i="1"/>
  <c r="AZ4" i="1" l="1"/>
  <c r="G5" i="3" s="1"/>
  <c r="BC3" i="1"/>
  <c r="BB3" i="1"/>
  <c r="F4" i="3"/>
  <c r="S4" i="3" s="1"/>
  <c r="T4" i="3" s="1"/>
  <c r="AC4" i="3" s="1"/>
  <c r="AD4" i="3" s="1"/>
  <c r="C4" i="3"/>
  <c r="I4" i="3"/>
  <c r="G4" i="3"/>
  <c r="U4" i="3" s="1"/>
  <c r="V4" i="3" s="1"/>
  <c r="AA4" i="3" s="1"/>
  <c r="AB4" i="3" s="1"/>
  <c r="AY5" i="1"/>
  <c r="I5" i="3"/>
  <c r="F5" i="3"/>
  <c r="S5" i="3" s="1"/>
  <c r="T5" i="3" s="1"/>
  <c r="AC5" i="3" s="1"/>
  <c r="AD5" i="3" s="1"/>
  <c r="L3" i="3"/>
  <c r="H3" i="3" s="1" a="1"/>
  <c r="H3" i="3" s="1"/>
  <c r="D3" i="3" a="1"/>
  <c r="D3" i="3" s="1"/>
  <c r="AQ16" i="1"/>
  <c r="AW10" i="1"/>
  <c r="AR15" i="1"/>
  <c r="AM20" i="1"/>
  <c r="AK22" i="1"/>
  <c r="AS14" i="1"/>
  <c r="AU12" i="1"/>
  <c r="AP17" i="1"/>
  <c r="AT13" i="1"/>
  <c r="AV11" i="1"/>
  <c r="AX9" i="1"/>
  <c r="AL21" i="1"/>
  <c r="AO18" i="1"/>
  <c r="AN19" i="1"/>
  <c r="C5" i="3" l="1"/>
  <c r="E5" i="3"/>
  <c r="Q5" i="3" s="1"/>
  <c r="R5" i="3" s="1"/>
  <c r="AE5" i="3" s="1"/>
  <c r="AF5" i="3" s="1"/>
  <c r="AZ5" i="1"/>
  <c r="I6" i="3" s="1"/>
  <c r="BB4" i="1"/>
  <c r="BC4" i="1"/>
  <c r="L4" i="3"/>
  <c r="D4" i="3" s="1" a="1"/>
  <c r="D4" i="3" s="1"/>
  <c r="N4" i="3" s="1"/>
  <c r="O4" i="3" s="1"/>
  <c r="P4" i="3" s="1"/>
  <c r="U5" i="3"/>
  <c r="V5" i="3" s="1"/>
  <c r="AA5" i="3" s="1"/>
  <c r="AB5" i="3" s="1"/>
  <c r="AY6" i="1"/>
  <c r="AT14" i="1"/>
  <c r="AQ17" i="1"/>
  <c r="AL22" i="1"/>
  <c r="AV12" i="1"/>
  <c r="AS15" i="1"/>
  <c r="AW11" i="1"/>
  <c r="AX10" i="1"/>
  <c r="AU13" i="1"/>
  <c r="AR16" i="1"/>
  <c r="AO19" i="1"/>
  <c r="AN20" i="1"/>
  <c r="AP18" i="1"/>
  <c r="AM21" i="1"/>
  <c r="F6" i="3" l="1"/>
  <c r="S6" i="3" s="1"/>
  <c r="T6" i="3" s="1"/>
  <c r="AC6" i="3" s="1"/>
  <c r="AD6" i="3" s="1"/>
  <c r="L5" i="3"/>
  <c r="K4" i="3"/>
  <c r="D5" i="3" a="1"/>
  <c r="D5" i="3" s="1"/>
  <c r="N5" i="3" s="1"/>
  <c r="O5" i="3" s="1"/>
  <c r="P5" i="3" s="1"/>
  <c r="C6" i="3"/>
  <c r="G6" i="3"/>
  <c r="U6" i="3" s="1"/>
  <c r="V6" i="3" s="1"/>
  <c r="AA6" i="3" s="1"/>
  <c r="AB6" i="3" s="1"/>
  <c r="E6" i="3"/>
  <c r="Q6" i="3" s="1"/>
  <c r="R6" i="3" s="1"/>
  <c r="AE6" i="3" s="1"/>
  <c r="AF6" i="3" s="1"/>
  <c r="H4" i="3" a="1"/>
  <c r="H4" i="3" s="1"/>
  <c r="W4" i="3" s="1"/>
  <c r="X4" i="3" s="1"/>
  <c r="Y4" i="3" s="1"/>
  <c r="Z4" i="3" s="1"/>
  <c r="AZ6" i="1"/>
  <c r="E7" i="3" s="1"/>
  <c r="Q7" i="3" s="1"/>
  <c r="R7" i="3" s="1"/>
  <c r="AE7" i="3" s="1"/>
  <c r="AF7" i="3" s="1"/>
  <c r="BC5" i="1"/>
  <c r="BB5" i="1"/>
  <c r="AY7" i="1"/>
  <c r="H5" i="3" a="1"/>
  <c r="H5" i="3" s="1"/>
  <c r="W5" i="3" s="1"/>
  <c r="X5" i="3" s="1"/>
  <c r="Y5" i="3" s="1"/>
  <c r="Z5" i="3" s="1"/>
  <c r="K5" i="3"/>
  <c r="AO20" i="1"/>
  <c r="AU14" i="1"/>
  <c r="AV13" i="1"/>
  <c r="AN21" i="1"/>
  <c r="AR17" i="1"/>
  <c r="AS16" i="1"/>
  <c r="AT15" i="1"/>
  <c r="AW12" i="1"/>
  <c r="AQ18" i="1"/>
  <c r="AM22" i="1"/>
  <c r="AX11" i="1"/>
  <c r="AP19" i="1"/>
  <c r="F7" i="3" l="1"/>
  <c r="S7" i="3" s="1"/>
  <c r="T7" i="3" s="1"/>
  <c r="AC7" i="3" s="1"/>
  <c r="AD7" i="3" s="1"/>
  <c r="C7" i="3"/>
  <c r="I7" i="3"/>
  <c r="L6" i="3"/>
  <c r="K6" i="3" s="1"/>
  <c r="G7" i="3"/>
  <c r="L7" i="3" s="1"/>
  <c r="D7" i="3" s="1" a="1"/>
  <c r="D7" i="3" s="1"/>
  <c r="N7" i="3" s="1"/>
  <c r="O7" i="3" s="1"/>
  <c r="P7" i="3" s="1"/>
  <c r="BC6" i="1"/>
  <c r="BB6" i="1"/>
  <c r="AZ7" i="1"/>
  <c r="E8" i="3" s="1"/>
  <c r="Q8" i="3" s="1"/>
  <c r="R8" i="3" s="1"/>
  <c r="AE8" i="3" s="1"/>
  <c r="AF8" i="3" s="1"/>
  <c r="AY8" i="1"/>
  <c r="D6" i="3" a="1"/>
  <c r="D6" i="3" s="1"/>
  <c r="N6" i="3" s="1"/>
  <c r="O6" i="3" s="1"/>
  <c r="P6" i="3" s="1"/>
  <c r="AX12" i="1"/>
  <c r="AW13" i="1"/>
  <c r="AN22" i="1"/>
  <c r="AQ19" i="1"/>
  <c r="AR18" i="1"/>
  <c r="AO21" i="1"/>
  <c r="AT16" i="1"/>
  <c r="AP20" i="1"/>
  <c r="AS17" i="1"/>
  <c r="AU15" i="1"/>
  <c r="AV14" i="1"/>
  <c r="U7" i="3" l="1"/>
  <c r="V7" i="3" s="1"/>
  <c r="AA7" i="3" s="1"/>
  <c r="AB7" i="3" s="1"/>
  <c r="H6" i="3" a="1"/>
  <c r="H6" i="3" s="1"/>
  <c r="W6" i="3" s="1"/>
  <c r="X6" i="3" s="1"/>
  <c r="Y6" i="3" s="1"/>
  <c r="Z6" i="3" s="1"/>
  <c r="I8" i="3"/>
  <c r="C8" i="3"/>
  <c r="G8" i="3"/>
  <c r="U8" i="3" s="1"/>
  <c r="V8" i="3" s="1"/>
  <c r="AA8" i="3" s="1"/>
  <c r="AB8" i="3" s="1"/>
  <c r="F8" i="3"/>
  <c r="S8" i="3" s="1"/>
  <c r="T8" i="3" s="1"/>
  <c r="AC8" i="3" s="1"/>
  <c r="AD8" i="3" s="1"/>
  <c r="BB7" i="1"/>
  <c r="BC7" i="1"/>
  <c r="AZ8" i="1"/>
  <c r="I9" i="3" s="1"/>
  <c r="K7" i="3"/>
  <c r="H7" i="3" a="1"/>
  <c r="H7" i="3" s="1"/>
  <c r="W7" i="3" s="1"/>
  <c r="X7" i="3" s="1"/>
  <c r="Y7" i="3" s="1"/>
  <c r="Z7" i="3" s="1"/>
  <c r="AY9" i="1"/>
  <c r="AP21" i="1"/>
  <c r="AX13" i="1"/>
  <c r="AV15" i="1"/>
  <c r="AT17" i="1"/>
  <c r="AQ20" i="1"/>
  <c r="AU16" i="1"/>
  <c r="AR19" i="1"/>
  <c r="AS18" i="1"/>
  <c r="AO22" i="1"/>
  <c r="AW14" i="1"/>
  <c r="L8" i="3" l="1"/>
  <c r="K8" i="3" s="1"/>
  <c r="F9" i="3"/>
  <c r="S9" i="3" s="1"/>
  <c r="T9" i="3" s="1"/>
  <c r="AC9" i="3" s="1"/>
  <c r="AD9" i="3" s="1"/>
  <c r="G9" i="3"/>
  <c r="E9" i="3"/>
  <c r="Q9" i="3" s="1"/>
  <c r="R9" i="3" s="1"/>
  <c r="AE9" i="3" s="1"/>
  <c r="AF9" i="3" s="1"/>
  <c r="C9" i="3"/>
  <c r="BB8" i="1"/>
  <c r="BC8" i="1"/>
  <c r="AZ9" i="1"/>
  <c r="I10" i="3" s="1"/>
  <c r="D8" i="3" a="1"/>
  <c r="D8" i="3" s="1"/>
  <c r="N8" i="3" s="1"/>
  <c r="O8" i="3" s="1"/>
  <c r="P8" i="3" s="1"/>
  <c r="AY10" i="1"/>
  <c r="AW15" i="1"/>
  <c r="AT18" i="1"/>
  <c r="AR20" i="1"/>
  <c r="AQ21" i="1"/>
  <c r="AP22" i="1"/>
  <c r="AS19" i="1"/>
  <c r="AU17" i="1"/>
  <c r="AX14" i="1"/>
  <c r="AV16" i="1"/>
  <c r="H8" i="3" l="1" a="1"/>
  <c r="H8" i="3" s="1"/>
  <c r="W8" i="3" s="1"/>
  <c r="X8" i="3" s="1"/>
  <c r="Y8" i="3" s="1"/>
  <c r="Z8" i="3" s="1"/>
  <c r="E10" i="3"/>
  <c r="Q10" i="3" s="1"/>
  <c r="R10" i="3" s="1"/>
  <c r="AE10" i="3" s="1"/>
  <c r="AF10" i="3" s="1"/>
  <c r="F10" i="3"/>
  <c r="S10" i="3" s="1"/>
  <c r="T10" i="3" s="1"/>
  <c r="AC10" i="3" s="1"/>
  <c r="AD10" i="3" s="1"/>
  <c r="C10" i="3"/>
  <c r="G10" i="3"/>
  <c r="U10" i="3" s="1"/>
  <c r="V10" i="3" s="1"/>
  <c r="AA10" i="3" s="1"/>
  <c r="AB10" i="3" s="1"/>
  <c r="L9" i="3"/>
  <c r="H9" i="3" s="1" a="1"/>
  <c r="H9" i="3" s="1"/>
  <c r="W9" i="3" s="1"/>
  <c r="X9" i="3" s="1"/>
  <c r="Y9" i="3" s="1"/>
  <c r="Z9" i="3" s="1"/>
  <c r="U9" i="3"/>
  <c r="V9" i="3" s="1"/>
  <c r="AA9" i="3" s="1"/>
  <c r="AB9" i="3" s="1"/>
  <c r="BB9" i="1"/>
  <c r="BC9" i="1"/>
  <c r="AZ10" i="1"/>
  <c r="E11" i="3" s="1"/>
  <c r="Q11" i="3" s="1"/>
  <c r="R11" i="3" s="1"/>
  <c r="AE11" i="3" s="1"/>
  <c r="AF11" i="3" s="1"/>
  <c r="AY11" i="1"/>
  <c r="AV17" i="1"/>
  <c r="AU18" i="1"/>
  <c r="AQ22" i="1"/>
  <c r="AW16" i="1"/>
  <c r="AX15" i="1"/>
  <c r="AT19" i="1"/>
  <c r="AS20" i="1"/>
  <c r="AR21" i="1"/>
  <c r="G11" i="3" l="1"/>
  <c r="U11" i="3" s="1"/>
  <c r="V11" i="3" s="1"/>
  <c r="AA11" i="3" s="1"/>
  <c r="AB11" i="3" s="1"/>
  <c r="L10" i="3"/>
  <c r="D10" i="3" s="1" a="1"/>
  <c r="D10" i="3" s="1"/>
  <c r="N10" i="3" s="1"/>
  <c r="O10" i="3" s="1"/>
  <c r="P10" i="3" s="1"/>
  <c r="D9" i="3" a="1"/>
  <c r="D9" i="3" s="1"/>
  <c r="N9" i="3" s="1"/>
  <c r="O9" i="3" s="1"/>
  <c r="P9" i="3" s="1"/>
  <c r="K9" i="3"/>
  <c r="I11" i="3"/>
  <c r="F11" i="3"/>
  <c r="S11" i="3" s="1"/>
  <c r="T11" i="3" s="1"/>
  <c r="AC11" i="3" s="1"/>
  <c r="AD11" i="3" s="1"/>
  <c r="C11" i="3"/>
  <c r="BB10" i="1"/>
  <c r="BC10" i="1"/>
  <c r="AZ11" i="1"/>
  <c r="C12" i="3" s="1"/>
  <c r="AY12" i="1"/>
  <c r="AX16" i="1"/>
  <c r="AV18" i="1"/>
  <c r="AW17" i="1"/>
  <c r="AS21" i="1"/>
  <c r="AR22" i="1"/>
  <c r="AT20" i="1"/>
  <c r="AU19" i="1"/>
  <c r="L11" i="3" l="1"/>
  <c r="H10" i="3" a="1"/>
  <c r="H10" i="3" s="1"/>
  <c r="W10" i="3" s="1"/>
  <c r="X10" i="3" s="1"/>
  <c r="Y10" i="3" s="1"/>
  <c r="Z10" i="3" s="1"/>
  <c r="K10" i="3"/>
  <c r="E12" i="3"/>
  <c r="Q12" i="3" s="1"/>
  <c r="R12" i="3" s="1"/>
  <c r="AE12" i="3" s="1"/>
  <c r="AF12" i="3" s="1"/>
  <c r="F12" i="3"/>
  <c r="S12" i="3" s="1"/>
  <c r="T12" i="3" s="1"/>
  <c r="AC12" i="3" s="1"/>
  <c r="AD12" i="3" s="1"/>
  <c r="G12" i="3"/>
  <c r="U12" i="3" s="1"/>
  <c r="V12" i="3" s="1"/>
  <c r="AA12" i="3" s="1"/>
  <c r="AB12" i="3" s="1"/>
  <c r="I12" i="3"/>
  <c r="BC11" i="1"/>
  <c r="BB11" i="1"/>
  <c r="AZ12" i="1"/>
  <c r="E13" i="3" s="1"/>
  <c r="Q13" i="3" s="1"/>
  <c r="R13" i="3" s="1"/>
  <c r="AE13" i="3" s="1"/>
  <c r="AF13" i="3" s="1"/>
  <c r="H11" i="3" a="1"/>
  <c r="H11" i="3" s="1"/>
  <c r="W11" i="3" s="1"/>
  <c r="X11" i="3" s="1"/>
  <c r="Y11" i="3" s="1"/>
  <c r="Z11" i="3" s="1"/>
  <c r="K11" i="3"/>
  <c r="AY13" i="1"/>
  <c r="D11" i="3" a="1"/>
  <c r="D11" i="3" s="1"/>
  <c r="N11" i="3" s="1"/>
  <c r="O11" i="3" s="1"/>
  <c r="P11" i="3" s="1"/>
  <c r="AS22" i="1"/>
  <c r="AX17" i="1"/>
  <c r="AV19" i="1"/>
  <c r="AT21" i="1"/>
  <c r="AW18" i="1"/>
  <c r="AU20" i="1"/>
  <c r="F13" i="3" l="1"/>
  <c r="S13" i="3" s="1"/>
  <c r="T13" i="3" s="1"/>
  <c r="AC13" i="3" s="1"/>
  <c r="AD13" i="3" s="1"/>
  <c r="I13" i="3"/>
  <c r="L12" i="3"/>
  <c r="D12" i="3" s="1" a="1"/>
  <c r="D12" i="3" s="1"/>
  <c r="N12" i="3" s="1"/>
  <c r="O12" i="3" s="1"/>
  <c r="P12" i="3" s="1"/>
  <c r="C13" i="3"/>
  <c r="G13" i="3"/>
  <c r="U13" i="3" s="1"/>
  <c r="V13" i="3" s="1"/>
  <c r="AA13" i="3" s="1"/>
  <c r="AB13" i="3" s="1"/>
  <c r="BB12" i="1"/>
  <c r="BC12" i="1"/>
  <c r="AZ13" i="1"/>
  <c r="C14" i="3" s="1"/>
  <c r="AY14" i="1"/>
  <c r="AU21" i="1"/>
  <c r="AV20" i="1"/>
  <c r="AW19" i="1"/>
  <c r="AT22" i="1"/>
  <c r="AX18" i="1"/>
  <c r="H12" i="3" l="1" a="1"/>
  <c r="H12" i="3" s="1"/>
  <c r="W12" i="3" s="1"/>
  <c r="X12" i="3" s="1"/>
  <c r="Y12" i="3" s="1"/>
  <c r="Z12" i="3" s="1"/>
  <c r="K12" i="3"/>
  <c r="E14" i="3"/>
  <c r="Q14" i="3" s="1"/>
  <c r="R14" i="3" s="1"/>
  <c r="AE14" i="3" s="1"/>
  <c r="AF14" i="3" s="1"/>
  <c r="F14" i="3"/>
  <c r="S14" i="3" s="1"/>
  <c r="T14" i="3" s="1"/>
  <c r="AC14" i="3" s="1"/>
  <c r="AD14" i="3" s="1"/>
  <c r="L13" i="3"/>
  <c r="H13" i="3" s="1" a="1"/>
  <c r="H13" i="3" s="1"/>
  <c r="W13" i="3" s="1"/>
  <c r="X13" i="3" s="1"/>
  <c r="Y13" i="3" s="1"/>
  <c r="Z13" i="3" s="1"/>
  <c r="G14" i="3"/>
  <c r="U14" i="3" s="1"/>
  <c r="V14" i="3" s="1"/>
  <c r="AA14" i="3" s="1"/>
  <c r="AB14" i="3" s="1"/>
  <c r="I14" i="3"/>
  <c r="BB13" i="1"/>
  <c r="BC13" i="1"/>
  <c r="AZ14" i="1"/>
  <c r="F15" i="3" s="1"/>
  <c r="S15" i="3" s="1"/>
  <c r="T15" i="3" s="1"/>
  <c r="AC15" i="3" s="1"/>
  <c r="AD15" i="3" s="1"/>
  <c r="AY15" i="1"/>
  <c r="E15" i="3"/>
  <c r="Q15" i="3" s="1"/>
  <c r="R15" i="3" s="1"/>
  <c r="AE15" i="3" s="1"/>
  <c r="AF15" i="3" s="1"/>
  <c r="D13" i="3" a="1"/>
  <c r="D13" i="3" s="1"/>
  <c r="N13" i="3" s="1"/>
  <c r="O13" i="3" s="1"/>
  <c r="P13" i="3" s="1"/>
  <c r="AU22" i="1"/>
  <c r="AV21" i="1"/>
  <c r="AX19" i="1"/>
  <c r="AW20" i="1"/>
  <c r="K13" i="3" l="1"/>
  <c r="G15" i="3"/>
  <c r="L15" i="3" s="1"/>
  <c r="K15" i="3" s="1"/>
  <c r="L14" i="3"/>
  <c r="H14" i="3" s="1" a="1"/>
  <c r="H14" i="3" s="1"/>
  <c r="W14" i="3" s="1"/>
  <c r="X14" i="3" s="1"/>
  <c r="Y14" i="3" s="1"/>
  <c r="Z14" i="3" s="1"/>
  <c r="C15" i="3"/>
  <c r="BC14" i="1"/>
  <c r="BB14" i="1"/>
  <c r="AZ15" i="1"/>
  <c r="I16" i="3" s="1"/>
  <c r="I15" i="3"/>
  <c r="AY16" i="1"/>
  <c r="AV22" i="1"/>
  <c r="AW21" i="1"/>
  <c r="AX20" i="1"/>
  <c r="U15" i="3" l="1"/>
  <c r="V15" i="3" s="1"/>
  <c r="AA15" i="3" s="1"/>
  <c r="AB15" i="3" s="1"/>
  <c r="F16" i="3"/>
  <c r="S16" i="3" s="1"/>
  <c r="T16" i="3" s="1"/>
  <c r="AC16" i="3" s="1"/>
  <c r="AD16" i="3" s="1"/>
  <c r="E16" i="3"/>
  <c r="Q16" i="3" s="1"/>
  <c r="R16" i="3" s="1"/>
  <c r="AE16" i="3" s="1"/>
  <c r="AF16" i="3" s="1"/>
  <c r="C16" i="3"/>
  <c r="G16" i="3"/>
  <c r="U16" i="3" s="1"/>
  <c r="V16" i="3" s="1"/>
  <c r="AA16" i="3" s="1"/>
  <c r="AB16" i="3" s="1"/>
  <c r="K14" i="3"/>
  <c r="D14" i="3" a="1"/>
  <c r="D14" i="3" s="1"/>
  <c r="N14" i="3" s="1"/>
  <c r="O14" i="3" s="1"/>
  <c r="P14" i="3" s="1"/>
  <c r="BB15" i="1"/>
  <c r="BC15" i="1"/>
  <c r="AZ16" i="1"/>
  <c r="G17" i="3" s="1"/>
  <c r="AY17" i="1"/>
  <c r="H15" i="3" a="1"/>
  <c r="H15" i="3" s="1"/>
  <c r="W15" i="3" s="1"/>
  <c r="X15" i="3" s="1"/>
  <c r="Y15" i="3" s="1"/>
  <c r="Z15" i="3" s="1"/>
  <c r="D15" i="3" a="1"/>
  <c r="D15" i="3" s="1"/>
  <c r="N15" i="3" s="1"/>
  <c r="O15" i="3" s="1"/>
  <c r="P15" i="3" s="1"/>
  <c r="AW22" i="1"/>
  <c r="AX21" i="1"/>
  <c r="L16" i="3" l="1"/>
  <c r="H16" i="3" s="1" a="1"/>
  <c r="H16" i="3" s="1"/>
  <c r="W16" i="3" s="1"/>
  <c r="X16" i="3" s="1"/>
  <c r="Y16" i="3" s="1"/>
  <c r="Z16" i="3" s="1"/>
  <c r="C17" i="3"/>
  <c r="E17" i="3"/>
  <c r="Q17" i="3" s="1"/>
  <c r="R17" i="3" s="1"/>
  <c r="AE17" i="3" s="1"/>
  <c r="AF17" i="3" s="1"/>
  <c r="I17" i="3"/>
  <c r="F17" i="3"/>
  <c r="S17" i="3" s="1"/>
  <c r="T17" i="3" s="1"/>
  <c r="AC17" i="3" s="1"/>
  <c r="AD17" i="3" s="1"/>
  <c r="BC16" i="1"/>
  <c r="BB16" i="1"/>
  <c r="AZ17" i="1"/>
  <c r="C18" i="3" s="1"/>
  <c r="U17" i="3"/>
  <c r="V17" i="3" s="1"/>
  <c r="AA17" i="3" s="1"/>
  <c r="AB17" i="3" s="1"/>
  <c r="AY18" i="1"/>
  <c r="AX22" i="1"/>
  <c r="F18" i="3" l="1"/>
  <c r="S18" i="3" s="1"/>
  <c r="T18" i="3" s="1"/>
  <c r="AC18" i="3" s="1"/>
  <c r="AD18" i="3" s="1"/>
  <c r="K16" i="3"/>
  <c r="I18" i="3"/>
  <c r="D16" i="3" a="1"/>
  <c r="D16" i="3" s="1"/>
  <c r="N16" i="3" s="1"/>
  <c r="O16" i="3" s="1"/>
  <c r="P16" i="3" s="1"/>
  <c r="L17" i="3"/>
  <c r="H17" i="3" s="1" a="1"/>
  <c r="H17" i="3" s="1"/>
  <c r="W17" i="3" s="1"/>
  <c r="X17" i="3" s="1"/>
  <c r="Y17" i="3" s="1"/>
  <c r="Z17" i="3" s="1"/>
  <c r="G18" i="3"/>
  <c r="U18" i="3" s="1"/>
  <c r="V18" i="3" s="1"/>
  <c r="AA18" i="3" s="1"/>
  <c r="AB18" i="3" s="1"/>
  <c r="E18" i="3"/>
  <c r="Q18" i="3" s="1"/>
  <c r="R18" i="3" s="1"/>
  <c r="AE18" i="3" s="1"/>
  <c r="AF18" i="3" s="1"/>
  <c r="BC17" i="1"/>
  <c r="BB17" i="1"/>
  <c r="AZ18" i="1"/>
  <c r="E19" i="3" s="1"/>
  <c r="Q19" i="3" s="1"/>
  <c r="R19" i="3" s="1"/>
  <c r="AE19" i="3" s="1"/>
  <c r="AF19" i="3" s="1"/>
  <c r="AY19" i="1"/>
  <c r="F19" i="3"/>
  <c r="S19" i="3" s="1"/>
  <c r="T19" i="3" s="1"/>
  <c r="AC19" i="3" s="1"/>
  <c r="AD19" i="3" s="1"/>
  <c r="C19" i="3" l="1"/>
  <c r="G19" i="3"/>
  <c r="U19" i="3" s="1"/>
  <c r="V19" i="3" s="1"/>
  <c r="AA19" i="3" s="1"/>
  <c r="AB19" i="3" s="1"/>
  <c r="K17" i="3"/>
  <c r="D17" i="3" a="1"/>
  <c r="D17" i="3" s="1"/>
  <c r="N17" i="3" s="1"/>
  <c r="O17" i="3" s="1"/>
  <c r="P17" i="3" s="1"/>
  <c r="L18" i="3"/>
  <c r="D18" i="3" s="1" a="1"/>
  <c r="D18" i="3" s="1"/>
  <c r="N18" i="3" s="1"/>
  <c r="O18" i="3" s="1"/>
  <c r="P18" i="3" s="1"/>
  <c r="I19" i="3"/>
  <c r="H18" i="3" a="1"/>
  <c r="H18" i="3" s="1"/>
  <c r="W18" i="3" s="1"/>
  <c r="X18" i="3" s="1"/>
  <c r="Y18" i="3" s="1"/>
  <c r="Z18" i="3" s="1"/>
  <c r="K18" i="3"/>
  <c r="BB18" i="1"/>
  <c r="BC18" i="1"/>
  <c r="AZ19" i="1"/>
  <c r="I20" i="3" s="1"/>
  <c r="AY20" i="1"/>
  <c r="L19" i="3" l="1"/>
  <c r="H19" i="3" s="1" a="1"/>
  <c r="H19" i="3" s="1"/>
  <c r="W19" i="3" s="1"/>
  <c r="X19" i="3" s="1"/>
  <c r="Y19" i="3" s="1"/>
  <c r="Z19" i="3" s="1"/>
  <c r="G20" i="3"/>
  <c r="U20" i="3" s="1"/>
  <c r="V20" i="3" s="1"/>
  <c r="AA20" i="3" s="1"/>
  <c r="AB20" i="3" s="1"/>
  <c r="F20" i="3"/>
  <c r="S20" i="3" s="1"/>
  <c r="T20" i="3" s="1"/>
  <c r="AC20" i="3" s="1"/>
  <c r="AD20" i="3" s="1"/>
  <c r="E20" i="3"/>
  <c r="Q20" i="3" s="1"/>
  <c r="R20" i="3" s="1"/>
  <c r="AE20" i="3" s="1"/>
  <c r="AF20" i="3" s="1"/>
  <c r="C20" i="3"/>
  <c r="BB19" i="1"/>
  <c r="BC19" i="1"/>
  <c r="AZ20" i="1"/>
  <c r="E21" i="3" s="1"/>
  <c r="Q21" i="3" s="1"/>
  <c r="R21" i="3" s="1"/>
  <c r="AE21" i="3" s="1"/>
  <c r="AF21" i="3" s="1"/>
  <c r="K19" i="3"/>
  <c r="AY21" i="1"/>
  <c r="D19" i="3" a="1"/>
  <c r="D19" i="3" s="1"/>
  <c r="N19" i="3" s="1"/>
  <c r="O19" i="3" s="1"/>
  <c r="P19" i="3" s="1"/>
  <c r="C21" i="3" l="1"/>
  <c r="I21" i="3"/>
  <c r="G21" i="3"/>
  <c r="L21" i="3" s="1"/>
  <c r="H21" i="3" s="1" a="1"/>
  <c r="H21" i="3" s="1"/>
  <c r="W21" i="3" s="1"/>
  <c r="X21" i="3" s="1"/>
  <c r="Y21" i="3" s="1"/>
  <c r="Z21" i="3" s="1"/>
  <c r="L20" i="3"/>
  <c r="H20" i="3" s="1" a="1"/>
  <c r="H20" i="3" s="1"/>
  <c r="W20" i="3" s="1"/>
  <c r="X20" i="3" s="1"/>
  <c r="Y20" i="3" s="1"/>
  <c r="Z20" i="3" s="1"/>
  <c r="F21" i="3"/>
  <c r="S21" i="3" s="1"/>
  <c r="T21" i="3" s="1"/>
  <c r="AC21" i="3" s="1"/>
  <c r="AD21" i="3" s="1"/>
  <c r="BB20" i="1"/>
  <c r="BC20" i="1"/>
  <c r="AZ21" i="1"/>
  <c r="C22" i="3" s="1"/>
  <c r="AY22" i="1"/>
  <c r="K20" i="3" l="1"/>
  <c r="D20" i="3" a="1"/>
  <c r="D20" i="3" s="1"/>
  <c r="N20" i="3" s="1"/>
  <c r="O20" i="3" s="1"/>
  <c r="P20" i="3" s="1"/>
  <c r="E22" i="3"/>
  <c r="Q22" i="3" s="1"/>
  <c r="R22" i="3" s="1"/>
  <c r="AE22" i="3" s="1"/>
  <c r="AF22" i="3" s="1"/>
  <c r="F22" i="3"/>
  <c r="S22" i="3" s="1"/>
  <c r="T22" i="3" s="1"/>
  <c r="AC22" i="3" s="1"/>
  <c r="AD22" i="3" s="1"/>
  <c r="U21" i="3"/>
  <c r="V21" i="3" s="1"/>
  <c r="AA21" i="3" s="1"/>
  <c r="AB21" i="3" s="1"/>
  <c r="G22" i="3"/>
  <c r="K21" i="3"/>
  <c r="I22" i="3"/>
  <c r="BC21" i="1"/>
  <c r="BB21" i="1"/>
  <c r="AZ22" i="1"/>
  <c r="F23" i="3" s="1"/>
  <c r="S23" i="3" s="1"/>
  <c r="T23" i="3" s="1"/>
  <c r="AC23" i="3" s="1"/>
  <c r="AD23" i="3" s="1"/>
  <c r="D21" i="3" a="1"/>
  <c r="D21" i="3" s="1"/>
  <c r="N21" i="3" s="1"/>
  <c r="O21" i="3" s="1"/>
  <c r="P21" i="3" s="1"/>
  <c r="L22" i="3" l="1"/>
  <c r="H22" i="3" s="1" a="1"/>
  <c r="H22" i="3" s="1"/>
  <c r="W22" i="3" s="1"/>
  <c r="X22" i="3" s="1"/>
  <c r="Y22" i="3" s="1"/>
  <c r="Z22" i="3" s="1"/>
  <c r="U22" i="3"/>
  <c r="V22" i="3" s="1"/>
  <c r="AA22" i="3" s="1"/>
  <c r="AB22" i="3" s="1"/>
  <c r="E23" i="3"/>
  <c r="Q23" i="3" s="1"/>
  <c r="R23" i="3" s="1"/>
  <c r="AE23" i="3" s="1"/>
  <c r="AF23" i="3" s="1"/>
  <c r="G23" i="3"/>
  <c r="U23" i="3" s="1"/>
  <c r="V23" i="3" s="1"/>
  <c r="AA23" i="3" s="1"/>
  <c r="AB23" i="3" s="1"/>
  <c r="I23" i="3"/>
  <c r="C23" i="3"/>
  <c r="K22" i="3"/>
  <c r="BC22" i="1"/>
  <c r="BB22" i="1"/>
  <c r="D22" i="3" a="1"/>
  <c r="D22" i="3" s="1"/>
  <c r="N22" i="3" s="1"/>
  <c r="O22" i="3" s="1"/>
  <c r="P22" i="3" s="1"/>
  <c r="L23" i="3" l="1"/>
  <c r="D23" i="3" s="1" a="1"/>
  <c r="D23" i="3" s="1"/>
  <c r="N23" i="3" s="1"/>
  <c r="O23" i="3" s="1"/>
  <c r="P23" i="3" s="1"/>
  <c r="K23" i="3" l="1"/>
  <c r="H23" i="3" a="1"/>
  <c r="H23" i="3" s="1"/>
  <c r="W23" i="3" s="1"/>
  <c r="X23" i="3" s="1"/>
  <c r="Y23" i="3" s="1"/>
  <c r="Z23" i="3" s="1"/>
</calcChain>
</file>

<file path=xl/sharedStrings.xml><?xml version="1.0" encoding="utf-8"?>
<sst xmlns="http://schemas.openxmlformats.org/spreadsheetml/2006/main" count="8" uniqueCount="7">
  <si>
    <t>min</t>
  </si>
  <si>
    <t>1q</t>
  </si>
  <si>
    <t>med</t>
  </si>
  <si>
    <t>3q</t>
  </si>
  <si>
    <t>max</t>
  </si>
  <si>
    <t>DIQ</t>
  </si>
  <si>
    <t>bigode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</si>
</sst>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6E6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69466316710421"/>
          <c:y val="5.0925925925925923E-2"/>
          <c:w val="0.83874978127734034"/>
          <c:h val="0.76169181977252942"/>
        </c:manualLayout>
      </c:layout>
      <c:lineChart>
        <c:grouping val="standard"/>
        <c:varyColors val="0"/>
        <c:ser>
          <c:idx val="1"/>
          <c:order val="0"/>
          <c:tx>
            <c:v>a = 0,2</c:v>
          </c:tx>
          <c:spPr>
            <a:ln w="222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Dados!$B$2:$B$22</c:f>
              <c:numCache>
                <c:formatCode>General</c:formatCode>
                <c:ptCount val="21"/>
                <c:pt idx="0">
                  <c:v>1</c:v>
                </c:pt>
                <c:pt idx="1">
                  <c:v>1.2214027581601699</c:v>
                </c:pt>
                <c:pt idx="2">
                  <c:v>1.4918246976412703</c:v>
                </c:pt>
                <c:pt idx="3">
                  <c:v>1.8221188003905091</c:v>
                </c:pt>
                <c:pt idx="4">
                  <c:v>2.2255409284924679</c:v>
                </c:pt>
                <c:pt idx="5">
                  <c:v>2.7182818284590455</c:v>
                </c:pt>
                <c:pt idx="6">
                  <c:v>3.3201169227365481</c:v>
                </c:pt>
                <c:pt idx="7">
                  <c:v>4.0551999668446754</c:v>
                </c:pt>
                <c:pt idx="8">
                  <c:v>4.9530324243951158</c:v>
                </c:pt>
                <c:pt idx="9">
                  <c:v>6.0496474644129474</c:v>
                </c:pt>
                <c:pt idx="10">
                  <c:v>7.3890560989306522</c:v>
                </c:pt>
                <c:pt idx="11">
                  <c:v>9.0250134994341238</c:v>
                </c:pt>
                <c:pt idx="12">
                  <c:v>11.023176380641605</c:v>
                </c:pt>
                <c:pt idx="13">
                  <c:v>13.463738035001695</c:v>
                </c:pt>
                <c:pt idx="14">
                  <c:v>16.444646771097055</c:v>
                </c:pt>
                <c:pt idx="15">
                  <c:v>20.085536923187675</c:v>
                </c:pt>
                <c:pt idx="16">
                  <c:v>24.532530197109359</c:v>
                </c:pt>
                <c:pt idx="17">
                  <c:v>29.964100047397029</c:v>
                </c:pt>
                <c:pt idx="18">
                  <c:v>36.59823444367801</c:v>
                </c:pt>
                <c:pt idx="19">
                  <c:v>44.70118449330085</c:v>
                </c:pt>
                <c:pt idx="20">
                  <c:v>54.598150033144272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01-4BAC-ACB3-440B91EB0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831592"/>
        <c:axId val="369829240"/>
      </c:lineChart>
      <c:catAx>
        <c:axId val="36983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000"/>
                  <a:t>tempo </a:t>
                </a:r>
                <a:r>
                  <a:rPr lang="pt-BR" sz="10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69829240"/>
        <c:crosses val="autoZero"/>
        <c:auto val="1"/>
        <c:lblAlgn val="ctr"/>
        <c:lblOffset val="100"/>
        <c:tickLblSkip val="1"/>
        <c:noMultiLvlLbl val="0"/>
      </c:catAx>
      <c:valAx>
        <c:axId val="369829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2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pt-BR" sz="1200" i="1" baseline="-25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6983159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69466316710421"/>
          <c:y val="5.0925925925925923E-2"/>
          <c:w val="0.83874978127734034"/>
          <c:h val="0.76169181977252942"/>
        </c:manualLayout>
      </c:layout>
      <c:lineChart>
        <c:grouping val="standard"/>
        <c:varyColors val="0"/>
        <c:ser>
          <c:idx val="1"/>
          <c:order val="0"/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Dados!$C$2:$C$22</c:f>
              <c:numCache>
                <c:formatCode>General</c:formatCode>
                <c:ptCount val="21"/>
                <c:pt idx="0">
                  <c:v>1</c:v>
                </c:pt>
                <c:pt idx="1">
                  <c:v>1.2310385287311183</c:v>
                </c:pt>
                <c:pt idx="2">
                  <c:v>1.64518205569369</c:v>
                </c:pt>
                <c:pt idx="3">
                  <c:v>2.1193522010947841</c:v>
                </c:pt>
                <c:pt idx="4">
                  <c:v>2.8104545792820845</c:v>
                </c:pt>
                <c:pt idx="5">
                  <c:v>3.732312836165891</c:v>
                </c:pt>
                <c:pt idx="6">
                  <c:v>4.7665384946375386</c:v>
                </c:pt>
                <c:pt idx="7">
                  <c:v>6.0945449449111448</c:v>
                </c:pt>
                <c:pt idx="8">
                  <c:v>7.8077356448527144</c:v>
                </c:pt>
                <c:pt idx="9">
                  <c:v>9.583978655088206</c:v>
                </c:pt>
                <c:pt idx="10">
                  <c:v>11.726465692302817</c:v>
                </c:pt>
                <c:pt idx="11">
                  <c:v>14.667458723641746</c:v>
                </c:pt>
                <c:pt idx="12">
                  <c:v>19.550408734155553</c:v>
                </c:pt>
                <c:pt idx="13">
                  <c:v>26.301124344536685</c:v>
                </c:pt>
                <c:pt idx="14">
                  <c:v>32.954508646909851</c:v>
                </c:pt>
                <c:pt idx="15">
                  <c:v>43.730260048734415</c:v>
                </c:pt>
                <c:pt idx="16">
                  <c:v>57.731148625969055</c:v>
                </c:pt>
                <c:pt idx="17">
                  <c:v>70.529426870627503</c:v>
                </c:pt>
                <c:pt idx="18">
                  <c:v>89.345820013919322</c:v>
                </c:pt>
                <c:pt idx="19">
                  <c:v>112.06086899639014</c:v>
                </c:pt>
                <c:pt idx="20">
                  <c:v>150.34049287405756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CA-4578-BBFE-F9BC21A0002B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Dados!$D$2:$D$22</c:f>
              <c:numCache>
                <c:formatCode>General</c:formatCode>
                <c:ptCount val="21"/>
                <c:pt idx="0">
                  <c:v>1</c:v>
                </c:pt>
                <c:pt idx="1">
                  <c:v>1.279252394132754</c:v>
                </c:pt>
                <c:pt idx="2">
                  <c:v>1.6908559550298239</c:v>
                </c:pt>
                <c:pt idx="3">
                  <c:v>2.1480883354733469</c:v>
                </c:pt>
                <c:pt idx="4">
                  <c:v>2.7024096859486479</c:v>
                </c:pt>
                <c:pt idx="5">
                  <c:v>3.4807181671086966</c:v>
                </c:pt>
                <c:pt idx="6">
                  <c:v>4.3428453439654957</c:v>
                </c:pt>
                <c:pt idx="7">
                  <c:v>5.3065219442211706</c:v>
                </c:pt>
                <c:pt idx="8">
                  <c:v>7.0921095802657161</c:v>
                </c:pt>
                <c:pt idx="9">
                  <c:v>8.8511225050044047</c:v>
                </c:pt>
                <c:pt idx="10">
                  <c:v>10.980986466038322</c:v>
                </c:pt>
                <c:pt idx="11">
                  <c:v>13.747112857472924</c:v>
                </c:pt>
                <c:pt idx="12">
                  <c:v>17.981481199839905</c:v>
                </c:pt>
                <c:pt idx="13">
                  <c:v>23.86542292519179</c:v>
                </c:pt>
                <c:pt idx="14">
                  <c:v>29.932992993255823</c:v>
                </c:pt>
                <c:pt idx="15">
                  <c:v>36.839439975586608</c:v>
                </c:pt>
                <c:pt idx="16">
                  <c:v>49.074105650137874</c:v>
                </c:pt>
                <c:pt idx="17">
                  <c:v>65.898713240843136</c:v>
                </c:pt>
                <c:pt idx="18">
                  <c:v>85.926166904145163</c:v>
                </c:pt>
                <c:pt idx="19">
                  <c:v>111.5155822656441</c:v>
                </c:pt>
                <c:pt idx="20">
                  <c:v>148.37702092078069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CA-4578-BBFE-F9BC21A0002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Dados!$E$2:$E$22</c:f>
              <c:numCache>
                <c:formatCode>General</c:formatCode>
                <c:ptCount val="21"/>
                <c:pt idx="0">
                  <c:v>1</c:v>
                </c:pt>
                <c:pt idx="1">
                  <c:v>1.2952075578582798</c:v>
                </c:pt>
                <c:pt idx="2">
                  <c:v>1.6733346165402088</c:v>
                </c:pt>
                <c:pt idx="3">
                  <c:v>2.1596483038165371</c:v>
                </c:pt>
                <c:pt idx="4">
                  <c:v>2.6382484984665791</c:v>
                </c:pt>
                <c:pt idx="5">
                  <c:v>3.3100843209393078</c:v>
                </c:pt>
                <c:pt idx="6">
                  <c:v>4.3848387506867228</c:v>
                </c:pt>
                <c:pt idx="7">
                  <c:v>5.5356923678587489</c:v>
                </c:pt>
                <c:pt idx="8">
                  <c:v>6.8333462315067219</c:v>
                </c:pt>
                <c:pt idx="9">
                  <c:v>8.6575458562258181</c:v>
                </c:pt>
                <c:pt idx="10">
                  <c:v>10.878886151131832</c:v>
                </c:pt>
                <c:pt idx="11">
                  <c:v>14.168307436145939</c:v>
                </c:pt>
                <c:pt idx="12">
                  <c:v>17.461181165099223</c:v>
                </c:pt>
                <c:pt idx="13">
                  <c:v>21.788546353102639</c:v>
                </c:pt>
                <c:pt idx="14">
                  <c:v>28.413058308406313</c:v>
                </c:pt>
                <c:pt idx="15">
                  <c:v>37.517778259725951</c:v>
                </c:pt>
                <c:pt idx="16">
                  <c:v>47.517467279551667</c:v>
                </c:pt>
                <c:pt idx="17">
                  <c:v>58.353281065192007</c:v>
                </c:pt>
                <c:pt idx="18">
                  <c:v>74.380049218648452</c:v>
                </c:pt>
                <c:pt idx="19">
                  <c:v>99.573456678080547</c:v>
                </c:pt>
                <c:pt idx="20">
                  <c:v>130.0885672541595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CA-4578-BBFE-F9BC21A0002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Dados!$F$2:$F$22</c:f>
              <c:numCache>
                <c:formatCode>General</c:formatCode>
                <c:ptCount val="21"/>
                <c:pt idx="0">
                  <c:v>1</c:v>
                </c:pt>
                <c:pt idx="1">
                  <c:v>1.342857709402743</c:v>
                </c:pt>
                <c:pt idx="2">
                  <c:v>1.7440709642459422</c:v>
                </c:pt>
                <c:pt idx="3">
                  <c:v>2.353974720560664</c:v>
                </c:pt>
                <c:pt idx="4">
                  <c:v>3.0239071191347935</c:v>
                </c:pt>
                <c:pt idx="5">
                  <c:v>3.8264934458833686</c:v>
                </c:pt>
                <c:pt idx="6">
                  <c:v>4.8379469287307089</c:v>
                </c:pt>
                <c:pt idx="7">
                  <c:v>6.420628314264917</c:v>
                </c:pt>
                <c:pt idx="8">
                  <c:v>8.033901887533494</c:v>
                </c:pt>
                <c:pt idx="9">
                  <c:v>10.342796464641738</c:v>
                </c:pt>
                <c:pt idx="10">
                  <c:v>12.706903769033863</c:v>
                </c:pt>
                <c:pt idx="11">
                  <c:v>16.76039307726278</c:v>
                </c:pt>
                <c:pt idx="12">
                  <c:v>21.874075041325852</c:v>
                </c:pt>
                <c:pt idx="13">
                  <c:v>28.426621033181988</c:v>
                </c:pt>
                <c:pt idx="14">
                  <c:v>35.421859833824342</c:v>
                </c:pt>
                <c:pt idx="15">
                  <c:v>47.627405724798848</c:v>
                </c:pt>
                <c:pt idx="16">
                  <c:v>61.75750079168175</c:v>
                </c:pt>
                <c:pt idx="17">
                  <c:v>80.835362440200058</c:v>
                </c:pt>
                <c:pt idx="18">
                  <c:v>108.88081659639226</c:v>
                </c:pt>
                <c:pt idx="19">
                  <c:v>139.11934308094303</c:v>
                </c:pt>
                <c:pt idx="20">
                  <c:v>172.63220400881042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CA-4578-BBFE-F9BC21A0002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Dados!$G$2:$G$22</c:f>
              <c:numCache>
                <c:formatCode>General</c:formatCode>
                <c:ptCount val="21"/>
                <c:pt idx="0">
                  <c:v>1</c:v>
                </c:pt>
                <c:pt idx="1">
                  <c:v>1.226992461769729</c:v>
                </c:pt>
                <c:pt idx="2">
                  <c:v>1.6132932292537483</c:v>
                </c:pt>
                <c:pt idx="3">
                  <c:v>2.0134152795231857</c:v>
                </c:pt>
                <c:pt idx="4">
                  <c:v>2.4654279075096506</c:v>
                </c:pt>
                <c:pt idx="5">
                  <c:v>3.1329311292752684</c:v>
                </c:pt>
                <c:pt idx="6">
                  <c:v>3.9853300835429963</c:v>
                </c:pt>
                <c:pt idx="7">
                  <c:v>4.9020850229573298</c:v>
                </c:pt>
                <c:pt idx="8">
                  <c:v>6.3193253919068306</c:v>
                </c:pt>
                <c:pt idx="9">
                  <c:v>8.4851688883442495</c:v>
                </c:pt>
                <c:pt idx="10">
                  <c:v>10.556284350829099</c:v>
                </c:pt>
                <c:pt idx="11">
                  <c:v>13.81581096000034</c:v>
                </c:pt>
                <c:pt idx="12">
                  <c:v>18.449301650005612</c:v>
                </c:pt>
                <c:pt idx="13">
                  <c:v>23.324009263877478</c:v>
                </c:pt>
                <c:pt idx="14">
                  <c:v>29.93102425296588</c:v>
                </c:pt>
                <c:pt idx="15">
                  <c:v>40.25853815162526</c:v>
                </c:pt>
                <c:pt idx="16">
                  <c:v>53.833009691038178</c:v>
                </c:pt>
                <c:pt idx="17">
                  <c:v>71.838167284617384</c:v>
                </c:pt>
                <c:pt idx="18">
                  <c:v>89.919578893254879</c:v>
                </c:pt>
                <c:pt idx="19">
                  <c:v>110.45809115426022</c:v>
                </c:pt>
                <c:pt idx="20">
                  <c:v>146.07303774478586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CA-4578-BBFE-F9BC21A0002B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Dados!$H$2:$H$22</c:f>
              <c:numCache>
                <c:formatCode>General</c:formatCode>
                <c:ptCount val="21"/>
                <c:pt idx="0">
                  <c:v>1</c:v>
                </c:pt>
                <c:pt idx="1">
                  <c:v>1.2959527902267083</c:v>
                </c:pt>
                <c:pt idx="2">
                  <c:v>1.6078433467011575</c:v>
                </c:pt>
                <c:pt idx="3">
                  <c:v>2.1673342297065732</c:v>
                </c:pt>
                <c:pt idx="4">
                  <c:v>2.8909255353357182</c:v>
                </c:pt>
                <c:pt idx="5">
                  <c:v>3.6237545168693774</c:v>
                </c:pt>
                <c:pt idx="6">
                  <c:v>4.7630439897015506</c:v>
                </c:pt>
                <c:pt idx="7">
                  <c:v>5.8343660175163397</c:v>
                </c:pt>
                <c:pt idx="8">
                  <c:v>7.213844806466235</c:v>
                </c:pt>
                <c:pt idx="9">
                  <c:v>9.6207713333260969</c:v>
                </c:pt>
                <c:pt idx="10">
                  <c:v>12.862438648530778</c:v>
                </c:pt>
                <c:pt idx="11">
                  <c:v>16.727957837342842</c:v>
                </c:pt>
                <c:pt idx="12">
                  <c:v>20.799450856798043</c:v>
                </c:pt>
                <c:pt idx="13">
                  <c:v>26.507976106610467</c:v>
                </c:pt>
                <c:pt idx="14">
                  <c:v>34.012628261481268</c:v>
                </c:pt>
                <c:pt idx="15">
                  <c:v>41.852591528943385</c:v>
                </c:pt>
                <c:pt idx="16">
                  <c:v>51.67828257024415</c:v>
                </c:pt>
                <c:pt idx="17">
                  <c:v>64.171935415768075</c:v>
                </c:pt>
                <c:pt idx="18">
                  <c:v>81.145987639445025</c:v>
                </c:pt>
                <c:pt idx="19">
                  <c:v>104.45346419854678</c:v>
                </c:pt>
                <c:pt idx="20">
                  <c:v>136.97499358237127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CA-4578-BBFE-F9BC21A0002B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Dados!$I$2:$I$22</c:f>
              <c:numCache>
                <c:formatCode>General</c:formatCode>
                <c:ptCount val="21"/>
                <c:pt idx="0">
                  <c:v>1</c:v>
                </c:pt>
                <c:pt idx="1">
                  <c:v>1.2234918189143318</c:v>
                </c:pt>
                <c:pt idx="2">
                  <c:v>1.5345625758002797</c:v>
                </c:pt>
                <c:pt idx="3">
                  <c:v>2.0082717286486549</c:v>
                </c:pt>
                <c:pt idx="4">
                  <c:v>2.6681734604266558</c:v>
                </c:pt>
                <c:pt idx="5">
                  <c:v>3.3576341572106734</c:v>
                </c:pt>
                <c:pt idx="6">
                  <c:v>4.2333351587374572</c:v>
                </c:pt>
                <c:pt idx="7">
                  <c:v>5.3174861842047267</c:v>
                </c:pt>
                <c:pt idx="8">
                  <c:v>6.6265759374097302</c:v>
                </c:pt>
                <c:pt idx="9">
                  <c:v>8.9272476627659874</c:v>
                </c:pt>
                <c:pt idx="10">
                  <c:v>10.977107807832564</c:v>
                </c:pt>
                <c:pt idx="11">
                  <c:v>14.143985421925501</c:v>
                </c:pt>
                <c:pt idx="12">
                  <c:v>18.544994492650215</c:v>
                </c:pt>
                <c:pt idx="13">
                  <c:v>24.093986096932532</c:v>
                </c:pt>
                <c:pt idx="14">
                  <c:v>29.702024108528516</c:v>
                </c:pt>
                <c:pt idx="15">
                  <c:v>36.333797331877008</c:v>
                </c:pt>
                <c:pt idx="16">
                  <c:v>46.966026184128452</c:v>
                </c:pt>
                <c:pt idx="17">
                  <c:v>59.623856397872665</c:v>
                </c:pt>
                <c:pt idx="18">
                  <c:v>73.33589519320735</c:v>
                </c:pt>
                <c:pt idx="19">
                  <c:v>98.568606950841414</c:v>
                </c:pt>
                <c:pt idx="20">
                  <c:v>131.08710836688067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CA-4578-BBFE-F9BC21A0002B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Dados!$J$2:$J$22</c:f>
              <c:numCache>
                <c:formatCode>General</c:formatCode>
                <c:ptCount val="21"/>
                <c:pt idx="0">
                  <c:v>1</c:v>
                </c:pt>
                <c:pt idx="1">
                  <c:v>1.3020223842548806</c:v>
                </c:pt>
                <c:pt idx="2">
                  <c:v>1.7549852911376798</c:v>
                </c:pt>
                <c:pt idx="3">
                  <c:v>2.3462287078228905</c:v>
                </c:pt>
                <c:pt idx="4">
                  <c:v>3.1407517072227695</c:v>
                </c:pt>
                <c:pt idx="5">
                  <c:v>3.9926057827521588</c:v>
                </c:pt>
                <c:pt idx="6">
                  <c:v>5.2002390331871986</c:v>
                </c:pt>
                <c:pt idx="7">
                  <c:v>6.6098170284030928</c:v>
                </c:pt>
                <c:pt idx="8">
                  <c:v>8.8520560390281098</c:v>
                </c:pt>
                <c:pt idx="9">
                  <c:v>11.191315936654252</c:v>
                </c:pt>
                <c:pt idx="10">
                  <c:v>14.707670832058746</c:v>
                </c:pt>
                <c:pt idx="11">
                  <c:v>18.854015751134334</c:v>
                </c:pt>
                <c:pt idx="12">
                  <c:v>24.524884689597684</c:v>
                </c:pt>
                <c:pt idx="13">
                  <c:v>30.262775219578401</c:v>
                </c:pt>
                <c:pt idx="14">
                  <c:v>39.523563711367487</c:v>
                </c:pt>
                <c:pt idx="15">
                  <c:v>52.362442539759314</c:v>
                </c:pt>
                <c:pt idx="16">
                  <c:v>65.595768351663324</c:v>
                </c:pt>
                <c:pt idx="17">
                  <c:v>85.896795514958214</c:v>
                </c:pt>
                <c:pt idx="18">
                  <c:v>114.76434960563488</c:v>
                </c:pt>
                <c:pt idx="19">
                  <c:v>151.25047821438864</c:v>
                </c:pt>
                <c:pt idx="20">
                  <c:v>192.05138522195449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CA-4578-BBFE-F9BC21A0002B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Dados!$K$2:$K$22</c:f>
              <c:numCache>
                <c:formatCode>General</c:formatCode>
                <c:ptCount val="21"/>
                <c:pt idx="0">
                  <c:v>1</c:v>
                </c:pt>
                <c:pt idx="1">
                  <c:v>1.2454856006776951</c:v>
                </c:pt>
                <c:pt idx="2">
                  <c:v>1.5940906455327146</c:v>
                </c:pt>
                <c:pt idx="3">
                  <c:v>2.0809102137505131</c:v>
                </c:pt>
                <c:pt idx="4">
                  <c:v>2.7507215012381425</c:v>
                </c:pt>
                <c:pt idx="5">
                  <c:v>3.5993001222793426</c:v>
                </c:pt>
                <c:pt idx="6">
                  <c:v>4.8131193563001267</c:v>
                </c:pt>
                <c:pt idx="7">
                  <c:v>6.408372507038937</c:v>
                </c:pt>
                <c:pt idx="8">
                  <c:v>7.8893545023418152</c:v>
                </c:pt>
                <c:pt idx="9">
                  <c:v>10.236542766948471</c:v>
                </c:pt>
                <c:pt idx="10">
                  <c:v>12.969487427317619</c:v>
                </c:pt>
                <c:pt idx="11">
                  <c:v>16.811315554407738</c:v>
                </c:pt>
                <c:pt idx="12">
                  <c:v>20.903522424279149</c:v>
                </c:pt>
                <c:pt idx="13">
                  <c:v>26.339560460290485</c:v>
                </c:pt>
                <c:pt idx="14">
                  <c:v>32.495312488502655</c:v>
                </c:pt>
                <c:pt idx="15">
                  <c:v>39.738190120892071</c:v>
                </c:pt>
                <c:pt idx="16">
                  <c:v>52.644073669588671</c:v>
                </c:pt>
                <c:pt idx="17">
                  <c:v>66.890512180665567</c:v>
                </c:pt>
                <c:pt idx="18">
                  <c:v>89.234350305818523</c:v>
                </c:pt>
                <c:pt idx="19">
                  <c:v>118.48617987639454</c:v>
                </c:pt>
                <c:pt idx="20">
                  <c:v>147.84176020050381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8CA-4578-BBFE-F9BC21A0002B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Dados!$L$2:$L$22</c:f>
              <c:numCache>
                <c:formatCode>General</c:formatCode>
                <c:ptCount val="21"/>
                <c:pt idx="0">
                  <c:v>1</c:v>
                </c:pt>
                <c:pt idx="1">
                  <c:v>1.284828055692482</c:v>
                </c:pt>
                <c:pt idx="2">
                  <c:v>1.6763366048312198</c:v>
                </c:pt>
                <c:pt idx="3">
                  <c:v>2.1657513098956431</c:v>
                </c:pt>
                <c:pt idx="4">
                  <c:v>2.8273525189221824</c:v>
                </c:pt>
                <c:pt idx="5">
                  <c:v>3.7293423677638669</c:v>
                </c:pt>
                <c:pt idx="6">
                  <c:v>4.7760141634109399</c:v>
                </c:pt>
                <c:pt idx="7">
                  <c:v>6.2862659725674899</c:v>
                </c:pt>
                <c:pt idx="8">
                  <c:v>7.8213609522605303</c:v>
                </c:pt>
                <c:pt idx="9">
                  <c:v>9.9814093973482585</c:v>
                </c:pt>
                <c:pt idx="10">
                  <c:v>13.100865723948768</c:v>
                </c:pt>
                <c:pt idx="11">
                  <c:v>16.238391017991567</c:v>
                </c:pt>
                <c:pt idx="12">
                  <c:v>20.872285729208361</c:v>
                </c:pt>
                <c:pt idx="13">
                  <c:v>27.727272112404982</c:v>
                </c:pt>
                <c:pt idx="14">
                  <c:v>34.440881429186071</c:v>
                </c:pt>
                <c:pt idx="15">
                  <c:v>44.413830785677817</c:v>
                </c:pt>
                <c:pt idx="16">
                  <c:v>56.790904047334422</c:v>
                </c:pt>
                <c:pt idx="17">
                  <c:v>71.84944017336349</c:v>
                </c:pt>
                <c:pt idx="18">
                  <c:v>92.327740885777303</c:v>
                </c:pt>
                <c:pt idx="19">
                  <c:v>115.94907369460903</c:v>
                </c:pt>
                <c:pt idx="20">
                  <c:v>150.55313883644286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8CA-4578-BBFE-F9BC21A0002B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Dados!$M$2:$M$22</c:f>
              <c:numCache>
                <c:formatCode>General</c:formatCode>
                <c:ptCount val="21"/>
                <c:pt idx="0">
                  <c:v>1</c:v>
                </c:pt>
                <c:pt idx="1">
                  <c:v>1.2510782123348654</c:v>
                </c:pt>
                <c:pt idx="2">
                  <c:v>1.6879221458060729</c:v>
                </c:pt>
                <c:pt idx="3">
                  <c:v>2.2264416366032767</c:v>
                </c:pt>
                <c:pt idx="4">
                  <c:v>2.763425165828985</c:v>
                </c:pt>
                <c:pt idx="5">
                  <c:v>3.6093426827192694</c:v>
                </c:pt>
                <c:pt idx="6">
                  <c:v>4.6440376810622519</c:v>
                </c:pt>
                <c:pt idx="7">
                  <c:v>5.9401930117808703</c:v>
                </c:pt>
                <c:pt idx="8">
                  <c:v>7.8198563963292971</c:v>
                </c:pt>
                <c:pt idx="9">
                  <c:v>10.302214584944981</c:v>
                </c:pt>
                <c:pt idx="10">
                  <c:v>12.614198950375577</c:v>
                </c:pt>
                <c:pt idx="11">
                  <c:v>15.423927292361887</c:v>
                </c:pt>
                <c:pt idx="12">
                  <c:v>20.287723650437425</c:v>
                </c:pt>
                <c:pt idx="13">
                  <c:v>26.936324832998832</c:v>
                </c:pt>
                <c:pt idx="14">
                  <c:v>33.356037647222365</c:v>
                </c:pt>
                <c:pt idx="15">
                  <c:v>42.289598653468154</c:v>
                </c:pt>
                <c:pt idx="16">
                  <c:v>53.69082075736933</c:v>
                </c:pt>
                <c:pt idx="17">
                  <c:v>70.513168802071718</c:v>
                </c:pt>
                <c:pt idx="18">
                  <c:v>88.296773363841268</c:v>
                </c:pt>
                <c:pt idx="19">
                  <c:v>113.53621773034506</c:v>
                </c:pt>
                <c:pt idx="20">
                  <c:v>150.90884821573079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8CA-4578-BBFE-F9BC21A0002B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Dados!$N$2:$N$22</c:f>
              <c:numCache>
                <c:formatCode>General</c:formatCode>
                <c:ptCount val="21"/>
                <c:pt idx="0">
                  <c:v>1</c:v>
                </c:pt>
                <c:pt idx="1">
                  <c:v>1.2258299667884207</c:v>
                </c:pt>
                <c:pt idx="2">
                  <c:v>1.5599604615113807</c:v>
                </c:pt>
                <c:pt idx="3">
                  <c:v>1.980376722578322</c:v>
                </c:pt>
                <c:pt idx="4">
                  <c:v>2.5578755902919657</c:v>
                </c:pt>
                <c:pt idx="5">
                  <c:v>3.3232551258652454</c:v>
                </c:pt>
                <c:pt idx="6">
                  <c:v>4.3266160732132919</c:v>
                </c:pt>
                <c:pt idx="7">
                  <c:v>5.3338506480761643</c:v>
                </c:pt>
                <c:pt idx="8">
                  <c:v>6.5200215657745524</c:v>
                </c:pt>
                <c:pt idx="9">
                  <c:v>8.0914924554513679</c:v>
                </c:pt>
                <c:pt idx="10">
                  <c:v>10.151177744284194</c:v>
                </c:pt>
                <c:pt idx="11">
                  <c:v>12.969738641077829</c:v>
                </c:pt>
                <c:pt idx="12">
                  <c:v>16.686897221317956</c:v>
                </c:pt>
                <c:pt idx="13">
                  <c:v>21.84169829539864</c:v>
                </c:pt>
                <c:pt idx="14">
                  <c:v>29.145551938630778</c:v>
                </c:pt>
                <c:pt idx="15">
                  <c:v>38.739013602218094</c:v>
                </c:pt>
                <c:pt idx="16">
                  <c:v>51.812271973201078</c:v>
                </c:pt>
                <c:pt idx="17">
                  <c:v>63.452978750963119</c:v>
                </c:pt>
                <c:pt idx="18">
                  <c:v>78.755923498823961</c:v>
                </c:pt>
                <c:pt idx="19">
                  <c:v>97.600057577206229</c:v>
                </c:pt>
                <c:pt idx="20">
                  <c:v>128.08174389090695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8CA-4578-BBFE-F9BC21A0002B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Dados!$O$2:$O$22</c:f>
              <c:numCache>
                <c:formatCode>General</c:formatCode>
                <c:ptCount val="21"/>
                <c:pt idx="0">
                  <c:v>1</c:v>
                </c:pt>
                <c:pt idx="1">
                  <c:v>1.3431463817249953</c:v>
                </c:pt>
                <c:pt idx="2">
                  <c:v>1.7019320661141579</c:v>
                </c:pt>
                <c:pt idx="3">
                  <c:v>2.1527990220662088</c:v>
                </c:pt>
                <c:pt idx="4">
                  <c:v>2.8027717806143553</c:v>
                </c:pt>
                <c:pt idx="5">
                  <c:v>3.5800286459391035</c:v>
                </c:pt>
                <c:pt idx="6">
                  <c:v>4.724299516972831</c:v>
                </c:pt>
                <c:pt idx="7">
                  <c:v>5.9779168952954205</c:v>
                </c:pt>
                <c:pt idx="8">
                  <c:v>7.7769067816304895</c:v>
                </c:pt>
                <c:pt idx="9">
                  <c:v>9.8813552469296031</c:v>
                </c:pt>
                <c:pt idx="10">
                  <c:v>13.299460587964337</c:v>
                </c:pt>
                <c:pt idx="11">
                  <c:v>16.249278816903619</c:v>
                </c:pt>
                <c:pt idx="12">
                  <c:v>20.055880497499896</c:v>
                </c:pt>
                <c:pt idx="13">
                  <c:v>26.859852786201653</c:v>
                </c:pt>
                <c:pt idx="14">
                  <c:v>35.594973183641081</c:v>
                </c:pt>
                <c:pt idx="15">
                  <c:v>43.717549293705105</c:v>
                </c:pt>
                <c:pt idx="16">
                  <c:v>58.086122464472574</c:v>
                </c:pt>
                <c:pt idx="17">
                  <c:v>73.585652783476974</c:v>
                </c:pt>
                <c:pt idx="18">
                  <c:v>90.863569293377907</c:v>
                </c:pt>
                <c:pt idx="19">
                  <c:v>112.74670588656615</c:v>
                </c:pt>
                <c:pt idx="20">
                  <c:v>149.53592528487914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8CA-4578-BBFE-F9BC21A0002B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Dados!$P$2:$P$22</c:f>
              <c:numCache>
                <c:formatCode>General</c:formatCode>
                <c:ptCount val="21"/>
                <c:pt idx="0">
                  <c:v>1</c:v>
                </c:pt>
                <c:pt idx="1">
                  <c:v>1.3467911548142624</c:v>
                </c:pt>
                <c:pt idx="2">
                  <c:v>1.6757824147729881</c:v>
                </c:pt>
                <c:pt idx="3">
                  <c:v>2.2496369558747764</c:v>
                </c:pt>
                <c:pt idx="4">
                  <c:v>2.9247599451334763</c:v>
                </c:pt>
                <c:pt idx="5">
                  <c:v>3.5897198242097872</c:v>
                </c:pt>
                <c:pt idx="6">
                  <c:v>4.5277546404986309</c:v>
                </c:pt>
                <c:pt idx="7">
                  <c:v>6.0106741177802707</c:v>
                </c:pt>
                <c:pt idx="8">
                  <c:v>7.642365384900466</c:v>
                </c:pt>
                <c:pt idx="9">
                  <c:v>9.6629581855152562</c:v>
                </c:pt>
                <c:pt idx="10">
                  <c:v>11.820671864697539</c:v>
                </c:pt>
                <c:pt idx="11">
                  <c:v>15.159779788118417</c:v>
                </c:pt>
                <c:pt idx="12">
                  <c:v>20.462265760600619</c:v>
                </c:pt>
                <c:pt idx="13">
                  <c:v>25.654050060981131</c:v>
                </c:pt>
                <c:pt idx="14">
                  <c:v>32.539858480502808</c:v>
                </c:pt>
                <c:pt idx="15">
                  <c:v>43.266124922657646</c:v>
                </c:pt>
                <c:pt idx="16">
                  <c:v>57.586986991111544</c:v>
                </c:pt>
                <c:pt idx="17">
                  <c:v>72.51750988872702</c:v>
                </c:pt>
                <c:pt idx="18">
                  <c:v>96.539149026814442</c:v>
                </c:pt>
                <c:pt idx="19">
                  <c:v>125.4236182570275</c:v>
                </c:pt>
                <c:pt idx="20">
                  <c:v>168.111828207195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8CA-4578-BBFE-F9BC21A0002B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Dados!$Q$2:$Q$22</c:f>
              <c:numCache>
                <c:formatCode>General</c:formatCode>
                <c:ptCount val="21"/>
                <c:pt idx="0">
                  <c:v>1</c:v>
                </c:pt>
                <c:pt idx="1">
                  <c:v>1.3361858769877417</c:v>
                </c:pt>
                <c:pt idx="2">
                  <c:v>1.6579637397057938</c:v>
                </c:pt>
                <c:pt idx="3">
                  <c:v>2.207348734614754</c:v>
                </c:pt>
                <c:pt idx="4">
                  <c:v>2.9050744883935966</c:v>
                </c:pt>
                <c:pt idx="5">
                  <c:v>3.6231676668487007</c:v>
                </c:pt>
                <c:pt idx="6">
                  <c:v>4.7545813737966025</c:v>
                </c:pt>
                <c:pt idx="7">
                  <c:v>5.8705768806170715</c:v>
                </c:pt>
                <c:pt idx="8">
                  <c:v>7.4426355589988438</c:v>
                </c:pt>
                <c:pt idx="9">
                  <c:v>9.4519531357997852</c:v>
                </c:pt>
                <c:pt idx="10">
                  <c:v>11.60961159802269</c:v>
                </c:pt>
                <c:pt idx="11">
                  <c:v>15.662421376177205</c:v>
                </c:pt>
                <c:pt idx="12">
                  <c:v>19.246932983471211</c:v>
                </c:pt>
                <c:pt idx="13">
                  <c:v>23.818131069875598</c:v>
                </c:pt>
                <c:pt idx="14">
                  <c:v>31.893843753618938</c:v>
                </c:pt>
                <c:pt idx="15">
                  <c:v>42.653414086063997</c:v>
                </c:pt>
                <c:pt idx="16">
                  <c:v>54.019155180949646</c:v>
                </c:pt>
                <c:pt idx="17">
                  <c:v>68.651100406343929</c:v>
                </c:pt>
                <c:pt idx="18">
                  <c:v>89.609197290039887</c:v>
                </c:pt>
                <c:pt idx="19">
                  <c:v>118.47037454299549</c:v>
                </c:pt>
                <c:pt idx="20">
                  <c:v>152.42258511700615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8CA-4578-BBFE-F9BC21A0002B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Dados!$R$2:$R$22</c:f>
              <c:numCache>
                <c:formatCode>General</c:formatCode>
                <c:ptCount val="21"/>
                <c:pt idx="0">
                  <c:v>1</c:v>
                </c:pt>
                <c:pt idx="1">
                  <c:v>1.2310799476214762</c:v>
                </c:pt>
                <c:pt idx="2">
                  <c:v>1.5280103664894613</c:v>
                </c:pt>
                <c:pt idx="3">
                  <c:v>2.0119686655863211</c:v>
                </c:pt>
                <c:pt idx="4">
                  <c:v>2.5721266059821293</c:v>
                </c:pt>
                <c:pt idx="5">
                  <c:v>3.4081701045418384</c:v>
                </c:pt>
                <c:pt idx="6">
                  <c:v>4.5120881484573419</c:v>
                </c:pt>
                <c:pt idx="7">
                  <c:v>5.8513247537121007</c:v>
                </c:pt>
                <c:pt idx="8">
                  <c:v>7.8276239376643186</c:v>
                </c:pt>
                <c:pt idx="9">
                  <c:v>9.9268863381668453</c:v>
                </c:pt>
                <c:pt idx="10">
                  <c:v>12.615772171156383</c:v>
                </c:pt>
                <c:pt idx="11">
                  <c:v>16.902454261433501</c:v>
                </c:pt>
                <c:pt idx="12">
                  <c:v>22.215182645896885</c:v>
                </c:pt>
                <c:pt idx="13">
                  <c:v>29.375764407782935</c:v>
                </c:pt>
                <c:pt idx="14">
                  <c:v>37.161626218540491</c:v>
                </c:pt>
                <c:pt idx="15">
                  <c:v>46.528391778630606</c:v>
                </c:pt>
                <c:pt idx="16">
                  <c:v>62.167474346866577</c:v>
                </c:pt>
                <c:pt idx="17">
                  <c:v>76.604843940070168</c:v>
                </c:pt>
                <c:pt idx="18">
                  <c:v>103.03394717983082</c:v>
                </c:pt>
                <c:pt idx="19">
                  <c:v>126.96806880693363</c:v>
                </c:pt>
                <c:pt idx="20">
                  <c:v>171.35760359461244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8CA-4578-BBFE-F9BC21A0002B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Dados!$S$2:$S$22</c:f>
              <c:numCache>
                <c:formatCode>General</c:formatCode>
                <c:ptCount val="21"/>
                <c:pt idx="0">
                  <c:v>1</c:v>
                </c:pt>
                <c:pt idx="1">
                  <c:v>1.3431288131319883</c:v>
                </c:pt>
                <c:pt idx="2">
                  <c:v>1.6743059686620052</c:v>
                </c:pt>
                <c:pt idx="3">
                  <c:v>2.1776076332265357</c:v>
                </c:pt>
                <c:pt idx="4">
                  <c:v>2.7542747057514219</c:v>
                </c:pt>
                <c:pt idx="5">
                  <c:v>3.6735332539309722</c:v>
                </c:pt>
                <c:pt idx="6">
                  <c:v>4.9155523929531997</c:v>
                </c:pt>
                <c:pt idx="7">
                  <c:v>6.4031223819524055</c:v>
                </c:pt>
                <c:pt idx="8">
                  <c:v>7.8231003838068576</c:v>
                </c:pt>
                <c:pt idx="9">
                  <c:v>9.8566043183468715</c:v>
                </c:pt>
                <c:pt idx="10">
                  <c:v>13.006821082768122</c:v>
                </c:pt>
                <c:pt idx="11">
                  <c:v>17.075865858354607</c:v>
                </c:pt>
                <c:pt idx="12">
                  <c:v>21.809753716591388</c:v>
                </c:pt>
                <c:pt idx="13">
                  <c:v>28.538565618319115</c:v>
                </c:pt>
                <c:pt idx="14">
                  <c:v>37.954930125020525</c:v>
                </c:pt>
                <c:pt idx="15">
                  <c:v>48.090533583328806</c:v>
                </c:pt>
                <c:pt idx="16">
                  <c:v>64.744217950494814</c:v>
                </c:pt>
                <c:pt idx="17">
                  <c:v>82.474390892543596</c:v>
                </c:pt>
                <c:pt idx="18">
                  <c:v>104.84996270050374</c:v>
                </c:pt>
                <c:pt idx="19">
                  <c:v>131.93629335728394</c:v>
                </c:pt>
                <c:pt idx="20">
                  <c:v>169.63344959118271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8CA-4578-BBFE-F9BC21A0002B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Dados!$T$2:$T$22</c:f>
              <c:numCache>
                <c:formatCode>General</c:formatCode>
                <c:ptCount val="21"/>
                <c:pt idx="0">
                  <c:v>1</c:v>
                </c:pt>
                <c:pt idx="1">
                  <c:v>1.3206858252896094</c:v>
                </c:pt>
                <c:pt idx="2">
                  <c:v>1.7607282820333769</c:v>
                </c:pt>
                <c:pt idx="3">
                  <c:v>2.2749035998510259</c:v>
                </c:pt>
                <c:pt idx="4">
                  <c:v>2.9105893429567766</c:v>
                </c:pt>
                <c:pt idx="5">
                  <c:v>3.5822302568187094</c:v>
                </c:pt>
                <c:pt idx="6">
                  <c:v>4.4172598586152931</c:v>
                </c:pt>
                <c:pt idx="7">
                  <c:v>5.7544407143201592</c:v>
                </c:pt>
                <c:pt idx="8">
                  <c:v>7.4518376008575702</c:v>
                </c:pt>
                <c:pt idx="9">
                  <c:v>9.9267160800444589</c:v>
                </c:pt>
                <c:pt idx="10">
                  <c:v>13.081150725063537</c:v>
                </c:pt>
                <c:pt idx="11">
                  <c:v>16.520034000533187</c:v>
                </c:pt>
                <c:pt idx="12">
                  <c:v>20.51218024982547</c:v>
                </c:pt>
                <c:pt idx="13">
                  <c:v>26.12523250596956</c:v>
                </c:pt>
                <c:pt idx="14">
                  <c:v>35.117597213676653</c:v>
                </c:pt>
                <c:pt idx="15">
                  <c:v>46.015658647521093</c:v>
                </c:pt>
                <c:pt idx="16">
                  <c:v>59.683048708583549</c:v>
                </c:pt>
                <c:pt idx="17">
                  <c:v>78.730386980191327</c:v>
                </c:pt>
                <c:pt idx="18">
                  <c:v>103.14827637444942</c:v>
                </c:pt>
                <c:pt idx="19">
                  <c:v>130.80185145987028</c:v>
                </c:pt>
                <c:pt idx="20">
                  <c:v>166.11004424742362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8CA-4578-BBFE-F9BC21A0002B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Dados!$U$2:$U$22</c:f>
              <c:numCache>
                <c:formatCode>General</c:formatCode>
                <c:ptCount val="21"/>
                <c:pt idx="0">
                  <c:v>1</c:v>
                </c:pt>
                <c:pt idx="1">
                  <c:v>1.2874367416605585</c:v>
                </c:pt>
                <c:pt idx="2">
                  <c:v>1.588675032728468</c:v>
                </c:pt>
                <c:pt idx="3">
                  <c:v>2.0850807960463706</c:v>
                </c:pt>
                <c:pt idx="4">
                  <c:v>2.7700899275813442</c:v>
                </c:pt>
                <c:pt idx="5">
                  <c:v>3.69247783957023</c:v>
                </c:pt>
                <c:pt idx="6">
                  <c:v>4.9735155124154824</c:v>
                </c:pt>
                <c:pt idx="7">
                  <c:v>6.1007226133695509</c:v>
                </c:pt>
                <c:pt idx="8">
                  <c:v>8.2260913085390914</c:v>
                </c:pt>
                <c:pt idx="9">
                  <c:v>10.776438303360639</c:v>
                </c:pt>
                <c:pt idx="10">
                  <c:v>13.723257574634617</c:v>
                </c:pt>
                <c:pt idx="11">
                  <c:v>17.636261942997745</c:v>
                </c:pt>
                <c:pt idx="12">
                  <c:v>23.497083567575704</c:v>
                </c:pt>
                <c:pt idx="13">
                  <c:v>31.619898683486632</c:v>
                </c:pt>
                <c:pt idx="14">
                  <c:v>38.978109275195315</c:v>
                </c:pt>
                <c:pt idx="15">
                  <c:v>49.666379049159815</c:v>
                </c:pt>
                <c:pt idx="16">
                  <c:v>60.829394563972443</c:v>
                </c:pt>
                <c:pt idx="17">
                  <c:v>77.751571832534665</c:v>
                </c:pt>
                <c:pt idx="18">
                  <c:v>99.414538607272235</c:v>
                </c:pt>
                <c:pt idx="19">
                  <c:v>121.69854829343294</c:v>
                </c:pt>
                <c:pt idx="20">
                  <c:v>157.83439532262202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8CA-4578-BBFE-F9BC21A0002B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Dados!$V$2:$V$22</c:f>
              <c:numCache>
                <c:formatCode>General</c:formatCode>
                <c:ptCount val="21"/>
                <c:pt idx="0">
                  <c:v>1</c:v>
                </c:pt>
                <c:pt idx="1">
                  <c:v>1.2968807848631356</c:v>
                </c:pt>
                <c:pt idx="2">
                  <c:v>1.6602296276564563</c:v>
                </c:pt>
                <c:pt idx="3">
                  <c:v>2.1880324798098125</c:v>
                </c:pt>
                <c:pt idx="4">
                  <c:v>2.7472182492943049</c:v>
                </c:pt>
                <c:pt idx="5">
                  <c:v>3.5830265672883015</c:v>
                </c:pt>
                <c:pt idx="6">
                  <c:v>4.6689164983673628</c:v>
                </c:pt>
                <c:pt idx="7">
                  <c:v>6.1510741312140924</c:v>
                </c:pt>
                <c:pt idx="8">
                  <c:v>8.2724775867836815</c:v>
                </c:pt>
                <c:pt idx="9">
                  <c:v>10.553525569300309</c:v>
                </c:pt>
                <c:pt idx="10">
                  <c:v>14.1562493961643</c:v>
                </c:pt>
                <c:pt idx="11">
                  <c:v>19.02129756537984</c:v>
                </c:pt>
                <c:pt idx="12">
                  <c:v>25.11894235538918</c:v>
                </c:pt>
                <c:pt idx="13">
                  <c:v>32.31473786457709</c:v>
                </c:pt>
                <c:pt idx="14">
                  <c:v>40.603165619893296</c:v>
                </c:pt>
                <c:pt idx="15">
                  <c:v>49.711951274699295</c:v>
                </c:pt>
                <c:pt idx="16">
                  <c:v>65.328195267815275</c:v>
                </c:pt>
                <c:pt idx="17">
                  <c:v>87.484702180097955</c:v>
                </c:pt>
                <c:pt idx="18">
                  <c:v>117.57152561268994</c:v>
                </c:pt>
                <c:pt idx="19">
                  <c:v>146.3506800687083</c:v>
                </c:pt>
                <c:pt idx="20">
                  <c:v>185.88069867455081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8CA-4578-BBFE-F9BC21A0002B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Dados!$W$2:$W$22</c:f>
              <c:numCache>
                <c:formatCode>General</c:formatCode>
                <c:ptCount val="21"/>
                <c:pt idx="0">
                  <c:v>1</c:v>
                </c:pt>
                <c:pt idx="1">
                  <c:v>1.3194046834015665</c:v>
                </c:pt>
                <c:pt idx="2">
                  <c:v>1.727190819150803</c:v>
                </c:pt>
                <c:pt idx="3">
                  <c:v>2.2867496240772796</c:v>
                </c:pt>
                <c:pt idx="4">
                  <c:v>2.9877123140292694</c:v>
                </c:pt>
                <c:pt idx="5">
                  <c:v>3.7984953370021319</c:v>
                </c:pt>
                <c:pt idx="6">
                  <c:v>4.6934170873388146</c:v>
                </c:pt>
                <c:pt idx="7">
                  <c:v>5.9753172401992121</c:v>
                </c:pt>
                <c:pt idx="8">
                  <c:v>7.6773786131770638</c:v>
                </c:pt>
                <c:pt idx="9">
                  <c:v>10.116783675604548</c:v>
                </c:pt>
                <c:pt idx="10">
                  <c:v>13.018840241197378</c:v>
                </c:pt>
                <c:pt idx="11">
                  <c:v>17.406218371665073</c:v>
                </c:pt>
                <c:pt idx="12">
                  <c:v>22.900887314778572</c:v>
                </c:pt>
                <c:pt idx="13">
                  <c:v>28.2693991318008</c:v>
                </c:pt>
                <c:pt idx="14">
                  <c:v>35.425167317475719</c:v>
                </c:pt>
                <c:pt idx="15">
                  <c:v>44.372423188373972</c:v>
                </c:pt>
                <c:pt idx="16">
                  <c:v>54.310843993723168</c:v>
                </c:pt>
                <c:pt idx="17">
                  <c:v>67.04246755422686</c:v>
                </c:pt>
                <c:pt idx="18">
                  <c:v>85.637447459188706</c:v>
                </c:pt>
                <c:pt idx="19">
                  <c:v>107.30305647894509</c:v>
                </c:pt>
                <c:pt idx="20">
                  <c:v>134.2638232981611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8CA-4578-BBFE-F9BC21A0002B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Dados!$X$2:$X$22</c:f>
              <c:numCache>
                <c:formatCode>General</c:formatCode>
                <c:ptCount val="21"/>
                <c:pt idx="0">
                  <c:v>1</c:v>
                </c:pt>
                <c:pt idx="1">
                  <c:v>1.2217841981120738</c:v>
                </c:pt>
                <c:pt idx="2">
                  <c:v>1.5091696781147337</c:v>
                </c:pt>
                <c:pt idx="3">
                  <c:v>1.9786353215513035</c:v>
                </c:pt>
                <c:pt idx="4">
                  <c:v>2.4175542877234255</c:v>
                </c:pt>
                <c:pt idx="5">
                  <c:v>3.0699272357542133</c:v>
                </c:pt>
                <c:pt idx="6">
                  <c:v>4.0872794258772194</c:v>
                </c:pt>
                <c:pt idx="7">
                  <c:v>5.0499855578391122</c:v>
                </c:pt>
                <c:pt idx="8">
                  <c:v>6.5640095331065273</c:v>
                </c:pt>
                <c:pt idx="9">
                  <c:v>8.8319145581509506</c:v>
                </c:pt>
                <c:pt idx="10">
                  <c:v>11.356651933219874</c:v>
                </c:pt>
                <c:pt idx="11">
                  <c:v>15.034791027273737</c:v>
                </c:pt>
                <c:pt idx="12">
                  <c:v>19.593385685012027</c:v>
                </c:pt>
                <c:pt idx="13">
                  <c:v>25.870805123685436</c:v>
                </c:pt>
                <c:pt idx="14">
                  <c:v>33.903162092828651</c:v>
                </c:pt>
                <c:pt idx="15">
                  <c:v>45.243125726848795</c:v>
                </c:pt>
                <c:pt idx="16">
                  <c:v>58.894214631210644</c:v>
                </c:pt>
                <c:pt idx="17">
                  <c:v>77.104064766806616</c:v>
                </c:pt>
                <c:pt idx="18">
                  <c:v>99.845985223120621</c:v>
                </c:pt>
                <c:pt idx="19">
                  <c:v>134.10668676834086</c:v>
                </c:pt>
                <c:pt idx="20">
                  <c:v>169.29220934334165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8CA-4578-BBFE-F9BC21A0002B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Dados!$Y$2:$Y$22</c:f>
              <c:numCache>
                <c:formatCode>General</c:formatCode>
                <c:ptCount val="21"/>
                <c:pt idx="0">
                  <c:v>1</c:v>
                </c:pt>
                <c:pt idx="1">
                  <c:v>1.2253122255898281</c:v>
                </c:pt>
                <c:pt idx="2">
                  <c:v>1.5034064951321267</c:v>
                </c:pt>
                <c:pt idx="3">
                  <c:v>2.0086512755891857</c:v>
                </c:pt>
                <c:pt idx="4">
                  <c:v>2.6083356172534811</c:v>
                </c:pt>
                <c:pt idx="5">
                  <c:v>3.1904545730197751</c:v>
                </c:pt>
                <c:pt idx="6">
                  <c:v>4.2970626379761114</c:v>
                </c:pt>
                <c:pt idx="7">
                  <c:v>5.2654947013591187</c:v>
                </c:pt>
                <c:pt idx="8">
                  <c:v>6.853084194901701</c:v>
                </c:pt>
                <c:pt idx="9">
                  <c:v>8.4963793536461356</c:v>
                </c:pt>
                <c:pt idx="10">
                  <c:v>11.002462267512778</c:v>
                </c:pt>
                <c:pt idx="11">
                  <c:v>13.70234961457113</c:v>
                </c:pt>
                <c:pt idx="12">
                  <c:v>18.234987278567058</c:v>
                </c:pt>
                <c:pt idx="13">
                  <c:v>22.793385593129901</c:v>
                </c:pt>
                <c:pt idx="14">
                  <c:v>28.44127724543749</c:v>
                </c:pt>
                <c:pt idx="15">
                  <c:v>36.781201432065032</c:v>
                </c:pt>
                <c:pt idx="16">
                  <c:v>49.03157509687226</c:v>
                </c:pt>
                <c:pt idx="17">
                  <c:v>60.578269202983023</c:v>
                </c:pt>
                <c:pt idx="18">
                  <c:v>75.792315312640454</c:v>
                </c:pt>
                <c:pt idx="19">
                  <c:v>95.101916728180527</c:v>
                </c:pt>
                <c:pt idx="20">
                  <c:v>119.98254581410278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8CA-4578-BBFE-F9BC21A0002B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Dados!$Z$2:$Z$22</c:f>
              <c:numCache>
                <c:formatCode>General</c:formatCode>
                <c:ptCount val="21"/>
                <c:pt idx="0">
                  <c:v>1</c:v>
                </c:pt>
                <c:pt idx="1">
                  <c:v>1.3052067510972736</c:v>
                </c:pt>
                <c:pt idx="2">
                  <c:v>1.6600632291887947</c:v>
                </c:pt>
                <c:pt idx="3">
                  <c:v>2.0312314188433058</c:v>
                </c:pt>
                <c:pt idx="4">
                  <c:v>2.6867724486980413</c:v>
                </c:pt>
                <c:pt idx="5">
                  <c:v>3.3247511931815925</c:v>
                </c:pt>
                <c:pt idx="6">
                  <c:v>4.3411389835607457</c:v>
                </c:pt>
                <c:pt idx="7">
                  <c:v>5.4515910102422547</c:v>
                </c:pt>
                <c:pt idx="8">
                  <c:v>6.7973432113706114</c:v>
                </c:pt>
                <c:pt idx="9">
                  <c:v>8.3055767110263314</c:v>
                </c:pt>
                <c:pt idx="10">
                  <c:v>10.679653728182268</c:v>
                </c:pt>
                <c:pt idx="11">
                  <c:v>14.403427055344489</c:v>
                </c:pt>
                <c:pt idx="12">
                  <c:v>17.599603645556368</c:v>
                </c:pt>
                <c:pt idx="13">
                  <c:v>23.331201638488835</c:v>
                </c:pt>
                <c:pt idx="14">
                  <c:v>31.404465448898129</c:v>
                </c:pt>
                <c:pt idx="15">
                  <c:v>39.802023961459142</c:v>
                </c:pt>
                <c:pt idx="16">
                  <c:v>50.738283742614591</c:v>
                </c:pt>
                <c:pt idx="17">
                  <c:v>64.079058902803524</c:v>
                </c:pt>
                <c:pt idx="18">
                  <c:v>80.598800706966017</c:v>
                </c:pt>
                <c:pt idx="19">
                  <c:v>100.37830096349731</c:v>
                </c:pt>
                <c:pt idx="20">
                  <c:v>134.6031182598509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8CA-4578-BBFE-F9BC21A0002B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Dados!$AA$2:$AA$22</c:f>
              <c:numCache>
                <c:formatCode>General</c:formatCode>
                <c:ptCount val="21"/>
                <c:pt idx="0">
                  <c:v>1</c:v>
                </c:pt>
                <c:pt idx="1">
                  <c:v>1.3307358862575065</c:v>
                </c:pt>
                <c:pt idx="2">
                  <c:v>1.749174098832843</c:v>
                </c:pt>
                <c:pt idx="3">
                  <c:v>2.1803372351998775</c:v>
                </c:pt>
                <c:pt idx="4">
                  <c:v>2.8732060661160999</c:v>
                </c:pt>
                <c:pt idx="5">
                  <c:v>3.7728618484810248</c:v>
                </c:pt>
                <c:pt idx="6">
                  <c:v>4.6494554438402034</c:v>
                </c:pt>
                <c:pt idx="7">
                  <c:v>5.9484726008171158</c:v>
                </c:pt>
                <c:pt idx="8">
                  <c:v>7.907840752137135</c:v>
                </c:pt>
                <c:pt idx="9">
                  <c:v>10.533550965989974</c:v>
                </c:pt>
                <c:pt idx="10">
                  <c:v>14.083618393221798</c:v>
                </c:pt>
                <c:pt idx="11">
                  <c:v>18.949679730093877</c:v>
                </c:pt>
                <c:pt idx="12">
                  <c:v>25.538437000232069</c:v>
                </c:pt>
                <c:pt idx="13">
                  <c:v>33.480216811849857</c:v>
                </c:pt>
                <c:pt idx="14">
                  <c:v>41.692394765506251</c:v>
                </c:pt>
                <c:pt idx="15">
                  <c:v>51.97525695915585</c:v>
                </c:pt>
                <c:pt idx="16">
                  <c:v>65.976430494400361</c:v>
                </c:pt>
                <c:pt idx="17">
                  <c:v>82.219699522291364</c:v>
                </c:pt>
                <c:pt idx="18">
                  <c:v>107.27632248814997</c:v>
                </c:pt>
                <c:pt idx="19">
                  <c:v>138.04700805767433</c:v>
                </c:pt>
                <c:pt idx="20">
                  <c:v>177.13698481736608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F8CA-4578-BBFE-F9BC21A0002B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Dados!$AB$2:$AB$22</c:f>
              <c:numCache>
                <c:formatCode>General</c:formatCode>
                <c:ptCount val="21"/>
                <c:pt idx="0">
                  <c:v>1</c:v>
                </c:pt>
                <c:pt idx="1">
                  <c:v>1.2438669492861729</c:v>
                </c:pt>
                <c:pt idx="2">
                  <c:v>1.5700575594597781</c:v>
                </c:pt>
                <c:pt idx="3">
                  <c:v>1.9257909774998603</c:v>
                </c:pt>
                <c:pt idx="4">
                  <c:v>2.3618663112508647</c:v>
                </c:pt>
                <c:pt idx="5">
                  <c:v>3.0591515372868932</c:v>
                </c:pt>
                <c:pt idx="6">
                  <c:v>3.9658897659386221</c:v>
                </c:pt>
                <c:pt idx="7">
                  <c:v>5.2642405139197903</c:v>
                </c:pt>
                <c:pt idx="8">
                  <c:v>6.860156085698736</c:v>
                </c:pt>
                <c:pt idx="9">
                  <c:v>9.0578581736703399</c:v>
                </c:pt>
                <c:pt idx="10">
                  <c:v>12.184863286097723</c:v>
                </c:pt>
                <c:pt idx="11">
                  <c:v>15.447004192471029</c:v>
                </c:pt>
                <c:pt idx="12">
                  <c:v>20.354512427230539</c:v>
                </c:pt>
                <c:pt idx="13">
                  <c:v>27.38335692529748</c:v>
                </c:pt>
                <c:pt idx="14">
                  <c:v>36.504068110354027</c:v>
                </c:pt>
                <c:pt idx="15">
                  <c:v>49.263757400726078</c:v>
                </c:pt>
                <c:pt idx="16">
                  <c:v>63.972458274420902</c:v>
                </c:pt>
                <c:pt idx="17">
                  <c:v>85.64989450956999</c:v>
                </c:pt>
                <c:pt idx="18">
                  <c:v>111.32561930010195</c:v>
                </c:pt>
                <c:pt idx="19">
                  <c:v>144.25275213287551</c:v>
                </c:pt>
                <c:pt idx="20">
                  <c:v>179.66574057141702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F8CA-4578-BBFE-F9BC21A0002B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Dados!$AC$2:$AC$22</c:f>
              <c:numCache>
                <c:formatCode>General</c:formatCode>
                <c:ptCount val="21"/>
                <c:pt idx="0">
                  <c:v>1</c:v>
                </c:pt>
                <c:pt idx="1">
                  <c:v>1.3354781362490409</c:v>
                </c:pt>
                <c:pt idx="2">
                  <c:v>1.7111102173104675</c:v>
                </c:pt>
                <c:pt idx="3">
                  <c:v>2.2280163327259142</c:v>
                </c:pt>
                <c:pt idx="4">
                  <c:v>2.7316634246144575</c:v>
                </c:pt>
                <c:pt idx="5">
                  <c:v>3.5672385667753366</c:v>
                </c:pt>
                <c:pt idx="6">
                  <c:v>4.6400819941190505</c:v>
                </c:pt>
                <c:pt idx="7">
                  <c:v>6.0918141930919321</c:v>
                </c:pt>
                <c:pt idx="8">
                  <c:v>8.0565018811684226</c:v>
                </c:pt>
                <c:pt idx="9">
                  <c:v>10.235914535243849</c:v>
                </c:pt>
                <c:pt idx="10">
                  <c:v>12.712916210580014</c:v>
                </c:pt>
                <c:pt idx="11">
                  <c:v>17.085134845631586</c:v>
                </c:pt>
                <c:pt idx="12">
                  <c:v>21.899952815485541</c:v>
                </c:pt>
                <c:pt idx="13">
                  <c:v>28.367079558471119</c:v>
                </c:pt>
                <c:pt idx="14">
                  <c:v>35.565306116162873</c:v>
                </c:pt>
                <c:pt idx="15">
                  <c:v>44.986012090371347</c:v>
                </c:pt>
                <c:pt idx="16">
                  <c:v>56.665239378102207</c:v>
                </c:pt>
                <c:pt idx="17">
                  <c:v>71.209055886740458</c:v>
                </c:pt>
                <c:pt idx="18">
                  <c:v>88.209815194121106</c:v>
                </c:pt>
                <c:pt idx="19">
                  <c:v>112.52271129831608</c:v>
                </c:pt>
                <c:pt idx="20">
                  <c:v>143.31866250037123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F8CA-4578-BBFE-F9BC21A0002B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Dados!$AD$2:$AD$22</c:f>
              <c:numCache>
                <c:formatCode>General</c:formatCode>
                <c:ptCount val="21"/>
                <c:pt idx="0">
                  <c:v>1</c:v>
                </c:pt>
                <c:pt idx="1">
                  <c:v>1.2624489193984874</c:v>
                </c:pt>
                <c:pt idx="2">
                  <c:v>1.6692831181640619</c:v>
                </c:pt>
                <c:pt idx="3">
                  <c:v>2.1774759728461395</c:v>
                </c:pt>
                <c:pt idx="4">
                  <c:v>2.7702651734751784</c:v>
                </c:pt>
                <c:pt idx="5">
                  <c:v>3.4349277307820598</c:v>
                </c:pt>
                <c:pt idx="6">
                  <c:v>4.3759917362641767</c:v>
                </c:pt>
                <c:pt idx="7">
                  <c:v>5.7010951223107975</c:v>
                </c:pt>
                <c:pt idx="8">
                  <c:v>7.0848697235844531</c:v>
                </c:pt>
                <c:pt idx="9">
                  <c:v>8.866366480280373</c:v>
                </c:pt>
                <c:pt idx="10">
                  <c:v>11.19467876108685</c:v>
                </c:pt>
                <c:pt idx="11">
                  <c:v>14.777528066208378</c:v>
                </c:pt>
                <c:pt idx="12">
                  <c:v>18.160632630568028</c:v>
                </c:pt>
                <c:pt idx="13">
                  <c:v>22.274242609681721</c:v>
                </c:pt>
                <c:pt idx="14">
                  <c:v>27.460290159725037</c:v>
                </c:pt>
                <c:pt idx="15">
                  <c:v>36.647352301066832</c:v>
                </c:pt>
                <c:pt idx="16">
                  <c:v>49.24661556709296</c:v>
                </c:pt>
                <c:pt idx="17">
                  <c:v>62.106199762817482</c:v>
                </c:pt>
                <c:pt idx="18">
                  <c:v>76.907252449430814</c:v>
                </c:pt>
                <c:pt idx="19">
                  <c:v>96.535054697034539</c:v>
                </c:pt>
                <c:pt idx="20">
                  <c:v>128.99114074171456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F8CA-4578-BBFE-F9BC21A0002B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Dados!$AE$2:$AE$22</c:f>
              <c:numCache>
                <c:formatCode>General</c:formatCode>
                <c:ptCount val="21"/>
                <c:pt idx="0">
                  <c:v>1</c:v>
                </c:pt>
                <c:pt idx="1">
                  <c:v>1.2603893310875638</c:v>
                </c:pt>
                <c:pt idx="2">
                  <c:v>1.6869939898947077</c:v>
                </c:pt>
                <c:pt idx="3">
                  <c:v>2.2198828864618152</c:v>
                </c:pt>
                <c:pt idx="4">
                  <c:v>2.9962165816200601</c:v>
                </c:pt>
                <c:pt idx="5">
                  <c:v>3.936390447029821</c:v>
                </c:pt>
                <c:pt idx="6">
                  <c:v>4.9959725271156374</c:v>
                </c:pt>
                <c:pt idx="7">
                  <c:v>6.4252696835540872</c:v>
                </c:pt>
                <c:pt idx="8">
                  <c:v>8.2867112283771451</c:v>
                </c:pt>
                <c:pt idx="9">
                  <c:v>10.768345389547427</c:v>
                </c:pt>
                <c:pt idx="10">
                  <c:v>14.070164828816651</c:v>
                </c:pt>
                <c:pt idx="11">
                  <c:v>18.874739725629041</c:v>
                </c:pt>
                <c:pt idx="12">
                  <c:v>25.136847457062366</c:v>
                </c:pt>
                <c:pt idx="13">
                  <c:v>32.965186426437278</c:v>
                </c:pt>
                <c:pt idx="14">
                  <c:v>40.912514679133906</c:v>
                </c:pt>
                <c:pt idx="15">
                  <c:v>52.402660169701413</c:v>
                </c:pt>
                <c:pt idx="16">
                  <c:v>66.051848842092525</c:v>
                </c:pt>
                <c:pt idx="17">
                  <c:v>88.735326855267473</c:v>
                </c:pt>
                <c:pt idx="18">
                  <c:v>112.17500692515739</c:v>
                </c:pt>
                <c:pt idx="19">
                  <c:v>147.18566751754955</c:v>
                </c:pt>
                <c:pt idx="20">
                  <c:v>184.09343187609616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F8CA-4578-BBFE-F9BC21A0002B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Dados!$AF$2:$AF$22</c:f>
              <c:numCache>
                <c:formatCode>General</c:formatCode>
                <c:ptCount val="21"/>
                <c:pt idx="0">
                  <c:v>1</c:v>
                </c:pt>
                <c:pt idx="1">
                  <c:v>1.3328652596819741</c:v>
                </c:pt>
                <c:pt idx="2">
                  <c:v>1.7420447112877437</c:v>
                </c:pt>
                <c:pt idx="3">
                  <c:v>2.2223555744597174</c:v>
                </c:pt>
                <c:pt idx="4">
                  <c:v>2.8696612922680966</c:v>
                </c:pt>
                <c:pt idx="5">
                  <c:v>3.6041510091796658</c:v>
                </c:pt>
                <c:pt idx="6">
                  <c:v>4.6522746116624454</c:v>
                </c:pt>
                <c:pt idx="7">
                  <c:v>6.2446187749469093</c:v>
                </c:pt>
                <c:pt idx="8">
                  <c:v>8.1896011303344167</c:v>
                </c:pt>
                <c:pt idx="9">
                  <c:v>10.888149445527981</c:v>
                </c:pt>
                <c:pt idx="10">
                  <c:v>13.843649892690435</c:v>
                </c:pt>
                <c:pt idx="11">
                  <c:v>18.608586562308673</c:v>
                </c:pt>
                <c:pt idx="12">
                  <c:v>22.780926250268564</c:v>
                </c:pt>
                <c:pt idx="13">
                  <c:v>27.850112245576717</c:v>
                </c:pt>
                <c:pt idx="14">
                  <c:v>36.45609714232075</c:v>
                </c:pt>
                <c:pt idx="15">
                  <c:v>48.278518214780632</c:v>
                </c:pt>
                <c:pt idx="16">
                  <c:v>59.393234334292522</c:v>
                </c:pt>
                <c:pt idx="17">
                  <c:v>74.617168192061712</c:v>
                </c:pt>
                <c:pt idx="18">
                  <c:v>95.575897042465357</c:v>
                </c:pt>
                <c:pt idx="19">
                  <c:v>117.51624221865877</c:v>
                </c:pt>
                <c:pt idx="20">
                  <c:v>156.37701664712571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F8CA-4578-BBFE-F9BC21A0002B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Dados!$AG$2:$AG$22</c:f>
              <c:numCache>
                <c:formatCode>General</c:formatCode>
                <c:ptCount val="21"/>
                <c:pt idx="0">
                  <c:v>1</c:v>
                </c:pt>
                <c:pt idx="1">
                  <c:v>1.282171058285269</c:v>
                </c:pt>
                <c:pt idx="2">
                  <c:v>1.6066189580820927</c:v>
                </c:pt>
                <c:pt idx="3">
                  <c:v>2.0676588131666875</c:v>
                </c:pt>
                <c:pt idx="4">
                  <c:v>2.7198718950603338</c:v>
                </c:pt>
                <c:pt idx="5">
                  <c:v>3.4671098156334303</c:v>
                </c:pt>
                <c:pt idx="6">
                  <c:v>4.3060770921127149</c:v>
                </c:pt>
                <c:pt idx="7">
                  <c:v>5.567678861058365</c:v>
                </c:pt>
                <c:pt idx="8">
                  <c:v>6.824793367024597</c:v>
                </c:pt>
                <c:pt idx="9">
                  <c:v>8.9649523104162085</c:v>
                </c:pt>
                <c:pt idx="10">
                  <c:v>11.1294239932586</c:v>
                </c:pt>
                <c:pt idx="11">
                  <c:v>13.801095323080274</c:v>
                </c:pt>
                <c:pt idx="12">
                  <c:v>16.872589603865158</c:v>
                </c:pt>
                <c:pt idx="13">
                  <c:v>22.613122526230139</c:v>
                </c:pt>
                <c:pt idx="14">
                  <c:v>28.595852263101563</c:v>
                </c:pt>
                <c:pt idx="15">
                  <c:v>37.383496511742848</c:v>
                </c:pt>
                <c:pt idx="16">
                  <c:v>48.302559468420952</c:v>
                </c:pt>
                <c:pt idx="17">
                  <c:v>62.768599975996914</c:v>
                </c:pt>
                <c:pt idx="18">
                  <c:v>79.198723504099945</c:v>
                </c:pt>
                <c:pt idx="19">
                  <c:v>103.66180832075744</c:v>
                </c:pt>
                <c:pt idx="20">
                  <c:v>136.05148532628706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F8CA-4578-BBFE-F9BC21A0002B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Dados!$AH$2:$AH$22</c:f>
              <c:numCache>
                <c:formatCode>General</c:formatCode>
                <c:ptCount val="21"/>
                <c:pt idx="0">
                  <c:v>1</c:v>
                </c:pt>
                <c:pt idx="1">
                  <c:v>1.3438164874970668</c:v>
                </c:pt>
                <c:pt idx="2">
                  <c:v>1.7081694767781346</c:v>
                </c:pt>
                <c:pt idx="3">
                  <c:v>2.1422064055318426</c:v>
                </c:pt>
                <c:pt idx="4">
                  <c:v>2.6309554833761188</c:v>
                </c:pt>
                <c:pt idx="5">
                  <c:v>3.303498697145407</c:v>
                </c:pt>
                <c:pt idx="6">
                  <c:v>4.3029780239355944</c:v>
                </c:pt>
                <c:pt idx="7">
                  <c:v>5.632618391741083</c:v>
                </c:pt>
                <c:pt idx="8">
                  <c:v>7.120147571305389</c:v>
                </c:pt>
                <c:pt idx="9">
                  <c:v>8.775761262461991</c:v>
                </c:pt>
                <c:pt idx="10">
                  <c:v>11.81434012815367</c:v>
                </c:pt>
                <c:pt idx="11">
                  <c:v>15.643989680592231</c:v>
                </c:pt>
                <c:pt idx="12">
                  <c:v>19.631109234034799</c:v>
                </c:pt>
                <c:pt idx="13">
                  <c:v>25.01939186209264</c:v>
                </c:pt>
                <c:pt idx="14">
                  <c:v>31.307781260877707</c:v>
                </c:pt>
                <c:pt idx="15">
                  <c:v>40.445159608785168</c:v>
                </c:pt>
                <c:pt idx="16">
                  <c:v>52.52027367029396</c:v>
                </c:pt>
                <c:pt idx="17">
                  <c:v>64.639244524486216</c:v>
                </c:pt>
                <c:pt idx="18">
                  <c:v>84.068838590382754</c:v>
                </c:pt>
                <c:pt idx="19">
                  <c:v>107.43416069714746</c:v>
                </c:pt>
                <c:pt idx="20">
                  <c:v>139.4886745519504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F8CA-4578-BBFE-F9BC21A0002B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Dados!$AI$2:$AI$22</c:f>
              <c:numCache>
                <c:formatCode>General</c:formatCode>
                <c:ptCount val="21"/>
                <c:pt idx="0">
                  <c:v>1</c:v>
                </c:pt>
                <c:pt idx="1">
                  <c:v>1.2435509175664423</c:v>
                </c:pt>
                <c:pt idx="2">
                  <c:v>1.6426589893419816</c:v>
                </c:pt>
                <c:pt idx="3">
                  <c:v>2.1439939877778738</c:v>
                </c:pt>
                <c:pt idx="4">
                  <c:v>2.8570259799195545</c:v>
                </c:pt>
                <c:pt idx="5">
                  <c:v>3.5270901948309747</c:v>
                </c:pt>
                <c:pt idx="6">
                  <c:v>4.4294801746295143</c:v>
                </c:pt>
                <c:pt idx="7">
                  <c:v>5.68414593437618</c:v>
                </c:pt>
                <c:pt idx="8">
                  <c:v>7.6543398571748993</c:v>
                </c:pt>
                <c:pt idx="9">
                  <c:v>10.238527748826179</c:v>
                </c:pt>
                <c:pt idx="10">
                  <c:v>13.629300990456395</c:v>
                </c:pt>
                <c:pt idx="11">
                  <c:v>17.216771599598761</c:v>
                </c:pt>
                <c:pt idx="12">
                  <c:v>22.591430282572283</c:v>
                </c:pt>
                <c:pt idx="13">
                  <c:v>27.859162469103214</c:v>
                </c:pt>
                <c:pt idx="14">
                  <c:v>35.493825238613688</c:v>
                </c:pt>
                <c:pt idx="15">
                  <c:v>46.041889971108212</c:v>
                </c:pt>
                <c:pt idx="16">
                  <c:v>58.669522134502962</c:v>
                </c:pt>
                <c:pt idx="17">
                  <c:v>78.827396430758711</c:v>
                </c:pt>
                <c:pt idx="18">
                  <c:v>102.39525523400049</c:v>
                </c:pt>
                <c:pt idx="19">
                  <c:v>132.5631650919687</c:v>
                </c:pt>
                <c:pt idx="20">
                  <c:v>168.82233875863426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F8CA-4578-BBFE-F9BC21A0002B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Dados!$AJ$2:$AJ$22</c:f>
              <c:numCache>
                <c:formatCode>General</c:formatCode>
                <c:ptCount val="21"/>
                <c:pt idx="0">
                  <c:v>1</c:v>
                </c:pt>
                <c:pt idx="1">
                  <c:v>1.2760064609819997</c:v>
                </c:pt>
                <c:pt idx="2">
                  <c:v>1.5768229798181943</c:v>
                </c:pt>
                <c:pt idx="3">
                  <c:v>2.0510729676077948</c:v>
                </c:pt>
                <c:pt idx="4">
                  <c:v>2.6927390475713198</c:v>
                </c:pt>
                <c:pt idx="5">
                  <c:v>3.5330098179289551</c:v>
                </c:pt>
                <c:pt idx="6">
                  <c:v>4.4358150302031136</c:v>
                </c:pt>
                <c:pt idx="7">
                  <c:v>5.781098436522945</c:v>
                </c:pt>
                <c:pt idx="8">
                  <c:v>7.3441171265869372</c:v>
                </c:pt>
                <c:pt idx="9">
                  <c:v>9.4461426762845342</c:v>
                </c:pt>
                <c:pt idx="10">
                  <c:v>11.921698907742067</c:v>
                </c:pt>
                <c:pt idx="11">
                  <c:v>15.803377314721642</c:v>
                </c:pt>
                <c:pt idx="12">
                  <c:v>20.475483017188445</c:v>
                </c:pt>
                <c:pt idx="13">
                  <c:v>25.17413457684577</c:v>
                </c:pt>
                <c:pt idx="14">
                  <c:v>31.714521768811537</c:v>
                </c:pt>
                <c:pt idx="15">
                  <c:v>40.523255807990637</c:v>
                </c:pt>
                <c:pt idx="16">
                  <c:v>50.656718854753443</c:v>
                </c:pt>
                <c:pt idx="17">
                  <c:v>65.727131725103362</c:v>
                </c:pt>
                <c:pt idx="18">
                  <c:v>83.598293238918259</c:v>
                </c:pt>
                <c:pt idx="19">
                  <c:v>103.53856541717654</c:v>
                </c:pt>
                <c:pt idx="20">
                  <c:v>129.62615045531422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F8CA-4578-BBFE-F9BC21A0002B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Dados!$AK$2:$AK$22</c:f>
              <c:numCache>
                <c:formatCode>General</c:formatCode>
                <c:ptCount val="21"/>
                <c:pt idx="0">
                  <c:v>1</c:v>
                </c:pt>
                <c:pt idx="1">
                  <c:v>1.2470111992026982</c:v>
                </c:pt>
                <c:pt idx="2">
                  <c:v>1.6275726319380084</c:v>
                </c:pt>
                <c:pt idx="3">
                  <c:v>2.0038581530657238</c:v>
                </c:pt>
                <c:pt idx="4">
                  <c:v>2.6530029589556716</c:v>
                </c:pt>
                <c:pt idx="5">
                  <c:v>3.5785578292648204</c:v>
                </c:pt>
                <c:pt idx="6">
                  <c:v>4.7843646930914376</c:v>
                </c:pt>
                <c:pt idx="7">
                  <c:v>6.3485144013978099</c:v>
                </c:pt>
                <c:pt idx="8">
                  <c:v>7.9003867037087661</c:v>
                </c:pt>
                <c:pt idx="9">
                  <c:v>10.032553422733805</c:v>
                </c:pt>
                <c:pt idx="10">
                  <c:v>13.044717759132986</c:v>
                </c:pt>
                <c:pt idx="11">
                  <c:v>16.050092035743234</c:v>
                </c:pt>
                <c:pt idx="12">
                  <c:v>19.803681125234764</c:v>
                </c:pt>
                <c:pt idx="13">
                  <c:v>25.202742643125159</c:v>
                </c:pt>
                <c:pt idx="14">
                  <c:v>32.734964738810149</c:v>
                </c:pt>
                <c:pt idx="15">
                  <c:v>40.32853270383567</c:v>
                </c:pt>
                <c:pt idx="16">
                  <c:v>53.599143207164012</c:v>
                </c:pt>
                <c:pt idx="17">
                  <c:v>66.954323578383054</c:v>
                </c:pt>
                <c:pt idx="18">
                  <c:v>86.29743204047621</c:v>
                </c:pt>
                <c:pt idx="19">
                  <c:v>105.87383738334482</c:v>
                </c:pt>
                <c:pt idx="20">
                  <c:v>139.38694770388764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F8CA-4578-BBFE-F9BC21A0002B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Dados!$AL$2:$AL$22</c:f>
              <c:numCache>
                <c:formatCode>General</c:formatCode>
                <c:ptCount val="21"/>
                <c:pt idx="0">
                  <c:v>1</c:v>
                </c:pt>
                <c:pt idx="1">
                  <c:v>1.2301965059782012</c:v>
                </c:pt>
                <c:pt idx="2">
                  <c:v>1.585214477640946</c:v>
                </c:pt>
                <c:pt idx="3">
                  <c:v>2.0329688697485877</c:v>
                </c:pt>
                <c:pt idx="4">
                  <c:v>2.5789540785868015</c:v>
                </c:pt>
                <c:pt idx="5">
                  <c:v>3.1891299764260328</c:v>
                </c:pt>
                <c:pt idx="6">
                  <c:v>4.0976226145267454</c:v>
                </c:pt>
                <c:pt idx="7">
                  <c:v>5.3956921003357579</c:v>
                </c:pt>
                <c:pt idx="8">
                  <c:v>6.9651481598987504</c:v>
                </c:pt>
                <c:pt idx="9">
                  <c:v>8.8530132697006589</c:v>
                </c:pt>
                <c:pt idx="10">
                  <c:v>11.039049704730441</c:v>
                </c:pt>
                <c:pt idx="11">
                  <c:v>14.014592624579439</c:v>
                </c:pt>
                <c:pt idx="12">
                  <c:v>17.324933591910543</c:v>
                </c:pt>
                <c:pt idx="13">
                  <c:v>21.299433901916096</c:v>
                </c:pt>
                <c:pt idx="14">
                  <c:v>28.672862833081709</c:v>
                </c:pt>
                <c:pt idx="15">
                  <c:v>37.288241350110845</c:v>
                </c:pt>
                <c:pt idx="16">
                  <c:v>49.330248384947588</c:v>
                </c:pt>
                <c:pt idx="17">
                  <c:v>65.539857833836351</c:v>
                </c:pt>
                <c:pt idx="18">
                  <c:v>82.16011892792892</c:v>
                </c:pt>
                <c:pt idx="19">
                  <c:v>102.70231120876096</c:v>
                </c:pt>
                <c:pt idx="20">
                  <c:v>134.48452907316533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F8CA-4578-BBFE-F9BC21A0002B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Dados!$AM$2:$AM$22</c:f>
              <c:numCache>
                <c:formatCode>General</c:formatCode>
                <c:ptCount val="21"/>
                <c:pt idx="0">
                  <c:v>1</c:v>
                </c:pt>
                <c:pt idx="1">
                  <c:v>1.2750225464615166</c:v>
                </c:pt>
                <c:pt idx="2">
                  <c:v>1.6685117275911265</c:v>
                </c:pt>
                <c:pt idx="3">
                  <c:v>2.2091238210743365</c:v>
                </c:pt>
                <c:pt idx="4">
                  <c:v>2.8508022220349361</c:v>
                </c:pt>
                <c:pt idx="5">
                  <c:v>3.7387865640290472</c:v>
                </c:pt>
                <c:pt idx="6">
                  <c:v>4.6473237442705297</c:v>
                </c:pt>
                <c:pt idx="7">
                  <c:v>5.9027358260737701</c:v>
                </c:pt>
                <c:pt idx="8">
                  <c:v>7.2620510057296972</c:v>
                </c:pt>
                <c:pt idx="9">
                  <c:v>9.5498164542969519</c:v>
                </c:pt>
                <c:pt idx="10">
                  <c:v>12.482905097742297</c:v>
                </c:pt>
                <c:pt idx="11">
                  <c:v>15.260789920021882</c:v>
                </c:pt>
                <c:pt idx="12">
                  <c:v>20.59494534030139</c:v>
                </c:pt>
                <c:pt idx="13">
                  <c:v>25.217190476331634</c:v>
                </c:pt>
                <c:pt idx="14">
                  <c:v>32.123609513691598</c:v>
                </c:pt>
                <c:pt idx="15">
                  <c:v>41.727299392932963</c:v>
                </c:pt>
                <c:pt idx="16">
                  <c:v>52.387346542852889</c:v>
                </c:pt>
                <c:pt idx="17">
                  <c:v>66.278275715370711</c:v>
                </c:pt>
                <c:pt idx="18">
                  <c:v>81.797974370753863</c:v>
                </c:pt>
                <c:pt idx="19">
                  <c:v>100.99352199684326</c:v>
                </c:pt>
                <c:pt idx="20">
                  <c:v>133.69568307480085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F8CA-4578-BBFE-F9BC21A0002B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Dados!$AN$2:$AN$22</c:f>
              <c:numCache>
                <c:formatCode>General</c:formatCode>
                <c:ptCount val="21"/>
                <c:pt idx="0">
                  <c:v>1</c:v>
                </c:pt>
                <c:pt idx="1">
                  <c:v>1.2584184259392406</c:v>
                </c:pt>
                <c:pt idx="2">
                  <c:v>1.5679059035663523</c:v>
                </c:pt>
                <c:pt idx="3">
                  <c:v>1.9988557863242713</c:v>
                </c:pt>
                <c:pt idx="4">
                  <c:v>2.605682319208003</c:v>
                </c:pt>
                <c:pt idx="5">
                  <c:v>3.2860656243313175</c:v>
                </c:pt>
                <c:pt idx="6">
                  <c:v>4.2129121107059202</c:v>
                </c:pt>
                <c:pt idx="7">
                  <c:v>5.5832357967155035</c:v>
                </c:pt>
                <c:pt idx="8">
                  <c:v>7.1073493515058521</c:v>
                </c:pt>
                <c:pt idx="9">
                  <c:v>9.1764738751180523</c:v>
                </c:pt>
                <c:pt idx="10">
                  <c:v>12.346568619761273</c:v>
                </c:pt>
                <c:pt idx="11">
                  <c:v>15.789605977468268</c:v>
                </c:pt>
                <c:pt idx="12">
                  <c:v>20.915185699698391</c:v>
                </c:pt>
                <c:pt idx="13">
                  <c:v>28.115418741857638</c:v>
                </c:pt>
                <c:pt idx="14">
                  <c:v>35.4798070162229</c:v>
                </c:pt>
                <c:pt idx="15">
                  <c:v>46.505911633965688</c:v>
                </c:pt>
                <c:pt idx="16">
                  <c:v>56.80359731583917</c:v>
                </c:pt>
                <c:pt idx="17">
                  <c:v>72.80722839661901</c:v>
                </c:pt>
                <c:pt idx="18">
                  <c:v>93.935441448771485</c:v>
                </c:pt>
                <c:pt idx="19">
                  <c:v>120.24527678980093</c:v>
                </c:pt>
                <c:pt idx="20">
                  <c:v>154.62765358678448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F8CA-4578-BBFE-F9BC21A0002B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Dados!$AO$2:$AO$22</c:f>
              <c:numCache>
                <c:formatCode>General</c:formatCode>
                <c:ptCount val="21"/>
                <c:pt idx="0">
                  <c:v>1</c:v>
                </c:pt>
                <c:pt idx="1">
                  <c:v>1.2418119142347293</c:v>
                </c:pt>
                <c:pt idx="2">
                  <c:v>1.5597280162481995</c:v>
                </c:pt>
                <c:pt idx="3">
                  <c:v>1.9494044987224972</c:v>
                </c:pt>
                <c:pt idx="4">
                  <c:v>2.6023484831071526</c:v>
                </c:pt>
                <c:pt idx="5">
                  <c:v>3.3607031293984013</c:v>
                </c:pt>
                <c:pt idx="6">
                  <c:v>4.3268997677046297</c:v>
                </c:pt>
                <c:pt idx="7">
                  <c:v>5.5034117346826275</c:v>
                </c:pt>
                <c:pt idx="8">
                  <c:v>6.8978135977801527</c:v>
                </c:pt>
                <c:pt idx="9">
                  <c:v>8.9752149026579868</c:v>
                </c:pt>
                <c:pt idx="10">
                  <c:v>11.09004754981167</c:v>
                </c:pt>
                <c:pt idx="11">
                  <c:v>14.718629362094102</c:v>
                </c:pt>
                <c:pt idx="12">
                  <c:v>18.023982853197335</c:v>
                </c:pt>
                <c:pt idx="13">
                  <c:v>23.924693172071049</c:v>
                </c:pt>
                <c:pt idx="14">
                  <c:v>30.607187744531224</c:v>
                </c:pt>
                <c:pt idx="15">
                  <c:v>41.185918598511101</c:v>
                </c:pt>
                <c:pt idx="16">
                  <c:v>51.679682689189931</c:v>
                </c:pt>
                <c:pt idx="17">
                  <c:v>63.752537390814517</c:v>
                </c:pt>
                <c:pt idx="18">
                  <c:v>85.238380433253084</c:v>
                </c:pt>
                <c:pt idx="19">
                  <c:v>105.34835186607579</c:v>
                </c:pt>
                <c:pt idx="20">
                  <c:v>133.62931428647624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F8CA-4578-BBFE-F9BC21A0002B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Dados!$AP$2:$AP$22</c:f>
              <c:numCache>
                <c:formatCode>General</c:formatCode>
                <c:ptCount val="21"/>
                <c:pt idx="0">
                  <c:v>1</c:v>
                </c:pt>
                <c:pt idx="1">
                  <c:v>1.2518711401393305</c:v>
                </c:pt>
                <c:pt idx="2">
                  <c:v>1.6694055584612615</c:v>
                </c:pt>
                <c:pt idx="3">
                  <c:v>2.1863130631956555</c:v>
                </c:pt>
                <c:pt idx="4">
                  <c:v>2.9136603593795884</c:v>
                </c:pt>
                <c:pt idx="5">
                  <c:v>3.8260211238539181</c:v>
                </c:pt>
                <c:pt idx="6">
                  <c:v>5.0624437161957658</c:v>
                </c:pt>
                <c:pt idx="7">
                  <c:v>6.3697483531237262</c:v>
                </c:pt>
                <c:pt idx="8">
                  <c:v>8.4881771697585418</c:v>
                </c:pt>
                <c:pt idx="9">
                  <c:v>10.741144803910922</c:v>
                </c:pt>
                <c:pt idx="10">
                  <c:v>13.45627711180363</c:v>
                </c:pt>
                <c:pt idx="11">
                  <c:v>18.08392916317931</c:v>
                </c:pt>
                <c:pt idx="12">
                  <c:v>22.114894388636358</c:v>
                </c:pt>
                <c:pt idx="13">
                  <c:v>29.48274890374211</c:v>
                </c:pt>
                <c:pt idx="14">
                  <c:v>36.849446614043131</c:v>
                </c:pt>
                <c:pt idx="15">
                  <c:v>47.829258258113093</c:v>
                </c:pt>
                <c:pt idx="16">
                  <c:v>63.506645583689583</c:v>
                </c:pt>
                <c:pt idx="17">
                  <c:v>81.584523151833821</c:v>
                </c:pt>
                <c:pt idx="18">
                  <c:v>104.58643456262631</c:v>
                </c:pt>
                <c:pt idx="19">
                  <c:v>135.4071819155383</c:v>
                </c:pt>
                <c:pt idx="20">
                  <c:v>170.62844292099152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F8CA-4578-BBFE-F9BC21A0002B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Dados!$AQ$2:$AQ$22</c:f>
              <c:numCache>
                <c:formatCode>General</c:formatCode>
                <c:ptCount val="21"/>
                <c:pt idx="0">
                  <c:v>1</c:v>
                </c:pt>
                <c:pt idx="1">
                  <c:v>1.3291007805609674</c:v>
                </c:pt>
                <c:pt idx="2">
                  <c:v>1.7761529582844457</c:v>
                </c:pt>
                <c:pt idx="3">
                  <c:v>2.2138401017881533</c:v>
                </c:pt>
                <c:pt idx="4">
                  <c:v>2.7184981275841062</c:v>
                </c:pt>
                <c:pt idx="5">
                  <c:v>3.4433065968705692</c:v>
                </c:pt>
                <c:pt idx="6">
                  <c:v>4.4569637263339317</c:v>
                </c:pt>
                <c:pt idx="7">
                  <c:v>5.954691075717685</c:v>
                </c:pt>
                <c:pt idx="8">
                  <c:v>7.8013703079236727</c:v>
                </c:pt>
                <c:pt idx="9">
                  <c:v>10.247117927079396</c:v>
                </c:pt>
                <c:pt idx="10">
                  <c:v>13.780272483252331</c:v>
                </c:pt>
                <c:pt idx="11">
                  <c:v>18.377182986515454</c:v>
                </c:pt>
                <c:pt idx="12">
                  <c:v>23.337217578051249</c:v>
                </c:pt>
                <c:pt idx="13">
                  <c:v>31.380366726870449</c:v>
                </c:pt>
                <c:pt idx="14">
                  <c:v>41.111003756094405</c:v>
                </c:pt>
                <c:pt idx="15">
                  <c:v>52.874430956242371</c:v>
                </c:pt>
                <c:pt idx="16">
                  <c:v>65.986759504143976</c:v>
                </c:pt>
                <c:pt idx="17">
                  <c:v>85.780025474137005</c:v>
                </c:pt>
                <c:pt idx="18">
                  <c:v>113.83755014811425</c:v>
                </c:pt>
                <c:pt idx="19">
                  <c:v>147.22501909164635</c:v>
                </c:pt>
                <c:pt idx="20">
                  <c:v>184.455031426734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F8CA-4578-BBFE-F9BC21A0002B}"/>
            </c:ext>
          </c:extLst>
        </c:ser>
        <c:ser>
          <c:idx val="41"/>
          <c:order val="41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Dados!$AR$2:$AR$22</c:f>
              <c:numCache>
                <c:formatCode>General</c:formatCode>
                <c:ptCount val="21"/>
                <c:pt idx="0">
                  <c:v>1</c:v>
                </c:pt>
                <c:pt idx="1">
                  <c:v>1.2358848527594739</c:v>
                </c:pt>
                <c:pt idx="2">
                  <c:v>1.6239079861265597</c:v>
                </c:pt>
                <c:pt idx="3">
                  <c:v>2.0083341114120437</c:v>
                </c:pt>
                <c:pt idx="4">
                  <c:v>2.6996326809972873</c:v>
                </c:pt>
                <c:pt idx="5">
                  <c:v>3.562576162194933</c:v>
                </c:pt>
                <c:pt idx="6">
                  <c:v>4.6730778409875926</c:v>
                </c:pt>
                <c:pt idx="7">
                  <c:v>5.9542292223649671</c:v>
                </c:pt>
                <c:pt idx="8">
                  <c:v>7.9154652333004387</c:v>
                </c:pt>
                <c:pt idx="9">
                  <c:v>10.298348132093503</c:v>
                </c:pt>
                <c:pt idx="10">
                  <c:v>12.947752992844007</c:v>
                </c:pt>
                <c:pt idx="11">
                  <c:v>17.151810178045988</c:v>
                </c:pt>
                <c:pt idx="12">
                  <c:v>21.641131743100843</c:v>
                </c:pt>
                <c:pt idx="13">
                  <c:v>28.828857043399921</c:v>
                </c:pt>
                <c:pt idx="14">
                  <c:v>36.499055052123573</c:v>
                </c:pt>
                <c:pt idx="15">
                  <c:v>44.701311206728683</c:v>
                </c:pt>
                <c:pt idx="16">
                  <c:v>55.940649587091919</c:v>
                </c:pt>
                <c:pt idx="17">
                  <c:v>75.391798108986109</c:v>
                </c:pt>
                <c:pt idx="18">
                  <c:v>95.597801986126257</c:v>
                </c:pt>
                <c:pt idx="19">
                  <c:v>123.69863063946488</c:v>
                </c:pt>
                <c:pt idx="20">
                  <c:v>164.59499244113792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F8CA-4578-BBFE-F9BC21A0002B}"/>
            </c:ext>
          </c:extLst>
        </c:ser>
        <c:ser>
          <c:idx val="42"/>
          <c:order val="42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Dados!$AS$2:$AS$22</c:f>
              <c:numCache>
                <c:formatCode>General</c:formatCode>
                <c:ptCount val="21"/>
                <c:pt idx="0">
                  <c:v>1</c:v>
                </c:pt>
                <c:pt idx="1">
                  <c:v>1.284833750680848</c:v>
                </c:pt>
                <c:pt idx="2">
                  <c:v>1.581356557720446</c:v>
                </c:pt>
                <c:pt idx="3">
                  <c:v>2.0855495778922095</c:v>
                </c:pt>
                <c:pt idx="4">
                  <c:v>2.6222879092435845</c:v>
                </c:pt>
                <c:pt idx="5">
                  <c:v>3.283392971564302</c:v>
                </c:pt>
                <c:pt idx="6">
                  <c:v>4.4282400278541747</c:v>
                </c:pt>
                <c:pt idx="7">
                  <c:v>5.7533747272423339</c:v>
                </c:pt>
                <c:pt idx="8">
                  <c:v>7.3677769740149497</c:v>
                </c:pt>
                <c:pt idx="9">
                  <c:v>9.7605953527850371</c:v>
                </c:pt>
                <c:pt idx="10">
                  <c:v>13.030165682360265</c:v>
                </c:pt>
                <c:pt idx="11">
                  <c:v>16.68921133467159</c:v>
                </c:pt>
                <c:pt idx="12">
                  <c:v>21.559285292892181</c:v>
                </c:pt>
                <c:pt idx="13">
                  <c:v>28.870386479295984</c:v>
                </c:pt>
                <c:pt idx="14">
                  <c:v>38.780393935502552</c:v>
                </c:pt>
                <c:pt idx="15">
                  <c:v>48.944658532868942</c:v>
                </c:pt>
                <c:pt idx="16">
                  <c:v>65.452056995248753</c:v>
                </c:pt>
                <c:pt idx="17">
                  <c:v>83.669041246468666</c:v>
                </c:pt>
                <c:pt idx="18">
                  <c:v>104.63646170771676</c:v>
                </c:pt>
                <c:pt idx="19">
                  <c:v>134.1719543987407</c:v>
                </c:pt>
                <c:pt idx="20">
                  <c:v>175.91158701707315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F8CA-4578-BBFE-F9BC21A0002B}"/>
            </c:ext>
          </c:extLst>
        </c:ser>
        <c:ser>
          <c:idx val="43"/>
          <c:order val="43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Dados!$AT$2:$AT$22</c:f>
              <c:numCache>
                <c:formatCode>General</c:formatCode>
                <c:ptCount val="21"/>
                <c:pt idx="0">
                  <c:v>1</c:v>
                </c:pt>
                <c:pt idx="1">
                  <c:v>1.276481782450952</c:v>
                </c:pt>
                <c:pt idx="2">
                  <c:v>1.5889197314154202</c:v>
                </c:pt>
                <c:pt idx="3">
                  <c:v>1.9697238251055762</c:v>
                </c:pt>
                <c:pt idx="4">
                  <c:v>2.5389257811228942</c:v>
                </c:pt>
                <c:pt idx="5">
                  <c:v>3.2723868123446795</c:v>
                </c:pt>
                <c:pt idx="6">
                  <c:v>4.2168308924764935</c:v>
                </c:pt>
                <c:pt idx="7">
                  <c:v>5.2037685871825339</c:v>
                </c:pt>
                <c:pt idx="8">
                  <c:v>6.655145485509637</c:v>
                </c:pt>
                <c:pt idx="9">
                  <c:v>8.5125825504188608</c:v>
                </c:pt>
                <c:pt idx="10">
                  <c:v>11.224448947110574</c:v>
                </c:pt>
                <c:pt idx="11">
                  <c:v>14.506133192558073</c:v>
                </c:pt>
                <c:pt idx="12">
                  <c:v>18.681935760308626</c:v>
                </c:pt>
                <c:pt idx="13">
                  <c:v>24.088734312437836</c:v>
                </c:pt>
                <c:pt idx="14">
                  <c:v>30.090146065035828</c:v>
                </c:pt>
                <c:pt idx="15">
                  <c:v>38.522221488753353</c:v>
                </c:pt>
                <c:pt idx="16">
                  <c:v>49.381245343983537</c:v>
                </c:pt>
                <c:pt idx="17">
                  <c:v>63.393235691556583</c:v>
                </c:pt>
                <c:pt idx="18">
                  <c:v>78.816606238122262</c:v>
                </c:pt>
                <c:pt idx="19">
                  <c:v>101.23951730522931</c:v>
                </c:pt>
                <c:pt idx="20">
                  <c:v>133.82711508367828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F8CA-4578-BBFE-F9BC21A0002B}"/>
            </c:ext>
          </c:extLst>
        </c:ser>
        <c:ser>
          <c:idx val="44"/>
          <c:order val="44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Dados!$AU$2:$AU$22</c:f>
              <c:numCache>
                <c:formatCode>General</c:formatCode>
                <c:ptCount val="21"/>
                <c:pt idx="0">
                  <c:v>1</c:v>
                </c:pt>
                <c:pt idx="1">
                  <c:v>1.2564976927693166</c:v>
                </c:pt>
                <c:pt idx="2">
                  <c:v>1.5780717019088968</c:v>
                </c:pt>
                <c:pt idx="3">
                  <c:v>2.0373432901956328</c:v>
                </c:pt>
                <c:pt idx="4">
                  <c:v>2.6079136810241836</c:v>
                </c:pt>
                <c:pt idx="5">
                  <c:v>3.4359987587858494</c:v>
                </c:pt>
                <c:pt idx="6">
                  <c:v>4.3563100769752632</c:v>
                </c:pt>
                <c:pt idx="7">
                  <c:v>5.339513109535468</c:v>
                </c:pt>
                <c:pt idx="8">
                  <c:v>6.746873472843804</c:v>
                </c:pt>
                <c:pt idx="9">
                  <c:v>9.0019100970019572</c:v>
                </c:pt>
                <c:pt idx="10">
                  <c:v>11.39761527284843</c:v>
                </c:pt>
                <c:pt idx="11">
                  <c:v>14.258156115824431</c:v>
                </c:pt>
                <c:pt idx="12">
                  <c:v>18.730872289955208</c:v>
                </c:pt>
                <c:pt idx="13">
                  <c:v>22.907509525200773</c:v>
                </c:pt>
                <c:pt idx="14">
                  <c:v>30.147912626410221</c:v>
                </c:pt>
                <c:pt idx="15">
                  <c:v>38.134330270957818</c:v>
                </c:pt>
                <c:pt idx="16">
                  <c:v>50.709944683868265</c:v>
                </c:pt>
                <c:pt idx="17">
                  <c:v>68.310309704980583</c:v>
                </c:pt>
                <c:pt idx="18">
                  <c:v>84.072932582942727</c:v>
                </c:pt>
                <c:pt idx="19">
                  <c:v>113.29535101977915</c:v>
                </c:pt>
                <c:pt idx="20">
                  <c:v>142.28622040382612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F8CA-4578-BBFE-F9BC21A0002B}"/>
            </c:ext>
          </c:extLst>
        </c:ser>
        <c:ser>
          <c:idx val="45"/>
          <c:order val="45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Dados!$AV$2:$AV$22</c:f>
              <c:numCache>
                <c:formatCode>General</c:formatCode>
                <c:ptCount val="21"/>
                <c:pt idx="0">
                  <c:v>1</c:v>
                </c:pt>
                <c:pt idx="1">
                  <c:v>1.2455069195194461</c:v>
                </c:pt>
                <c:pt idx="2">
                  <c:v>1.5357617665536798</c:v>
                </c:pt>
                <c:pt idx="3">
                  <c:v>2.0374937415291421</c:v>
                </c:pt>
                <c:pt idx="4">
                  <c:v>2.6191606156077558</c:v>
                </c:pt>
                <c:pt idx="5">
                  <c:v>3.3029200941143406</c:v>
                </c:pt>
                <c:pt idx="6">
                  <c:v>4.1266092554888196</c:v>
                </c:pt>
                <c:pt idx="7">
                  <c:v>5.0733939258190226</c:v>
                </c:pt>
                <c:pt idx="8">
                  <c:v>6.3217414647178254</c:v>
                </c:pt>
                <c:pt idx="9">
                  <c:v>8.4114895993726382</c:v>
                </c:pt>
                <c:pt idx="10">
                  <c:v>11.317264923189112</c:v>
                </c:pt>
                <c:pt idx="11">
                  <c:v>13.949684310587244</c:v>
                </c:pt>
                <c:pt idx="12">
                  <c:v>18.058913390579747</c:v>
                </c:pt>
                <c:pt idx="13">
                  <c:v>24.35383811714393</c:v>
                </c:pt>
                <c:pt idx="14">
                  <c:v>32.429628517318065</c:v>
                </c:pt>
                <c:pt idx="15">
                  <c:v>40.448839350384439</c:v>
                </c:pt>
                <c:pt idx="16">
                  <c:v>53.471101078905676</c:v>
                </c:pt>
                <c:pt idx="17">
                  <c:v>67.548501300701787</c:v>
                </c:pt>
                <c:pt idx="18">
                  <c:v>89.240038724384547</c:v>
                </c:pt>
                <c:pt idx="19">
                  <c:v>116.25517221375841</c:v>
                </c:pt>
                <c:pt idx="20">
                  <c:v>149.61579434475729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F8CA-4578-BBFE-F9BC21A0002B}"/>
            </c:ext>
          </c:extLst>
        </c:ser>
        <c:ser>
          <c:idx val="46"/>
          <c:order val="46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Dados!$AW$2:$AW$22</c:f>
              <c:numCache>
                <c:formatCode>General</c:formatCode>
                <c:ptCount val="21"/>
                <c:pt idx="0">
                  <c:v>1</c:v>
                </c:pt>
                <c:pt idx="1">
                  <c:v>1.269089932720932</c:v>
                </c:pt>
                <c:pt idx="2">
                  <c:v>1.6420883023462762</c:v>
                </c:pt>
                <c:pt idx="3">
                  <c:v>2.2043741383446767</c:v>
                </c:pt>
                <c:pt idx="4">
                  <c:v>2.7398152433974579</c:v>
                </c:pt>
                <c:pt idx="5">
                  <c:v>3.4581570033447075</c:v>
                </c:pt>
                <c:pt idx="6">
                  <c:v>4.2969486521162574</c:v>
                </c:pt>
                <c:pt idx="7">
                  <c:v>5.6964570148243352</c:v>
                </c:pt>
                <c:pt idx="8">
                  <c:v>6.9949812691838282</c:v>
                </c:pt>
                <c:pt idx="9">
                  <c:v>8.6378899995419545</c:v>
                </c:pt>
                <c:pt idx="10">
                  <c:v>10.651381947509753</c:v>
                </c:pt>
                <c:pt idx="11">
                  <c:v>13.308326893262038</c:v>
                </c:pt>
                <c:pt idx="12">
                  <c:v>17.781046224318494</c:v>
                </c:pt>
                <c:pt idx="13">
                  <c:v>21.765664298718132</c:v>
                </c:pt>
                <c:pt idx="14">
                  <c:v>28.137745255146342</c:v>
                </c:pt>
                <c:pt idx="15">
                  <c:v>36.231233513749594</c:v>
                </c:pt>
                <c:pt idx="16">
                  <c:v>44.885285012762189</c:v>
                </c:pt>
                <c:pt idx="17">
                  <c:v>58.29105964074747</c:v>
                </c:pt>
                <c:pt idx="18">
                  <c:v>74.571039668312011</c:v>
                </c:pt>
                <c:pt idx="19">
                  <c:v>93.387328584188111</c:v>
                </c:pt>
                <c:pt idx="20">
                  <c:v>121.04853728629233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F8CA-4578-BBFE-F9BC21A0002B}"/>
            </c:ext>
          </c:extLst>
        </c:ser>
        <c:ser>
          <c:idx val="47"/>
          <c:order val="47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Dados!$AX$2:$AX$22</c:f>
              <c:numCache>
                <c:formatCode>General</c:formatCode>
                <c:ptCount val="21"/>
                <c:pt idx="0">
                  <c:v>1</c:v>
                </c:pt>
                <c:pt idx="1">
                  <c:v>1.3118241402152784</c:v>
                </c:pt>
                <c:pt idx="2">
                  <c:v>1.7535595993090412</c:v>
                </c:pt>
                <c:pt idx="3">
                  <c:v>2.1714118499526265</c:v>
                </c:pt>
                <c:pt idx="4">
                  <c:v>2.6915107995707221</c:v>
                </c:pt>
                <c:pt idx="5">
                  <c:v>3.4930444099863265</c:v>
                </c:pt>
                <c:pt idx="6">
                  <c:v>4.4225925976092109</c:v>
                </c:pt>
                <c:pt idx="7">
                  <c:v>5.6572781510514734</c:v>
                </c:pt>
                <c:pt idx="8">
                  <c:v>7.6293277810618205</c:v>
                </c:pt>
                <c:pt idx="9">
                  <c:v>10.131245552192853</c:v>
                </c:pt>
                <c:pt idx="10">
                  <c:v>13.420898734240501</c:v>
                </c:pt>
                <c:pt idx="11">
                  <c:v>16.988662533435143</c:v>
                </c:pt>
                <c:pt idx="12">
                  <c:v>22.823478113496495</c:v>
                </c:pt>
                <c:pt idx="13">
                  <c:v>29.603347394470713</c:v>
                </c:pt>
                <c:pt idx="14">
                  <c:v>38.941742443543177</c:v>
                </c:pt>
                <c:pt idx="15">
                  <c:v>49.320436767105527</c:v>
                </c:pt>
                <c:pt idx="16">
                  <c:v>65.13716321296161</c:v>
                </c:pt>
                <c:pt idx="17">
                  <c:v>79.768638767784182</c:v>
                </c:pt>
                <c:pt idx="18">
                  <c:v>101.0089676134436</c:v>
                </c:pt>
                <c:pt idx="19">
                  <c:v>133.79936694334097</c:v>
                </c:pt>
                <c:pt idx="20">
                  <c:v>164.82394305814921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F8CA-4578-BBFE-F9BC21A0002B}"/>
            </c:ext>
          </c:extLst>
        </c:ser>
        <c:ser>
          <c:idx val="48"/>
          <c:order val="48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Dados!$AY$2:$AY$22</c:f>
              <c:numCache>
                <c:formatCode>General</c:formatCode>
                <c:ptCount val="21"/>
                <c:pt idx="0">
                  <c:v>1</c:v>
                </c:pt>
                <c:pt idx="1">
                  <c:v>1.3104048377673441</c:v>
                </c:pt>
                <c:pt idx="2">
                  <c:v>1.6479013972914756</c:v>
                </c:pt>
                <c:pt idx="3">
                  <c:v>2.0851959244788452</c:v>
                </c:pt>
                <c:pt idx="4">
                  <c:v>2.7433770073936641</c:v>
                </c:pt>
                <c:pt idx="5">
                  <c:v>3.4578745415466812</c:v>
                </c:pt>
                <c:pt idx="6">
                  <c:v>4.3379839760104115</c:v>
                </c:pt>
                <c:pt idx="7">
                  <c:v>5.5146300652860862</c:v>
                </c:pt>
                <c:pt idx="8">
                  <c:v>7.2965804043987763</c:v>
                </c:pt>
                <c:pt idx="9">
                  <c:v>8.9725994322998393</c:v>
                </c:pt>
                <c:pt idx="10">
                  <c:v>11.297770434574318</c:v>
                </c:pt>
                <c:pt idx="11">
                  <c:v>13.927516538993373</c:v>
                </c:pt>
                <c:pt idx="12">
                  <c:v>17.496480794018051</c:v>
                </c:pt>
                <c:pt idx="13">
                  <c:v>21.914391899408415</c:v>
                </c:pt>
                <c:pt idx="14">
                  <c:v>28.830926505779036</c:v>
                </c:pt>
                <c:pt idx="15">
                  <c:v>37.015681523945837</c:v>
                </c:pt>
                <c:pt idx="16">
                  <c:v>45.933645107644899</c:v>
                </c:pt>
                <c:pt idx="17">
                  <c:v>56.266513180686502</c:v>
                </c:pt>
                <c:pt idx="18">
                  <c:v>74.952035928744564</c:v>
                </c:pt>
                <c:pt idx="19">
                  <c:v>101.12016886664229</c:v>
                </c:pt>
                <c:pt idx="20">
                  <c:v>128.77209534562158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F8CA-4578-BBFE-F9BC21A0002B}"/>
            </c:ext>
          </c:extLst>
        </c:ser>
        <c:ser>
          <c:idx val="49"/>
          <c:order val="49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Dados!$AZ$2:$AZ$22</c:f>
              <c:numCache>
                <c:formatCode>General</c:formatCode>
                <c:ptCount val="21"/>
                <c:pt idx="0">
                  <c:v>1</c:v>
                </c:pt>
                <c:pt idx="1">
                  <c:v>1.2883553936992873</c:v>
                </c:pt>
                <c:pt idx="2">
                  <c:v>1.6961143279477005</c:v>
                </c:pt>
                <c:pt idx="3">
                  <c:v>2.1762684305162119</c:v>
                </c:pt>
                <c:pt idx="4">
                  <c:v>2.75785495570697</c:v>
                </c:pt>
                <c:pt idx="5">
                  <c:v>3.4915099304567323</c:v>
                </c:pt>
                <c:pt idx="6">
                  <c:v>4.3416493687184232</c:v>
                </c:pt>
                <c:pt idx="7">
                  <c:v>5.5234277034967887</c:v>
                </c:pt>
                <c:pt idx="8">
                  <c:v>6.9466797902139552</c:v>
                </c:pt>
                <c:pt idx="9">
                  <c:v>8.5703392363523232</c:v>
                </c:pt>
                <c:pt idx="10">
                  <c:v>10.525712758777795</c:v>
                </c:pt>
                <c:pt idx="11">
                  <c:v>14.111215012943504</c:v>
                </c:pt>
                <c:pt idx="12">
                  <c:v>18.971816753755757</c:v>
                </c:pt>
                <c:pt idx="13">
                  <c:v>24.70475476484896</c:v>
                </c:pt>
                <c:pt idx="14">
                  <c:v>32.892897779620199</c:v>
                </c:pt>
                <c:pt idx="15">
                  <c:v>44.150040250714333</c:v>
                </c:pt>
                <c:pt idx="16">
                  <c:v>55.062250989016384</c:v>
                </c:pt>
                <c:pt idx="17">
                  <c:v>69.065419697603744</c:v>
                </c:pt>
                <c:pt idx="18">
                  <c:v>84.585906770753908</c:v>
                </c:pt>
                <c:pt idx="19">
                  <c:v>107.03462970166922</c:v>
                </c:pt>
                <c:pt idx="20">
                  <c:v>144.24206949182988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F8CA-4578-BBFE-F9BC21A00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9828456"/>
        <c:axId val="369828848"/>
      </c:lineChart>
      <c:catAx>
        <c:axId val="369828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000"/>
                  <a:t>tempo </a:t>
                </a:r>
                <a:r>
                  <a:rPr lang="pt-BR" sz="10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69828848"/>
        <c:crosses val="autoZero"/>
        <c:auto val="1"/>
        <c:lblAlgn val="ctr"/>
        <c:lblOffset val="100"/>
        <c:tickLblSkip val="1"/>
        <c:noMultiLvlLbl val="0"/>
      </c:catAx>
      <c:valAx>
        <c:axId val="36982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2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pt-BR" sz="1200" i="1" baseline="-25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69828456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69466316710421"/>
          <c:y val="5.0925925925925923E-2"/>
          <c:w val="0.83874978127734034"/>
          <c:h val="0.76169181977252942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Dados!$BB$2:$BB$22</c:f>
              <c:numCache>
                <c:formatCode>General</c:formatCode>
                <c:ptCount val="21"/>
                <c:pt idx="0">
                  <c:v>1</c:v>
                </c:pt>
                <c:pt idx="1">
                  <c:v>1.2217841981120738</c:v>
                </c:pt>
                <c:pt idx="2">
                  <c:v>1.5034064951321267</c:v>
                </c:pt>
                <c:pt idx="3">
                  <c:v>1.9257909774998603</c:v>
                </c:pt>
                <c:pt idx="4">
                  <c:v>2.3618663112508647</c:v>
                </c:pt>
                <c:pt idx="5">
                  <c:v>3.0591515372868932</c:v>
                </c:pt>
                <c:pt idx="6">
                  <c:v>3.9658897659386221</c:v>
                </c:pt>
                <c:pt idx="7">
                  <c:v>4.9020850229573298</c:v>
                </c:pt>
                <c:pt idx="8">
                  <c:v>6.3193253919068306</c:v>
                </c:pt>
                <c:pt idx="9">
                  <c:v>8.0914924554513679</c:v>
                </c:pt>
                <c:pt idx="10">
                  <c:v>10.151177744284194</c:v>
                </c:pt>
                <c:pt idx="11">
                  <c:v>12.969738641077829</c:v>
                </c:pt>
                <c:pt idx="12">
                  <c:v>16.686897221317956</c:v>
                </c:pt>
                <c:pt idx="13">
                  <c:v>21.299433901916096</c:v>
                </c:pt>
                <c:pt idx="14">
                  <c:v>27.460290159725037</c:v>
                </c:pt>
                <c:pt idx="15">
                  <c:v>36.231233513749594</c:v>
                </c:pt>
                <c:pt idx="16">
                  <c:v>44.885285012762189</c:v>
                </c:pt>
                <c:pt idx="17">
                  <c:v>56.266513180686502</c:v>
                </c:pt>
                <c:pt idx="18">
                  <c:v>73.33589519320735</c:v>
                </c:pt>
                <c:pt idx="19">
                  <c:v>93.387328584188111</c:v>
                </c:pt>
                <c:pt idx="20">
                  <c:v>119.98254581410278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FB-4E22-B642-C8E0AD138F1B}"/>
            </c:ext>
          </c:extLst>
        </c:ser>
        <c:ser>
          <c:idx val="0"/>
          <c:order val="1"/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Dados!$BC$2:$BC$22</c:f>
              <c:numCache>
                <c:formatCode>General</c:formatCode>
                <c:ptCount val="21"/>
                <c:pt idx="0">
                  <c:v>1</c:v>
                </c:pt>
                <c:pt idx="1">
                  <c:v>1.3431463817249953</c:v>
                </c:pt>
                <c:pt idx="2">
                  <c:v>1.7549852911376798</c:v>
                </c:pt>
                <c:pt idx="3">
                  <c:v>2.2867496240772796</c:v>
                </c:pt>
                <c:pt idx="4">
                  <c:v>2.9962165816200601</c:v>
                </c:pt>
                <c:pt idx="5">
                  <c:v>3.8264934458833686</c:v>
                </c:pt>
                <c:pt idx="6">
                  <c:v>4.9959725271156374</c:v>
                </c:pt>
                <c:pt idx="7">
                  <c:v>6.420628314264917</c:v>
                </c:pt>
                <c:pt idx="8">
                  <c:v>8.2867112283771451</c:v>
                </c:pt>
                <c:pt idx="9">
                  <c:v>10.776438303360639</c:v>
                </c:pt>
                <c:pt idx="10">
                  <c:v>14.083618393221798</c:v>
                </c:pt>
                <c:pt idx="11">
                  <c:v>18.874739725629041</c:v>
                </c:pt>
                <c:pt idx="12">
                  <c:v>25.11894235538918</c:v>
                </c:pt>
                <c:pt idx="13">
                  <c:v>32.31473786457709</c:v>
                </c:pt>
                <c:pt idx="14">
                  <c:v>40.912514679133906</c:v>
                </c:pt>
                <c:pt idx="15">
                  <c:v>52.362442539759314</c:v>
                </c:pt>
                <c:pt idx="16">
                  <c:v>65.976430494400361</c:v>
                </c:pt>
                <c:pt idx="17">
                  <c:v>85.896795514958214</c:v>
                </c:pt>
                <c:pt idx="18">
                  <c:v>113.83755014811425</c:v>
                </c:pt>
                <c:pt idx="19">
                  <c:v>147.18566751754955</c:v>
                </c:pt>
                <c:pt idx="20">
                  <c:v>184.455031426734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FB-4E22-B642-C8E0AD138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001392"/>
        <c:axId val="368006880"/>
      </c:lineChart>
      <c:catAx>
        <c:axId val="368001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000"/>
                  <a:t>tempo </a:t>
                </a:r>
                <a:r>
                  <a:rPr lang="pt-BR" sz="10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68006880"/>
        <c:crosses val="autoZero"/>
        <c:auto val="1"/>
        <c:lblAlgn val="ctr"/>
        <c:lblOffset val="100"/>
        <c:tickLblSkip val="1"/>
        <c:noMultiLvlLbl val="0"/>
      </c:catAx>
      <c:valAx>
        <c:axId val="368006880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2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pt-BR" sz="1200" i="1" baseline="-25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6800139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107174103237094"/>
          <c:y val="2.7989821882951658E-2"/>
          <c:w val="0.82681014873140857"/>
          <c:h val="0.78711358996792036"/>
        </c:manualLayout>
      </c:layout>
      <c:scatterChart>
        <c:scatterStyle val="lineMarker"/>
        <c:varyColors val="0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gráficos!$AH$4:$AZ$4</c:f>
              <c:numCache>
                <c:formatCode>General</c:formatCode>
                <c:ptCount val="19"/>
                <c:pt idx="0">
                  <c:v>0.6</c:v>
                </c:pt>
                <c:pt idx="1">
                  <c:v>1.4</c:v>
                </c:pt>
                <c:pt idx="2">
                  <c:v>1</c:v>
                </c:pt>
                <c:pt idx="3">
                  <c:v>1</c:v>
                </c:pt>
                <c:pt idx="4">
                  <c:v>0.6</c:v>
                </c:pt>
                <c:pt idx="5">
                  <c:v>0.6</c:v>
                </c:pt>
                <c:pt idx="6">
                  <c:v>1.4</c:v>
                </c:pt>
                <c:pt idx="7">
                  <c:v>1.4</c:v>
                </c:pt>
                <c:pt idx="8">
                  <c:v>1</c:v>
                </c:pt>
                <c:pt idx="9">
                  <c:v>1</c:v>
                </c:pt>
                <c:pt idx="10">
                  <c:v>0.6</c:v>
                </c:pt>
                <c:pt idx="11">
                  <c:v>1.4</c:v>
                </c:pt>
                <c:pt idx="12">
                  <c:v>1</c:v>
                </c:pt>
                <c:pt idx="13">
                  <c:v>1</c:v>
                </c:pt>
                <c:pt idx="14">
                  <c:v>0.6</c:v>
                </c:pt>
                <c:pt idx="15">
                  <c:v>0.6</c:v>
                </c:pt>
                <c:pt idx="16">
                  <c:v>1.4</c:v>
                </c:pt>
                <c:pt idx="17">
                  <c:v>1.4</c:v>
                </c:pt>
                <c:pt idx="18">
                  <c:v>1</c:v>
                </c:pt>
              </c:numCache>
            </c:numRef>
          </c:xVal>
          <c:yVal>
            <c:numRef>
              <c:f>gráficos!$N$4:$AF$4</c:f>
              <c:numCache>
                <c:formatCode>General</c:formatCode>
                <c:ptCount val="19"/>
                <c:pt idx="0">
                  <c:v>1.2217841981120738</c:v>
                </c:pt>
                <c:pt idx="1">
                  <c:v>1.2217841981120738</c:v>
                </c:pt>
                <c:pt idx="2">
                  <c:v>1.2217841981120738</c:v>
                </c:pt>
                <c:pt idx="3">
                  <c:v>1.245490930388133</c:v>
                </c:pt>
                <c:pt idx="4">
                  <c:v>1.245490930388133</c:v>
                </c:pt>
                <c:pt idx="5">
                  <c:v>1.277867088291853</c:v>
                </c:pt>
                <c:pt idx="6">
                  <c:v>1.277867088291853</c:v>
                </c:pt>
                <c:pt idx="7">
                  <c:v>1.3114693146032947</c:v>
                </c:pt>
                <c:pt idx="8">
                  <c:v>1.3114693146032947</c:v>
                </c:pt>
                <c:pt idx="9">
                  <c:v>1.3467911548142624</c:v>
                </c:pt>
                <c:pt idx="10">
                  <c:v>1.3467911548142624</c:v>
                </c:pt>
                <c:pt idx="11">
                  <c:v>1.3467911548142624</c:v>
                </c:pt>
                <c:pt idx="12">
                  <c:v>1.3467911548142624</c:v>
                </c:pt>
                <c:pt idx="13">
                  <c:v>1.3114693146032947</c:v>
                </c:pt>
                <c:pt idx="14">
                  <c:v>1.3114693146032947</c:v>
                </c:pt>
                <c:pt idx="15">
                  <c:v>1.277867088291853</c:v>
                </c:pt>
                <c:pt idx="16">
                  <c:v>1.277867088291853</c:v>
                </c:pt>
                <c:pt idx="17">
                  <c:v>1.245490930388133</c:v>
                </c:pt>
                <c:pt idx="18">
                  <c:v>1.245490930388133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E-4328-9C35-DA6BE4E736FC}"/>
            </c:ext>
          </c:extLst>
        </c:ser>
        <c:ser>
          <c:idx val="1"/>
          <c:order val="1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gráficos!$AH$5:$AZ$5</c:f>
              <c:numCache>
                <c:formatCode>General</c:formatCode>
                <c:ptCount val="19"/>
                <c:pt idx="0">
                  <c:v>1.6</c:v>
                </c:pt>
                <c:pt idx="1">
                  <c:v>2.4</c:v>
                </c:pt>
                <c:pt idx="2">
                  <c:v>2</c:v>
                </c:pt>
                <c:pt idx="3">
                  <c:v>2</c:v>
                </c:pt>
                <c:pt idx="4">
                  <c:v>1.6</c:v>
                </c:pt>
                <c:pt idx="5">
                  <c:v>1.6</c:v>
                </c:pt>
                <c:pt idx="6">
                  <c:v>2.4</c:v>
                </c:pt>
                <c:pt idx="7">
                  <c:v>2.4</c:v>
                </c:pt>
                <c:pt idx="8">
                  <c:v>2</c:v>
                </c:pt>
                <c:pt idx="9">
                  <c:v>2</c:v>
                </c:pt>
                <c:pt idx="10">
                  <c:v>1.6</c:v>
                </c:pt>
                <c:pt idx="11">
                  <c:v>2.4</c:v>
                </c:pt>
                <c:pt idx="12">
                  <c:v>2</c:v>
                </c:pt>
                <c:pt idx="13">
                  <c:v>2</c:v>
                </c:pt>
                <c:pt idx="14">
                  <c:v>1.6</c:v>
                </c:pt>
                <c:pt idx="15">
                  <c:v>1.6</c:v>
                </c:pt>
                <c:pt idx="16">
                  <c:v>2.4</c:v>
                </c:pt>
                <c:pt idx="17">
                  <c:v>2.4</c:v>
                </c:pt>
                <c:pt idx="18">
                  <c:v>2</c:v>
                </c:pt>
              </c:numCache>
            </c:numRef>
          </c:xVal>
          <c:yVal>
            <c:numRef>
              <c:f>gráficos!$N$5:$AF$5</c:f>
              <c:numCache>
                <c:formatCode>General</c:formatCode>
                <c:ptCount val="19"/>
                <c:pt idx="0">
                  <c:v>1.5034064951321267</c:v>
                </c:pt>
                <c:pt idx="1">
                  <c:v>1.5034064951321267</c:v>
                </c:pt>
                <c:pt idx="2">
                  <c:v>1.5034064951321267</c:v>
                </c:pt>
                <c:pt idx="3">
                  <c:v>1.5860796164128266</c:v>
                </c:pt>
                <c:pt idx="4">
                  <c:v>1.5860796164128266</c:v>
                </c:pt>
                <c:pt idx="5">
                  <c:v>1.6529325684986347</c:v>
                </c:pt>
                <c:pt idx="6">
                  <c:v>1.6529325684986347</c:v>
                </c:pt>
                <c:pt idx="7">
                  <c:v>1.6901225027238862</c:v>
                </c:pt>
                <c:pt idx="8">
                  <c:v>1.6901225027238862</c:v>
                </c:pt>
                <c:pt idx="9">
                  <c:v>1.7761529582844457</c:v>
                </c:pt>
                <c:pt idx="10">
                  <c:v>1.7761529582844457</c:v>
                </c:pt>
                <c:pt idx="11">
                  <c:v>1.7761529582844457</c:v>
                </c:pt>
                <c:pt idx="12">
                  <c:v>1.7761529582844457</c:v>
                </c:pt>
                <c:pt idx="13">
                  <c:v>1.6901225027238862</c:v>
                </c:pt>
                <c:pt idx="14">
                  <c:v>1.6901225027238862</c:v>
                </c:pt>
                <c:pt idx="15">
                  <c:v>1.6529325684986347</c:v>
                </c:pt>
                <c:pt idx="16">
                  <c:v>1.6529325684986347</c:v>
                </c:pt>
                <c:pt idx="17">
                  <c:v>1.5860796164128266</c:v>
                </c:pt>
                <c:pt idx="18">
                  <c:v>1.5860796164128266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EE-4328-9C35-DA6BE4E736FC}"/>
            </c:ext>
          </c:extLst>
        </c:ser>
        <c:ser>
          <c:idx val="2"/>
          <c:order val="2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gráficos!$AH$6:$AZ$6</c:f>
              <c:numCache>
                <c:formatCode>General</c:formatCode>
                <c:ptCount val="19"/>
                <c:pt idx="0">
                  <c:v>2.6</c:v>
                </c:pt>
                <c:pt idx="1">
                  <c:v>3.4</c:v>
                </c:pt>
                <c:pt idx="2">
                  <c:v>3</c:v>
                </c:pt>
                <c:pt idx="3">
                  <c:v>3</c:v>
                </c:pt>
                <c:pt idx="4">
                  <c:v>2.6</c:v>
                </c:pt>
                <c:pt idx="5">
                  <c:v>2.6</c:v>
                </c:pt>
                <c:pt idx="6">
                  <c:v>3.4</c:v>
                </c:pt>
                <c:pt idx="7">
                  <c:v>3.4</c:v>
                </c:pt>
                <c:pt idx="8">
                  <c:v>3</c:v>
                </c:pt>
                <c:pt idx="9">
                  <c:v>3</c:v>
                </c:pt>
                <c:pt idx="10">
                  <c:v>2.6</c:v>
                </c:pt>
                <c:pt idx="11">
                  <c:v>3.4</c:v>
                </c:pt>
                <c:pt idx="12">
                  <c:v>3</c:v>
                </c:pt>
                <c:pt idx="13">
                  <c:v>3</c:v>
                </c:pt>
                <c:pt idx="14">
                  <c:v>2.6</c:v>
                </c:pt>
                <c:pt idx="15">
                  <c:v>2.6</c:v>
                </c:pt>
                <c:pt idx="16">
                  <c:v>3.4</c:v>
                </c:pt>
                <c:pt idx="17">
                  <c:v>3.4</c:v>
                </c:pt>
                <c:pt idx="18">
                  <c:v>3</c:v>
                </c:pt>
              </c:numCache>
            </c:numRef>
          </c:xVal>
          <c:yVal>
            <c:numRef>
              <c:f>gráficos!$N$6:$AF$6</c:f>
              <c:numCache>
                <c:formatCode>General</c:formatCode>
                <c:ptCount val="19"/>
                <c:pt idx="0">
                  <c:v>1.9257909774998603</c:v>
                </c:pt>
                <c:pt idx="1">
                  <c:v>1.9257909774998603</c:v>
                </c:pt>
                <c:pt idx="2">
                  <c:v>1.9257909774998603</c:v>
                </c:pt>
                <c:pt idx="3">
                  <c:v>2.0316657815696262</c:v>
                </c:pt>
                <c:pt idx="4">
                  <c:v>2.0316657815696262</c:v>
                </c:pt>
                <c:pt idx="5">
                  <c:v>2.1460411616256101</c:v>
                </c:pt>
                <c:pt idx="6">
                  <c:v>2.1460411616256101</c:v>
                </c:pt>
                <c:pt idx="7">
                  <c:v>2.2002887237109605</c:v>
                </c:pt>
                <c:pt idx="8">
                  <c:v>2.2002887237109605</c:v>
                </c:pt>
                <c:pt idx="9">
                  <c:v>2.353974720560664</c:v>
                </c:pt>
                <c:pt idx="10">
                  <c:v>2.353974720560664</c:v>
                </c:pt>
                <c:pt idx="11">
                  <c:v>2.353974720560664</c:v>
                </c:pt>
                <c:pt idx="12">
                  <c:v>2.353974720560664</c:v>
                </c:pt>
                <c:pt idx="13">
                  <c:v>2.2002887237109605</c:v>
                </c:pt>
                <c:pt idx="14">
                  <c:v>2.2002887237109605</c:v>
                </c:pt>
                <c:pt idx="15">
                  <c:v>2.1460411616256101</c:v>
                </c:pt>
                <c:pt idx="16">
                  <c:v>2.1460411616256101</c:v>
                </c:pt>
                <c:pt idx="17">
                  <c:v>2.0316657815696262</c:v>
                </c:pt>
                <c:pt idx="18">
                  <c:v>2.0316657815696262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E-4328-9C35-DA6BE4E736FC}"/>
            </c:ext>
          </c:extLst>
        </c:ser>
        <c:ser>
          <c:idx val="3"/>
          <c:order val="3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gráficos!$AH$7:$AZ$7</c:f>
              <c:numCache>
                <c:formatCode>General</c:formatCode>
                <c:ptCount val="19"/>
                <c:pt idx="0">
                  <c:v>3.6</c:v>
                </c:pt>
                <c:pt idx="1">
                  <c:v>4.4000000000000004</c:v>
                </c:pt>
                <c:pt idx="2">
                  <c:v>4</c:v>
                </c:pt>
                <c:pt idx="3">
                  <c:v>4</c:v>
                </c:pt>
                <c:pt idx="4">
                  <c:v>3.6</c:v>
                </c:pt>
                <c:pt idx="5">
                  <c:v>3.6</c:v>
                </c:pt>
                <c:pt idx="6">
                  <c:v>4.4000000000000004</c:v>
                </c:pt>
                <c:pt idx="7">
                  <c:v>4.4000000000000004</c:v>
                </c:pt>
                <c:pt idx="8">
                  <c:v>4</c:v>
                </c:pt>
                <c:pt idx="9">
                  <c:v>4</c:v>
                </c:pt>
                <c:pt idx="10">
                  <c:v>3.6</c:v>
                </c:pt>
                <c:pt idx="11">
                  <c:v>4.4000000000000004</c:v>
                </c:pt>
                <c:pt idx="12">
                  <c:v>4</c:v>
                </c:pt>
                <c:pt idx="13">
                  <c:v>4</c:v>
                </c:pt>
                <c:pt idx="14">
                  <c:v>3.6</c:v>
                </c:pt>
                <c:pt idx="15">
                  <c:v>3.6</c:v>
                </c:pt>
                <c:pt idx="16">
                  <c:v>4.4000000000000004</c:v>
                </c:pt>
                <c:pt idx="17">
                  <c:v>4.4000000000000004</c:v>
                </c:pt>
                <c:pt idx="18">
                  <c:v>4</c:v>
                </c:pt>
              </c:numCache>
            </c:numRef>
          </c:xVal>
          <c:yVal>
            <c:numRef>
              <c:f>gráficos!$N$7:$AF$7</c:f>
              <c:numCache>
                <c:formatCode>General</c:formatCode>
                <c:ptCount val="19"/>
                <c:pt idx="0">
                  <c:v>2.3618663112508647</c:v>
                </c:pt>
                <c:pt idx="1">
                  <c:v>2.3618663112508647</c:v>
                </c:pt>
                <c:pt idx="2">
                  <c:v>2.3618663112508647</c:v>
                </c:pt>
                <c:pt idx="3">
                  <c:v>2.6244548027767181</c:v>
                </c:pt>
                <c:pt idx="4">
                  <c:v>2.6244548027767181</c:v>
                </c:pt>
                <c:pt idx="5">
                  <c:v>2.7357393340059577</c:v>
                </c:pt>
                <c:pt idx="6">
                  <c:v>2.7357393340059577</c:v>
                </c:pt>
                <c:pt idx="7">
                  <c:v>2.8449397962567478</c:v>
                </c:pt>
                <c:pt idx="8">
                  <c:v>2.8449397962567478</c:v>
                </c:pt>
                <c:pt idx="9">
                  <c:v>3.1407517072227695</c:v>
                </c:pt>
                <c:pt idx="10">
                  <c:v>3.1407517072227695</c:v>
                </c:pt>
                <c:pt idx="11">
                  <c:v>3.1407517072227695</c:v>
                </c:pt>
                <c:pt idx="12">
                  <c:v>3.1407517072227695</c:v>
                </c:pt>
                <c:pt idx="13">
                  <c:v>2.8449397962567478</c:v>
                </c:pt>
                <c:pt idx="14">
                  <c:v>2.8449397962567478</c:v>
                </c:pt>
                <c:pt idx="15">
                  <c:v>2.7357393340059577</c:v>
                </c:pt>
                <c:pt idx="16">
                  <c:v>2.7357393340059577</c:v>
                </c:pt>
                <c:pt idx="17">
                  <c:v>2.6244548027767181</c:v>
                </c:pt>
                <c:pt idx="18">
                  <c:v>2.6244548027767181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EE-4328-9C35-DA6BE4E736FC}"/>
            </c:ext>
          </c:extLst>
        </c:ser>
        <c:ser>
          <c:idx val="4"/>
          <c:order val="4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gráficos!$AH$8:$AZ$8</c:f>
              <c:numCache>
                <c:formatCode>General</c:formatCode>
                <c:ptCount val="19"/>
                <c:pt idx="0">
                  <c:v>4.5999999999999996</c:v>
                </c:pt>
                <c:pt idx="1">
                  <c:v>5.4</c:v>
                </c:pt>
                <c:pt idx="2">
                  <c:v>5</c:v>
                </c:pt>
                <c:pt idx="3">
                  <c:v>5</c:v>
                </c:pt>
                <c:pt idx="4">
                  <c:v>4.5999999999999996</c:v>
                </c:pt>
                <c:pt idx="5">
                  <c:v>4.5999999999999996</c:v>
                </c:pt>
                <c:pt idx="6">
                  <c:v>5.4</c:v>
                </c:pt>
                <c:pt idx="7">
                  <c:v>5.4</c:v>
                </c:pt>
                <c:pt idx="8">
                  <c:v>5</c:v>
                </c:pt>
                <c:pt idx="9">
                  <c:v>5</c:v>
                </c:pt>
                <c:pt idx="10">
                  <c:v>4.5999999999999996</c:v>
                </c:pt>
                <c:pt idx="11">
                  <c:v>5.4</c:v>
                </c:pt>
                <c:pt idx="12">
                  <c:v>5</c:v>
                </c:pt>
                <c:pt idx="13">
                  <c:v>5</c:v>
                </c:pt>
                <c:pt idx="14">
                  <c:v>4.5999999999999996</c:v>
                </c:pt>
                <c:pt idx="15">
                  <c:v>4.5999999999999996</c:v>
                </c:pt>
                <c:pt idx="16">
                  <c:v>5.4</c:v>
                </c:pt>
                <c:pt idx="17">
                  <c:v>5.4</c:v>
                </c:pt>
                <c:pt idx="18">
                  <c:v>5</c:v>
                </c:pt>
              </c:numCache>
            </c:numRef>
          </c:xVal>
          <c:yVal>
            <c:numRef>
              <c:f>gráficos!$N$8:$AF$8</c:f>
              <c:numCache>
                <c:formatCode>General</c:formatCode>
                <c:ptCount val="19"/>
                <c:pt idx="0">
                  <c:v>3.0591515372868932</c:v>
                </c:pt>
                <c:pt idx="1">
                  <c:v>3.0591515372868932</c:v>
                </c:pt>
                <c:pt idx="2">
                  <c:v>3.0591515372868932</c:v>
                </c:pt>
                <c:pt idx="3">
                  <c:v>3.3329719341888628</c:v>
                </c:pt>
                <c:pt idx="4">
                  <c:v>3.3329719341888628</c:v>
                </c:pt>
                <c:pt idx="5">
                  <c:v>3.5100673024086504</c:v>
                </c:pt>
                <c:pt idx="6">
                  <c:v>3.5100673024086504</c:v>
                </c:pt>
                <c:pt idx="7">
                  <c:v>3.6197114208163428</c:v>
                </c:pt>
                <c:pt idx="8">
                  <c:v>3.6197114208163428</c:v>
                </c:pt>
                <c:pt idx="9">
                  <c:v>3.9926057827521588</c:v>
                </c:pt>
                <c:pt idx="10">
                  <c:v>3.9926057827521588</c:v>
                </c:pt>
                <c:pt idx="11">
                  <c:v>3.9926057827521588</c:v>
                </c:pt>
                <c:pt idx="12">
                  <c:v>3.9926057827521588</c:v>
                </c:pt>
                <c:pt idx="13">
                  <c:v>3.6197114208163428</c:v>
                </c:pt>
                <c:pt idx="14">
                  <c:v>3.6197114208163428</c:v>
                </c:pt>
                <c:pt idx="15">
                  <c:v>3.5100673024086504</c:v>
                </c:pt>
                <c:pt idx="16">
                  <c:v>3.5100673024086504</c:v>
                </c:pt>
                <c:pt idx="17">
                  <c:v>3.3329719341888628</c:v>
                </c:pt>
                <c:pt idx="18">
                  <c:v>3.3329719341888628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EE-4328-9C35-DA6BE4E736FC}"/>
            </c:ext>
          </c:extLst>
        </c:ser>
        <c:ser>
          <c:idx val="5"/>
          <c:order val="5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gráficos!$AH$9:$AZ$9</c:f>
              <c:numCache>
                <c:formatCode>General</c:formatCode>
                <c:ptCount val="19"/>
                <c:pt idx="0">
                  <c:v>5.6</c:v>
                </c:pt>
                <c:pt idx="1">
                  <c:v>6.4</c:v>
                </c:pt>
                <c:pt idx="2">
                  <c:v>6</c:v>
                </c:pt>
                <c:pt idx="3">
                  <c:v>6</c:v>
                </c:pt>
                <c:pt idx="4">
                  <c:v>5.6</c:v>
                </c:pt>
                <c:pt idx="5">
                  <c:v>5.6</c:v>
                </c:pt>
                <c:pt idx="6">
                  <c:v>6.4</c:v>
                </c:pt>
                <c:pt idx="7">
                  <c:v>6.4</c:v>
                </c:pt>
                <c:pt idx="8">
                  <c:v>6</c:v>
                </c:pt>
                <c:pt idx="9">
                  <c:v>6</c:v>
                </c:pt>
                <c:pt idx="10">
                  <c:v>5.6</c:v>
                </c:pt>
                <c:pt idx="11">
                  <c:v>6.4</c:v>
                </c:pt>
                <c:pt idx="12">
                  <c:v>6</c:v>
                </c:pt>
                <c:pt idx="13">
                  <c:v>6</c:v>
                </c:pt>
                <c:pt idx="14">
                  <c:v>5.6</c:v>
                </c:pt>
                <c:pt idx="15">
                  <c:v>5.6</c:v>
                </c:pt>
                <c:pt idx="16">
                  <c:v>6.4</c:v>
                </c:pt>
                <c:pt idx="17">
                  <c:v>6.4</c:v>
                </c:pt>
                <c:pt idx="18">
                  <c:v>6</c:v>
                </c:pt>
              </c:numCache>
            </c:numRef>
          </c:xVal>
          <c:yVal>
            <c:numRef>
              <c:f>gráficos!$N$9:$AF$9</c:f>
              <c:numCache>
                <c:formatCode>General</c:formatCode>
                <c:ptCount val="19"/>
                <c:pt idx="0">
                  <c:v>3.9658897659386221</c:v>
                </c:pt>
                <c:pt idx="1">
                  <c:v>3.9658897659386221</c:v>
                </c:pt>
                <c:pt idx="2">
                  <c:v>3.9658897659386221</c:v>
                </c:pt>
                <c:pt idx="3">
                  <c:v>4.3266869968361261</c:v>
                </c:pt>
                <c:pt idx="4">
                  <c:v>4.3266869968361261</c:v>
                </c:pt>
                <c:pt idx="5">
                  <c:v>4.4326476024163135</c:v>
                </c:pt>
                <c:pt idx="6">
                  <c:v>4.4326476024163135</c:v>
                </c:pt>
                <c:pt idx="7">
                  <c:v>4.7165789095643271</c:v>
                </c:pt>
                <c:pt idx="8">
                  <c:v>4.7165789095643271</c:v>
                </c:pt>
                <c:pt idx="9">
                  <c:v>5.2002390331871986</c:v>
                </c:pt>
                <c:pt idx="10">
                  <c:v>5.2002390331871986</c:v>
                </c:pt>
                <c:pt idx="11">
                  <c:v>5.2002390331871986</c:v>
                </c:pt>
                <c:pt idx="12">
                  <c:v>5.2002390331871986</c:v>
                </c:pt>
                <c:pt idx="13">
                  <c:v>4.7165789095643271</c:v>
                </c:pt>
                <c:pt idx="14">
                  <c:v>4.7165789095643271</c:v>
                </c:pt>
                <c:pt idx="15">
                  <c:v>4.4326476024163135</c:v>
                </c:pt>
                <c:pt idx="16">
                  <c:v>4.4326476024163135</c:v>
                </c:pt>
                <c:pt idx="17">
                  <c:v>4.3266869968361261</c:v>
                </c:pt>
                <c:pt idx="18">
                  <c:v>4.3266869968361261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EE-4328-9C35-DA6BE4E736FC}"/>
            </c:ext>
          </c:extLst>
        </c:ser>
        <c:ser>
          <c:idx val="6"/>
          <c:order val="6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gráficos!$AH$10:$AZ$10</c:f>
              <c:numCache>
                <c:formatCode>General</c:formatCode>
                <c:ptCount val="19"/>
                <c:pt idx="0">
                  <c:v>6.6</c:v>
                </c:pt>
                <c:pt idx="1">
                  <c:v>7.4</c:v>
                </c:pt>
                <c:pt idx="2">
                  <c:v>7</c:v>
                </c:pt>
                <c:pt idx="3">
                  <c:v>7</c:v>
                </c:pt>
                <c:pt idx="4">
                  <c:v>6.6</c:v>
                </c:pt>
                <c:pt idx="5">
                  <c:v>6.6</c:v>
                </c:pt>
                <c:pt idx="6">
                  <c:v>7.4</c:v>
                </c:pt>
                <c:pt idx="7">
                  <c:v>7.4</c:v>
                </c:pt>
                <c:pt idx="8">
                  <c:v>7</c:v>
                </c:pt>
                <c:pt idx="9">
                  <c:v>7</c:v>
                </c:pt>
                <c:pt idx="10">
                  <c:v>6.6</c:v>
                </c:pt>
                <c:pt idx="11">
                  <c:v>7.4</c:v>
                </c:pt>
                <c:pt idx="12">
                  <c:v>7</c:v>
                </c:pt>
                <c:pt idx="13">
                  <c:v>7</c:v>
                </c:pt>
                <c:pt idx="14">
                  <c:v>6.6</c:v>
                </c:pt>
                <c:pt idx="15">
                  <c:v>6.6</c:v>
                </c:pt>
                <c:pt idx="16">
                  <c:v>7.4</c:v>
                </c:pt>
                <c:pt idx="17">
                  <c:v>7.4</c:v>
                </c:pt>
                <c:pt idx="18">
                  <c:v>7</c:v>
                </c:pt>
              </c:numCache>
            </c:numRef>
          </c:xVal>
          <c:yVal>
            <c:numRef>
              <c:f>gráficos!$N$10:$AF$10</c:f>
              <c:numCache>
                <c:formatCode>General</c:formatCode>
                <c:ptCount val="19"/>
                <c:pt idx="0">
                  <c:v>4.9020850229573298</c:v>
                </c:pt>
                <c:pt idx="1">
                  <c:v>4.9020850229573298</c:v>
                </c:pt>
                <c:pt idx="2">
                  <c:v>4.9020850229573298</c:v>
                </c:pt>
                <c:pt idx="3">
                  <c:v>5.5062163173334921</c:v>
                </c:pt>
                <c:pt idx="4">
                  <c:v>5.5062163173334921</c:v>
                </c:pt>
                <c:pt idx="5">
                  <c:v>5.7677695754215517</c:v>
                </c:pt>
                <c:pt idx="6">
                  <c:v>5.7677695754215517</c:v>
                </c:pt>
                <c:pt idx="7">
                  <c:v>6.0715291742640165</c:v>
                </c:pt>
                <c:pt idx="8">
                  <c:v>6.0715291742640165</c:v>
                </c:pt>
                <c:pt idx="9">
                  <c:v>6.6098170284030928</c:v>
                </c:pt>
                <c:pt idx="10">
                  <c:v>6.6098170284030928</c:v>
                </c:pt>
                <c:pt idx="11">
                  <c:v>6.6098170284030928</c:v>
                </c:pt>
                <c:pt idx="12">
                  <c:v>6.6098170284030928</c:v>
                </c:pt>
                <c:pt idx="13">
                  <c:v>6.0715291742640165</c:v>
                </c:pt>
                <c:pt idx="14">
                  <c:v>6.0715291742640165</c:v>
                </c:pt>
                <c:pt idx="15">
                  <c:v>5.7677695754215517</c:v>
                </c:pt>
                <c:pt idx="16">
                  <c:v>5.7677695754215517</c:v>
                </c:pt>
                <c:pt idx="17">
                  <c:v>5.5062163173334921</c:v>
                </c:pt>
                <c:pt idx="18">
                  <c:v>5.5062163173334921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EE-4328-9C35-DA6BE4E736FC}"/>
            </c:ext>
          </c:extLst>
        </c:ser>
        <c:ser>
          <c:idx val="7"/>
          <c:order val="7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gráficos!$AH$11:$AZ$11</c:f>
              <c:numCache>
                <c:formatCode>General</c:formatCode>
                <c:ptCount val="19"/>
                <c:pt idx="0">
                  <c:v>7.6</c:v>
                </c:pt>
                <c:pt idx="1">
                  <c:v>8.4</c:v>
                </c:pt>
                <c:pt idx="2">
                  <c:v>8</c:v>
                </c:pt>
                <c:pt idx="3">
                  <c:v>8</c:v>
                </c:pt>
                <c:pt idx="4">
                  <c:v>7.6</c:v>
                </c:pt>
                <c:pt idx="5">
                  <c:v>7.6</c:v>
                </c:pt>
                <c:pt idx="6">
                  <c:v>8.4</c:v>
                </c:pt>
                <c:pt idx="7">
                  <c:v>8.4</c:v>
                </c:pt>
                <c:pt idx="8">
                  <c:v>8</c:v>
                </c:pt>
                <c:pt idx="9">
                  <c:v>8</c:v>
                </c:pt>
                <c:pt idx="10">
                  <c:v>7.6</c:v>
                </c:pt>
                <c:pt idx="11">
                  <c:v>8.4</c:v>
                </c:pt>
                <c:pt idx="12">
                  <c:v>8</c:v>
                </c:pt>
                <c:pt idx="13">
                  <c:v>8</c:v>
                </c:pt>
                <c:pt idx="14">
                  <c:v>7.6</c:v>
                </c:pt>
                <c:pt idx="15">
                  <c:v>7.6</c:v>
                </c:pt>
                <c:pt idx="16">
                  <c:v>8.4</c:v>
                </c:pt>
                <c:pt idx="17">
                  <c:v>8.4</c:v>
                </c:pt>
                <c:pt idx="18">
                  <c:v>8</c:v>
                </c:pt>
              </c:numCache>
            </c:numRef>
          </c:xVal>
          <c:yVal>
            <c:numRef>
              <c:f>gráficos!$N$11:$AF$11</c:f>
              <c:numCache>
                <c:formatCode>General</c:formatCode>
                <c:ptCount val="19"/>
                <c:pt idx="0">
                  <c:v>6.3193253919068306</c:v>
                </c:pt>
                <c:pt idx="1">
                  <c:v>6.3193253919068306</c:v>
                </c:pt>
                <c:pt idx="2">
                  <c:v>6.3193253919068306</c:v>
                </c:pt>
                <c:pt idx="3">
                  <c:v>6.9100301458886033</c:v>
                </c:pt>
                <c:pt idx="4">
                  <c:v>6.9100301458886033</c:v>
                </c:pt>
                <c:pt idx="5">
                  <c:v>7.4052062665068963</c:v>
                </c:pt>
                <c:pt idx="6">
                  <c:v>7.4052062665068963</c:v>
                </c:pt>
                <c:pt idx="7">
                  <c:v>7.8264930491999536</c:v>
                </c:pt>
                <c:pt idx="8">
                  <c:v>7.8264930491999536</c:v>
                </c:pt>
                <c:pt idx="9">
                  <c:v>8.8520560390281098</c:v>
                </c:pt>
                <c:pt idx="10">
                  <c:v>8.8520560390281098</c:v>
                </c:pt>
                <c:pt idx="11">
                  <c:v>8.8520560390281098</c:v>
                </c:pt>
                <c:pt idx="12">
                  <c:v>8.8520560390281098</c:v>
                </c:pt>
                <c:pt idx="13">
                  <c:v>7.8264930491999536</c:v>
                </c:pt>
                <c:pt idx="14">
                  <c:v>7.8264930491999536</c:v>
                </c:pt>
                <c:pt idx="15">
                  <c:v>7.4052062665068963</c:v>
                </c:pt>
                <c:pt idx="16">
                  <c:v>7.4052062665068963</c:v>
                </c:pt>
                <c:pt idx="17">
                  <c:v>6.9100301458886033</c:v>
                </c:pt>
                <c:pt idx="18">
                  <c:v>6.9100301458886033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EE-4328-9C35-DA6BE4E736FC}"/>
            </c:ext>
          </c:extLst>
        </c:ser>
        <c:ser>
          <c:idx val="8"/>
          <c:order val="8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gráficos!$AH$12:$AZ$12</c:f>
              <c:numCache>
                <c:formatCode>General</c:formatCode>
                <c:ptCount val="19"/>
                <c:pt idx="0">
                  <c:v>8.6</c:v>
                </c:pt>
                <c:pt idx="1">
                  <c:v>9.4</c:v>
                </c:pt>
                <c:pt idx="2">
                  <c:v>9</c:v>
                </c:pt>
                <c:pt idx="3">
                  <c:v>9</c:v>
                </c:pt>
                <c:pt idx="4">
                  <c:v>8.6</c:v>
                </c:pt>
                <c:pt idx="5">
                  <c:v>8.6</c:v>
                </c:pt>
                <c:pt idx="6">
                  <c:v>9.4</c:v>
                </c:pt>
                <c:pt idx="7">
                  <c:v>9.4</c:v>
                </c:pt>
                <c:pt idx="8">
                  <c:v>9</c:v>
                </c:pt>
                <c:pt idx="9">
                  <c:v>9</c:v>
                </c:pt>
                <c:pt idx="10">
                  <c:v>8.6</c:v>
                </c:pt>
                <c:pt idx="11">
                  <c:v>9.4</c:v>
                </c:pt>
                <c:pt idx="12">
                  <c:v>9</c:v>
                </c:pt>
                <c:pt idx="13">
                  <c:v>9</c:v>
                </c:pt>
                <c:pt idx="14">
                  <c:v>8.6</c:v>
                </c:pt>
                <c:pt idx="15">
                  <c:v>8.6</c:v>
                </c:pt>
                <c:pt idx="16">
                  <c:v>9.4</c:v>
                </c:pt>
                <c:pt idx="17">
                  <c:v>9.4</c:v>
                </c:pt>
                <c:pt idx="18">
                  <c:v>9</c:v>
                </c:pt>
              </c:numCache>
            </c:numRef>
          </c:xVal>
          <c:yVal>
            <c:numRef>
              <c:f>gráficos!$N$12:$AF$12</c:f>
              <c:numCache>
                <c:formatCode>General</c:formatCode>
                <c:ptCount val="19"/>
                <c:pt idx="0">
                  <c:v>8.0914924554513679</c:v>
                </c:pt>
                <c:pt idx="1">
                  <c:v>8.0914924554513679</c:v>
                </c:pt>
                <c:pt idx="2">
                  <c:v>8.0914924554513679</c:v>
                </c:pt>
                <c:pt idx="3">
                  <c:v>8.8563515723455879</c:v>
                </c:pt>
                <c:pt idx="4">
                  <c:v>8.8563515723455879</c:v>
                </c:pt>
                <c:pt idx="5">
                  <c:v>9.6023749942071515</c:v>
                </c:pt>
                <c:pt idx="6">
                  <c:v>9.6023749942071515</c:v>
                </c:pt>
                <c:pt idx="7">
                  <c:v>10.236385709022315</c:v>
                </c:pt>
                <c:pt idx="8">
                  <c:v>10.236385709022315</c:v>
                </c:pt>
                <c:pt idx="9">
                  <c:v>11.191315936654252</c:v>
                </c:pt>
                <c:pt idx="10">
                  <c:v>11.191315936654252</c:v>
                </c:pt>
                <c:pt idx="11">
                  <c:v>11.191315936654252</c:v>
                </c:pt>
                <c:pt idx="12">
                  <c:v>11.191315936654252</c:v>
                </c:pt>
                <c:pt idx="13">
                  <c:v>10.236385709022315</c:v>
                </c:pt>
                <c:pt idx="14">
                  <c:v>10.236385709022315</c:v>
                </c:pt>
                <c:pt idx="15">
                  <c:v>9.6023749942071515</c:v>
                </c:pt>
                <c:pt idx="16">
                  <c:v>9.6023749942071515</c:v>
                </c:pt>
                <c:pt idx="17">
                  <c:v>8.8563515723455879</c:v>
                </c:pt>
                <c:pt idx="18">
                  <c:v>8.8563515723455879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EEE-4328-9C35-DA6BE4E736FC}"/>
            </c:ext>
          </c:extLst>
        </c:ser>
        <c:ser>
          <c:idx val="9"/>
          <c:order val="9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gráficos!$AH$13:$AZ$13</c:f>
              <c:numCache>
                <c:formatCode>General</c:formatCode>
                <c:ptCount val="19"/>
                <c:pt idx="0">
                  <c:v>9.6</c:v>
                </c:pt>
                <c:pt idx="1">
                  <c:v>10.4</c:v>
                </c:pt>
                <c:pt idx="2">
                  <c:v>10</c:v>
                </c:pt>
                <c:pt idx="3">
                  <c:v>10</c:v>
                </c:pt>
                <c:pt idx="4">
                  <c:v>9.6</c:v>
                </c:pt>
                <c:pt idx="5">
                  <c:v>9.6</c:v>
                </c:pt>
                <c:pt idx="6">
                  <c:v>10.4</c:v>
                </c:pt>
                <c:pt idx="7">
                  <c:v>10.4</c:v>
                </c:pt>
                <c:pt idx="8">
                  <c:v>10</c:v>
                </c:pt>
                <c:pt idx="9">
                  <c:v>10</c:v>
                </c:pt>
                <c:pt idx="10">
                  <c:v>9.6</c:v>
                </c:pt>
                <c:pt idx="11">
                  <c:v>10.4</c:v>
                </c:pt>
                <c:pt idx="12">
                  <c:v>10</c:v>
                </c:pt>
                <c:pt idx="13">
                  <c:v>10</c:v>
                </c:pt>
                <c:pt idx="14">
                  <c:v>9.6</c:v>
                </c:pt>
                <c:pt idx="15">
                  <c:v>9.6</c:v>
                </c:pt>
                <c:pt idx="16">
                  <c:v>10.4</c:v>
                </c:pt>
                <c:pt idx="17">
                  <c:v>10.4</c:v>
                </c:pt>
                <c:pt idx="18">
                  <c:v>10</c:v>
                </c:pt>
              </c:numCache>
            </c:numRef>
          </c:xVal>
          <c:yVal>
            <c:numRef>
              <c:f>gráficos!$N$13:$AF$13</c:f>
              <c:numCache>
                <c:formatCode>General</c:formatCode>
                <c:ptCount val="19"/>
                <c:pt idx="0">
                  <c:v>10.151177744284194</c:v>
                </c:pt>
                <c:pt idx="1">
                  <c:v>10.151177744284194</c:v>
                </c:pt>
                <c:pt idx="2">
                  <c:v>10.151177744284194</c:v>
                </c:pt>
                <c:pt idx="3">
                  <c:v>11.202121307592781</c:v>
                </c:pt>
                <c:pt idx="4">
                  <c:v>11.202121307592781</c:v>
                </c:pt>
                <c:pt idx="5">
                  <c:v>12.414736858751784</c:v>
                </c:pt>
                <c:pt idx="6">
                  <c:v>12.414736858751784</c:v>
                </c:pt>
                <c:pt idx="7">
                  <c:v>13.072042483580899</c:v>
                </c:pt>
                <c:pt idx="8">
                  <c:v>13.072042483580899</c:v>
                </c:pt>
                <c:pt idx="9">
                  <c:v>14.707670832058746</c:v>
                </c:pt>
                <c:pt idx="10">
                  <c:v>14.707670832058746</c:v>
                </c:pt>
                <c:pt idx="11">
                  <c:v>14.707670832058746</c:v>
                </c:pt>
                <c:pt idx="12">
                  <c:v>14.707670832058746</c:v>
                </c:pt>
                <c:pt idx="13">
                  <c:v>13.072042483580899</c:v>
                </c:pt>
                <c:pt idx="14">
                  <c:v>13.072042483580899</c:v>
                </c:pt>
                <c:pt idx="15">
                  <c:v>12.414736858751784</c:v>
                </c:pt>
                <c:pt idx="16">
                  <c:v>12.414736858751784</c:v>
                </c:pt>
                <c:pt idx="17">
                  <c:v>11.202121307592781</c:v>
                </c:pt>
                <c:pt idx="18">
                  <c:v>11.202121307592781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EE-4328-9C35-DA6BE4E736FC}"/>
            </c:ext>
          </c:extLst>
        </c:ser>
        <c:ser>
          <c:idx val="10"/>
          <c:order val="10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gráficos!$AH$14:$AZ$14</c:f>
              <c:numCache>
                <c:formatCode>General</c:formatCode>
                <c:ptCount val="19"/>
                <c:pt idx="0">
                  <c:v>10.6</c:v>
                </c:pt>
                <c:pt idx="1">
                  <c:v>11.4</c:v>
                </c:pt>
                <c:pt idx="2">
                  <c:v>11</c:v>
                </c:pt>
                <c:pt idx="3">
                  <c:v>11</c:v>
                </c:pt>
                <c:pt idx="4">
                  <c:v>10.6</c:v>
                </c:pt>
                <c:pt idx="5">
                  <c:v>10.6</c:v>
                </c:pt>
                <c:pt idx="6">
                  <c:v>11.4</c:v>
                </c:pt>
                <c:pt idx="7">
                  <c:v>11.4</c:v>
                </c:pt>
                <c:pt idx="8">
                  <c:v>11</c:v>
                </c:pt>
                <c:pt idx="9">
                  <c:v>11</c:v>
                </c:pt>
                <c:pt idx="10">
                  <c:v>10.6</c:v>
                </c:pt>
                <c:pt idx="11">
                  <c:v>11.4</c:v>
                </c:pt>
                <c:pt idx="12">
                  <c:v>11</c:v>
                </c:pt>
                <c:pt idx="13">
                  <c:v>11</c:v>
                </c:pt>
                <c:pt idx="14">
                  <c:v>10.6</c:v>
                </c:pt>
                <c:pt idx="15">
                  <c:v>10.6</c:v>
                </c:pt>
                <c:pt idx="16">
                  <c:v>11.4</c:v>
                </c:pt>
                <c:pt idx="17">
                  <c:v>11.4</c:v>
                </c:pt>
                <c:pt idx="18">
                  <c:v>11</c:v>
                </c:pt>
              </c:numCache>
            </c:numRef>
          </c:xVal>
          <c:yVal>
            <c:numRef>
              <c:f>gráficos!$N$14:$AF$14</c:f>
              <c:numCache>
                <c:formatCode>General</c:formatCode>
                <c:ptCount val="19"/>
                <c:pt idx="0">
                  <c:v>12.969738641077829</c:v>
                </c:pt>
                <c:pt idx="1">
                  <c:v>12.969738641077829</c:v>
                </c:pt>
                <c:pt idx="2">
                  <c:v>12.969738641077829</c:v>
                </c:pt>
                <c:pt idx="3">
                  <c:v>14.294473850704446</c:v>
                </c:pt>
                <c:pt idx="4">
                  <c:v>14.294473850704446</c:v>
                </c:pt>
                <c:pt idx="5">
                  <c:v>15.726013676822737</c:v>
                </c:pt>
                <c:pt idx="6">
                  <c:v>15.726013676822737</c:v>
                </c:pt>
                <c:pt idx="7">
                  <c:v>17.054065027124743</c:v>
                </c:pt>
                <c:pt idx="8">
                  <c:v>17.054065027124743</c:v>
                </c:pt>
                <c:pt idx="9">
                  <c:v>19.02129756537984</c:v>
                </c:pt>
                <c:pt idx="10">
                  <c:v>19.02129756537984</c:v>
                </c:pt>
                <c:pt idx="11">
                  <c:v>19.02129756537984</c:v>
                </c:pt>
                <c:pt idx="12">
                  <c:v>19.02129756537984</c:v>
                </c:pt>
                <c:pt idx="13">
                  <c:v>17.054065027124743</c:v>
                </c:pt>
                <c:pt idx="14">
                  <c:v>17.054065027124743</c:v>
                </c:pt>
                <c:pt idx="15">
                  <c:v>15.726013676822737</c:v>
                </c:pt>
                <c:pt idx="16">
                  <c:v>15.726013676822737</c:v>
                </c:pt>
                <c:pt idx="17">
                  <c:v>14.294473850704446</c:v>
                </c:pt>
                <c:pt idx="18">
                  <c:v>14.294473850704446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EEE-4328-9C35-DA6BE4E736FC}"/>
            </c:ext>
          </c:extLst>
        </c:ser>
        <c:ser>
          <c:idx val="11"/>
          <c:order val="11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gráficos!$AH$15:$AZ$15</c:f>
              <c:numCache>
                <c:formatCode>General</c:formatCode>
                <c:ptCount val="19"/>
                <c:pt idx="0">
                  <c:v>11.6</c:v>
                </c:pt>
                <c:pt idx="1">
                  <c:v>12.4</c:v>
                </c:pt>
                <c:pt idx="2">
                  <c:v>12</c:v>
                </c:pt>
                <c:pt idx="3">
                  <c:v>12</c:v>
                </c:pt>
                <c:pt idx="4">
                  <c:v>11.6</c:v>
                </c:pt>
                <c:pt idx="5">
                  <c:v>11.6</c:v>
                </c:pt>
                <c:pt idx="6">
                  <c:v>12.4</c:v>
                </c:pt>
                <c:pt idx="7">
                  <c:v>12.4</c:v>
                </c:pt>
                <c:pt idx="8">
                  <c:v>12</c:v>
                </c:pt>
                <c:pt idx="9">
                  <c:v>12</c:v>
                </c:pt>
                <c:pt idx="10">
                  <c:v>11.6</c:v>
                </c:pt>
                <c:pt idx="11">
                  <c:v>12.4</c:v>
                </c:pt>
                <c:pt idx="12">
                  <c:v>12</c:v>
                </c:pt>
                <c:pt idx="13">
                  <c:v>12</c:v>
                </c:pt>
                <c:pt idx="14">
                  <c:v>11.6</c:v>
                </c:pt>
                <c:pt idx="15">
                  <c:v>11.6</c:v>
                </c:pt>
                <c:pt idx="16">
                  <c:v>12.4</c:v>
                </c:pt>
                <c:pt idx="17">
                  <c:v>12.4</c:v>
                </c:pt>
                <c:pt idx="18">
                  <c:v>12</c:v>
                </c:pt>
              </c:numCache>
            </c:numRef>
          </c:xVal>
          <c:yVal>
            <c:numRef>
              <c:f>gráficos!$N$15:$AF$15</c:f>
              <c:numCache>
                <c:formatCode>General</c:formatCode>
                <c:ptCount val="19"/>
                <c:pt idx="0">
                  <c:v>16.686897221317956</c:v>
                </c:pt>
                <c:pt idx="1">
                  <c:v>16.686897221317956</c:v>
                </c:pt>
                <c:pt idx="2">
                  <c:v>16.686897221317956</c:v>
                </c:pt>
                <c:pt idx="3">
                  <c:v>18.473224860666761</c:v>
                </c:pt>
                <c:pt idx="4">
                  <c:v>18.473224860666761</c:v>
                </c:pt>
                <c:pt idx="5">
                  <c:v>20.408389093915581</c:v>
                </c:pt>
                <c:pt idx="6">
                  <c:v>20.408389093915581</c:v>
                </c:pt>
                <c:pt idx="7">
                  <c:v>21.893483371945621</c:v>
                </c:pt>
                <c:pt idx="8">
                  <c:v>21.893483371945621</c:v>
                </c:pt>
                <c:pt idx="9">
                  <c:v>25.538437000232069</c:v>
                </c:pt>
                <c:pt idx="10">
                  <c:v>25.538437000232069</c:v>
                </c:pt>
                <c:pt idx="11">
                  <c:v>25.538437000232069</c:v>
                </c:pt>
                <c:pt idx="12">
                  <c:v>25.538437000232069</c:v>
                </c:pt>
                <c:pt idx="13">
                  <c:v>21.893483371945621</c:v>
                </c:pt>
                <c:pt idx="14">
                  <c:v>21.893483371945621</c:v>
                </c:pt>
                <c:pt idx="15">
                  <c:v>20.408389093915581</c:v>
                </c:pt>
                <c:pt idx="16">
                  <c:v>20.408389093915581</c:v>
                </c:pt>
                <c:pt idx="17">
                  <c:v>18.473224860666761</c:v>
                </c:pt>
                <c:pt idx="18">
                  <c:v>18.473224860666761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EE-4328-9C35-DA6BE4E736FC}"/>
            </c:ext>
          </c:extLst>
        </c:ser>
        <c:ser>
          <c:idx val="12"/>
          <c:order val="12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gráficos!$AH$16:$AZ$16</c:f>
              <c:numCache>
                <c:formatCode>General</c:formatCode>
                <c:ptCount val="19"/>
                <c:pt idx="0">
                  <c:v>12.6</c:v>
                </c:pt>
                <c:pt idx="1">
                  <c:v>13.4</c:v>
                </c:pt>
                <c:pt idx="2">
                  <c:v>13</c:v>
                </c:pt>
                <c:pt idx="3">
                  <c:v>13</c:v>
                </c:pt>
                <c:pt idx="4">
                  <c:v>12.6</c:v>
                </c:pt>
                <c:pt idx="5">
                  <c:v>12.6</c:v>
                </c:pt>
                <c:pt idx="6">
                  <c:v>13.4</c:v>
                </c:pt>
                <c:pt idx="7">
                  <c:v>13.4</c:v>
                </c:pt>
                <c:pt idx="8">
                  <c:v>13</c:v>
                </c:pt>
                <c:pt idx="9">
                  <c:v>13</c:v>
                </c:pt>
                <c:pt idx="10">
                  <c:v>12.6</c:v>
                </c:pt>
                <c:pt idx="11">
                  <c:v>13.4</c:v>
                </c:pt>
                <c:pt idx="12">
                  <c:v>13</c:v>
                </c:pt>
                <c:pt idx="13">
                  <c:v>13</c:v>
                </c:pt>
                <c:pt idx="14">
                  <c:v>12.6</c:v>
                </c:pt>
                <c:pt idx="15">
                  <c:v>12.6</c:v>
                </c:pt>
                <c:pt idx="16">
                  <c:v>13.4</c:v>
                </c:pt>
                <c:pt idx="17">
                  <c:v>13.4</c:v>
                </c:pt>
                <c:pt idx="18">
                  <c:v>13</c:v>
                </c:pt>
              </c:numCache>
            </c:numRef>
          </c:xVal>
          <c:yVal>
            <c:numRef>
              <c:f>gráficos!$N$16:$AF$16</c:f>
              <c:numCache>
                <c:formatCode>General</c:formatCode>
                <c:ptCount val="19"/>
                <c:pt idx="0">
                  <c:v>21.299433901916096</c:v>
                </c:pt>
                <c:pt idx="1">
                  <c:v>21.299433901916096</c:v>
                </c:pt>
                <c:pt idx="2">
                  <c:v>21.299433901916096</c:v>
                </c:pt>
                <c:pt idx="3">
                  <c:v>23.880240486911603</c:v>
                </c:pt>
                <c:pt idx="4">
                  <c:v>23.880240486911603</c:v>
                </c:pt>
                <c:pt idx="5">
                  <c:v>26.213178425253123</c:v>
                </c:pt>
                <c:pt idx="6">
                  <c:v>26.213178425253123</c:v>
                </c:pt>
                <c:pt idx="7">
                  <c:v>28.41173566450427</c:v>
                </c:pt>
                <c:pt idx="8">
                  <c:v>28.41173566450427</c:v>
                </c:pt>
                <c:pt idx="9">
                  <c:v>33.480216811849857</c:v>
                </c:pt>
                <c:pt idx="10">
                  <c:v>33.480216811849857</c:v>
                </c:pt>
                <c:pt idx="11">
                  <c:v>33.480216811849857</c:v>
                </c:pt>
                <c:pt idx="12">
                  <c:v>33.480216811849857</c:v>
                </c:pt>
                <c:pt idx="13">
                  <c:v>28.41173566450427</c:v>
                </c:pt>
                <c:pt idx="14">
                  <c:v>28.41173566450427</c:v>
                </c:pt>
                <c:pt idx="15">
                  <c:v>26.213178425253123</c:v>
                </c:pt>
                <c:pt idx="16">
                  <c:v>26.213178425253123</c:v>
                </c:pt>
                <c:pt idx="17">
                  <c:v>23.880240486911603</c:v>
                </c:pt>
                <c:pt idx="18">
                  <c:v>23.880240486911603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EEE-4328-9C35-DA6BE4E736FC}"/>
            </c:ext>
          </c:extLst>
        </c:ser>
        <c:ser>
          <c:idx val="13"/>
          <c:order val="13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gráficos!$AH$17:$AZ$17</c:f>
              <c:numCache>
                <c:formatCode>General</c:formatCode>
                <c:ptCount val="19"/>
                <c:pt idx="0">
                  <c:v>13.6</c:v>
                </c:pt>
                <c:pt idx="1">
                  <c:v>14.4</c:v>
                </c:pt>
                <c:pt idx="2">
                  <c:v>14</c:v>
                </c:pt>
                <c:pt idx="3">
                  <c:v>14</c:v>
                </c:pt>
                <c:pt idx="4">
                  <c:v>13.6</c:v>
                </c:pt>
                <c:pt idx="5">
                  <c:v>13.6</c:v>
                </c:pt>
                <c:pt idx="6">
                  <c:v>14.4</c:v>
                </c:pt>
                <c:pt idx="7">
                  <c:v>14.4</c:v>
                </c:pt>
                <c:pt idx="8">
                  <c:v>14</c:v>
                </c:pt>
                <c:pt idx="9">
                  <c:v>14</c:v>
                </c:pt>
                <c:pt idx="10">
                  <c:v>13.6</c:v>
                </c:pt>
                <c:pt idx="11">
                  <c:v>14.4</c:v>
                </c:pt>
                <c:pt idx="12">
                  <c:v>14</c:v>
                </c:pt>
                <c:pt idx="13">
                  <c:v>14</c:v>
                </c:pt>
                <c:pt idx="14">
                  <c:v>13.6</c:v>
                </c:pt>
                <c:pt idx="15">
                  <c:v>13.6</c:v>
                </c:pt>
                <c:pt idx="16">
                  <c:v>14.4</c:v>
                </c:pt>
                <c:pt idx="17">
                  <c:v>14.4</c:v>
                </c:pt>
                <c:pt idx="18">
                  <c:v>14</c:v>
                </c:pt>
              </c:numCache>
            </c:numRef>
          </c:xVal>
          <c:yVal>
            <c:numRef>
              <c:f>gráficos!$N$17:$AF$17</c:f>
              <c:numCache>
                <c:formatCode>General</c:formatCode>
                <c:ptCount val="19"/>
                <c:pt idx="0">
                  <c:v>27.460290159725037</c:v>
                </c:pt>
                <c:pt idx="1">
                  <c:v>27.460290159725037</c:v>
                </c:pt>
                <c:pt idx="2">
                  <c:v>27.460290159725037</c:v>
                </c:pt>
                <c:pt idx="3">
                  <c:v>30.262731405940471</c:v>
                </c:pt>
                <c:pt idx="4">
                  <c:v>30.262731405940471</c:v>
                </c:pt>
                <c:pt idx="5">
                  <c:v>33.155273147066112</c:v>
                </c:pt>
                <c:pt idx="6">
                  <c:v>33.155273147066112</c:v>
                </c:pt>
                <c:pt idx="7">
                  <c:v>36.488315574672868</c:v>
                </c:pt>
                <c:pt idx="8">
                  <c:v>36.488315574672868</c:v>
                </c:pt>
                <c:pt idx="9">
                  <c:v>41.692394765506251</c:v>
                </c:pt>
                <c:pt idx="10">
                  <c:v>41.692394765506251</c:v>
                </c:pt>
                <c:pt idx="11">
                  <c:v>41.692394765506251</c:v>
                </c:pt>
                <c:pt idx="12">
                  <c:v>41.692394765506251</c:v>
                </c:pt>
                <c:pt idx="13">
                  <c:v>36.488315574672868</c:v>
                </c:pt>
                <c:pt idx="14">
                  <c:v>36.488315574672868</c:v>
                </c:pt>
                <c:pt idx="15">
                  <c:v>33.155273147066112</c:v>
                </c:pt>
                <c:pt idx="16">
                  <c:v>33.155273147066112</c:v>
                </c:pt>
                <c:pt idx="17">
                  <c:v>30.262731405940471</c:v>
                </c:pt>
                <c:pt idx="18">
                  <c:v>30.262731405940471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EEE-4328-9C35-DA6BE4E736FC}"/>
            </c:ext>
          </c:extLst>
        </c:ser>
        <c:ser>
          <c:idx val="14"/>
          <c:order val="14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gráficos!$AH$18:$AZ$18</c:f>
              <c:numCache>
                <c:formatCode>General</c:formatCode>
                <c:ptCount val="19"/>
                <c:pt idx="0">
                  <c:v>14.6</c:v>
                </c:pt>
                <c:pt idx="1">
                  <c:v>15.4</c:v>
                </c:pt>
                <c:pt idx="2">
                  <c:v>15</c:v>
                </c:pt>
                <c:pt idx="3">
                  <c:v>15</c:v>
                </c:pt>
                <c:pt idx="4">
                  <c:v>14.6</c:v>
                </c:pt>
                <c:pt idx="5">
                  <c:v>14.6</c:v>
                </c:pt>
                <c:pt idx="6">
                  <c:v>15.4</c:v>
                </c:pt>
                <c:pt idx="7">
                  <c:v>15.4</c:v>
                </c:pt>
                <c:pt idx="8">
                  <c:v>15</c:v>
                </c:pt>
                <c:pt idx="9">
                  <c:v>15</c:v>
                </c:pt>
                <c:pt idx="10">
                  <c:v>14.6</c:v>
                </c:pt>
                <c:pt idx="11">
                  <c:v>15.4</c:v>
                </c:pt>
                <c:pt idx="12">
                  <c:v>15</c:v>
                </c:pt>
                <c:pt idx="13">
                  <c:v>15</c:v>
                </c:pt>
                <c:pt idx="14">
                  <c:v>14.6</c:v>
                </c:pt>
                <c:pt idx="15">
                  <c:v>14.6</c:v>
                </c:pt>
                <c:pt idx="16">
                  <c:v>15.4</c:v>
                </c:pt>
                <c:pt idx="17">
                  <c:v>15.4</c:v>
                </c:pt>
                <c:pt idx="18">
                  <c:v>15</c:v>
                </c:pt>
              </c:numCache>
            </c:numRef>
          </c:xVal>
          <c:yVal>
            <c:numRef>
              <c:f>gráficos!$N$18:$AF$18</c:f>
              <c:numCache>
                <c:formatCode>General</c:formatCode>
                <c:ptCount val="19"/>
                <c:pt idx="0">
                  <c:v>36.231233513749594</c:v>
                </c:pt>
                <c:pt idx="1">
                  <c:v>36.231233513749594</c:v>
                </c:pt>
                <c:pt idx="2">
                  <c:v>36.231233513749594</c:v>
                </c:pt>
                <c:pt idx="3">
                  <c:v>39.754148581033839</c:v>
                </c:pt>
                <c:pt idx="4">
                  <c:v>39.754148581033839</c:v>
                </c:pt>
                <c:pt idx="5">
                  <c:v>43.491837108181372</c:v>
                </c:pt>
                <c:pt idx="6">
                  <c:v>43.491837108181372</c:v>
                </c:pt>
                <c:pt idx="7">
                  <c:v>47.352652238256788</c:v>
                </c:pt>
                <c:pt idx="8">
                  <c:v>47.352652238256788</c:v>
                </c:pt>
                <c:pt idx="9">
                  <c:v>52.874430956242371</c:v>
                </c:pt>
                <c:pt idx="10">
                  <c:v>52.874430956242371</c:v>
                </c:pt>
                <c:pt idx="11">
                  <c:v>52.874430956242371</c:v>
                </c:pt>
                <c:pt idx="12">
                  <c:v>52.874430956242371</c:v>
                </c:pt>
                <c:pt idx="13">
                  <c:v>47.352652238256788</c:v>
                </c:pt>
                <c:pt idx="14">
                  <c:v>47.352652238256788</c:v>
                </c:pt>
                <c:pt idx="15">
                  <c:v>43.491837108181372</c:v>
                </c:pt>
                <c:pt idx="16">
                  <c:v>43.491837108181372</c:v>
                </c:pt>
                <c:pt idx="17">
                  <c:v>39.754148581033839</c:v>
                </c:pt>
                <c:pt idx="18">
                  <c:v>39.754148581033839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EEE-4328-9C35-DA6BE4E736FC}"/>
            </c:ext>
          </c:extLst>
        </c:ser>
        <c:ser>
          <c:idx val="15"/>
          <c:order val="15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gráficos!$AH$19:$AZ$19</c:f>
              <c:numCache>
                <c:formatCode>General</c:formatCode>
                <c:ptCount val="19"/>
                <c:pt idx="0">
                  <c:v>15.6</c:v>
                </c:pt>
                <c:pt idx="1">
                  <c:v>16.399999999999999</c:v>
                </c:pt>
                <c:pt idx="2">
                  <c:v>16</c:v>
                </c:pt>
                <c:pt idx="3">
                  <c:v>16</c:v>
                </c:pt>
                <c:pt idx="4">
                  <c:v>15.6</c:v>
                </c:pt>
                <c:pt idx="5">
                  <c:v>15.6</c:v>
                </c:pt>
                <c:pt idx="6">
                  <c:v>16.399999999999999</c:v>
                </c:pt>
                <c:pt idx="7">
                  <c:v>16.399999999999999</c:v>
                </c:pt>
                <c:pt idx="8">
                  <c:v>16</c:v>
                </c:pt>
                <c:pt idx="9">
                  <c:v>16</c:v>
                </c:pt>
                <c:pt idx="10">
                  <c:v>15.6</c:v>
                </c:pt>
                <c:pt idx="11">
                  <c:v>16.399999999999999</c:v>
                </c:pt>
                <c:pt idx="12">
                  <c:v>16</c:v>
                </c:pt>
                <c:pt idx="13">
                  <c:v>16</c:v>
                </c:pt>
                <c:pt idx="14">
                  <c:v>15.6</c:v>
                </c:pt>
                <c:pt idx="15">
                  <c:v>15.6</c:v>
                </c:pt>
                <c:pt idx="16">
                  <c:v>16.399999999999999</c:v>
                </c:pt>
                <c:pt idx="17">
                  <c:v>16.399999999999999</c:v>
                </c:pt>
                <c:pt idx="18">
                  <c:v>16</c:v>
                </c:pt>
              </c:numCache>
            </c:numRef>
          </c:xVal>
          <c:yVal>
            <c:numRef>
              <c:f>gráficos!$N$19:$AF$19</c:f>
              <c:numCache>
                <c:formatCode>General</c:formatCode>
                <c:ptCount val="19"/>
                <c:pt idx="0">
                  <c:v>44.885285012762189</c:v>
                </c:pt>
                <c:pt idx="1">
                  <c:v>44.885285012762189</c:v>
                </c:pt>
                <c:pt idx="2">
                  <c:v>44.885285012762189</c:v>
                </c:pt>
                <c:pt idx="3">
                  <c:v>50.973283449521979</c:v>
                </c:pt>
                <c:pt idx="4">
                  <c:v>50.973283449521979</c:v>
                </c:pt>
                <c:pt idx="5">
                  <c:v>54.68654749136978</c:v>
                </c:pt>
                <c:pt idx="6">
                  <c:v>54.68654749136978</c:v>
                </c:pt>
                <c:pt idx="7">
                  <c:v>60.542808100125221</c:v>
                </c:pt>
                <c:pt idx="8">
                  <c:v>60.542808100125221</c:v>
                </c:pt>
                <c:pt idx="9">
                  <c:v>66.051848842092525</c:v>
                </c:pt>
                <c:pt idx="10">
                  <c:v>66.051848842092525</c:v>
                </c:pt>
                <c:pt idx="11">
                  <c:v>66.051848842092525</c:v>
                </c:pt>
                <c:pt idx="12">
                  <c:v>66.051848842092525</c:v>
                </c:pt>
                <c:pt idx="13">
                  <c:v>60.542808100125221</c:v>
                </c:pt>
                <c:pt idx="14">
                  <c:v>60.542808100125221</c:v>
                </c:pt>
                <c:pt idx="15">
                  <c:v>54.68654749136978</c:v>
                </c:pt>
                <c:pt idx="16">
                  <c:v>54.68654749136978</c:v>
                </c:pt>
                <c:pt idx="17">
                  <c:v>50.973283449521979</c:v>
                </c:pt>
                <c:pt idx="18">
                  <c:v>50.973283449521979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EEE-4328-9C35-DA6BE4E736FC}"/>
            </c:ext>
          </c:extLst>
        </c:ser>
        <c:ser>
          <c:idx val="16"/>
          <c:order val="16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gráficos!$AH$20:$AZ$20</c:f>
              <c:numCache>
                <c:formatCode>General</c:formatCode>
                <c:ptCount val="19"/>
                <c:pt idx="0">
                  <c:v>16.600000000000001</c:v>
                </c:pt>
                <c:pt idx="1">
                  <c:v>17.399999999999999</c:v>
                </c:pt>
                <c:pt idx="2">
                  <c:v>17</c:v>
                </c:pt>
                <c:pt idx="3">
                  <c:v>17</c:v>
                </c:pt>
                <c:pt idx="4">
                  <c:v>16.600000000000001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17.399999999999999</c:v>
                </c:pt>
                <c:pt idx="8">
                  <c:v>17</c:v>
                </c:pt>
                <c:pt idx="9">
                  <c:v>17</c:v>
                </c:pt>
                <c:pt idx="10">
                  <c:v>16.600000000000001</c:v>
                </c:pt>
                <c:pt idx="11">
                  <c:v>17.399999999999999</c:v>
                </c:pt>
                <c:pt idx="12">
                  <c:v>17</c:v>
                </c:pt>
                <c:pt idx="13">
                  <c:v>17</c:v>
                </c:pt>
                <c:pt idx="14">
                  <c:v>16.600000000000001</c:v>
                </c:pt>
                <c:pt idx="15">
                  <c:v>16.600000000000001</c:v>
                </c:pt>
                <c:pt idx="16">
                  <c:v>17.399999999999999</c:v>
                </c:pt>
                <c:pt idx="17">
                  <c:v>17.399999999999999</c:v>
                </c:pt>
                <c:pt idx="18">
                  <c:v>17</c:v>
                </c:pt>
              </c:numCache>
            </c:numRef>
          </c:xVal>
          <c:yVal>
            <c:numRef>
              <c:f>gráficos!$N$20:$AF$20</c:f>
              <c:numCache>
                <c:formatCode>General</c:formatCode>
                <c:ptCount val="19"/>
                <c:pt idx="0">
                  <c:v>56.266513180686502</c:v>
                </c:pt>
                <c:pt idx="1">
                  <c:v>56.266513180686502</c:v>
                </c:pt>
                <c:pt idx="2">
                  <c:v>56.266513180686502</c:v>
                </c:pt>
                <c:pt idx="3">
                  <c:v>64.864397851823753</c:v>
                </c:pt>
                <c:pt idx="4">
                  <c:v>64.864397851823753</c:v>
                </c:pt>
                <c:pt idx="5">
                  <c:v>70.521297836349618</c:v>
                </c:pt>
                <c:pt idx="6">
                  <c:v>70.521297836349618</c:v>
                </c:pt>
                <c:pt idx="7">
                  <c:v>78.485683193277168</c:v>
                </c:pt>
                <c:pt idx="8">
                  <c:v>78.485683193277168</c:v>
                </c:pt>
                <c:pt idx="9">
                  <c:v>88.735326855267473</c:v>
                </c:pt>
                <c:pt idx="10">
                  <c:v>88.735326855267473</c:v>
                </c:pt>
                <c:pt idx="11">
                  <c:v>88.735326855267473</c:v>
                </c:pt>
                <c:pt idx="12">
                  <c:v>88.735326855267473</c:v>
                </c:pt>
                <c:pt idx="13">
                  <c:v>78.485683193277168</c:v>
                </c:pt>
                <c:pt idx="14">
                  <c:v>78.485683193277168</c:v>
                </c:pt>
                <c:pt idx="15">
                  <c:v>70.521297836349618</c:v>
                </c:pt>
                <c:pt idx="16">
                  <c:v>70.521297836349618</c:v>
                </c:pt>
                <c:pt idx="17">
                  <c:v>64.864397851823753</c:v>
                </c:pt>
                <c:pt idx="18">
                  <c:v>64.864397851823753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EEE-4328-9C35-DA6BE4E736FC}"/>
            </c:ext>
          </c:extLst>
        </c:ser>
        <c:ser>
          <c:idx val="17"/>
          <c:order val="17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gráficos!$AH$21:$AZ$21</c:f>
              <c:numCache>
                <c:formatCode>General</c:formatCode>
                <c:ptCount val="19"/>
                <c:pt idx="0">
                  <c:v>17.600000000000001</c:v>
                </c:pt>
                <c:pt idx="1">
                  <c:v>18.399999999999999</c:v>
                </c:pt>
                <c:pt idx="2">
                  <c:v>18</c:v>
                </c:pt>
                <c:pt idx="3">
                  <c:v>18</c:v>
                </c:pt>
                <c:pt idx="4">
                  <c:v>17.600000000000001</c:v>
                </c:pt>
                <c:pt idx="5">
                  <c:v>17.600000000000001</c:v>
                </c:pt>
                <c:pt idx="6">
                  <c:v>18.399999999999999</c:v>
                </c:pt>
                <c:pt idx="7">
                  <c:v>18.399999999999999</c:v>
                </c:pt>
                <c:pt idx="8">
                  <c:v>18</c:v>
                </c:pt>
                <c:pt idx="9">
                  <c:v>18</c:v>
                </c:pt>
                <c:pt idx="10">
                  <c:v>17.600000000000001</c:v>
                </c:pt>
                <c:pt idx="11">
                  <c:v>18.399999999999999</c:v>
                </c:pt>
                <c:pt idx="12">
                  <c:v>18</c:v>
                </c:pt>
                <c:pt idx="13">
                  <c:v>18</c:v>
                </c:pt>
                <c:pt idx="14">
                  <c:v>17.600000000000001</c:v>
                </c:pt>
                <c:pt idx="15">
                  <c:v>17.600000000000001</c:v>
                </c:pt>
                <c:pt idx="16">
                  <c:v>18.399999999999999</c:v>
                </c:pt>
                <c:pt idx="17">
                  <c:v>18.399999999999999</c:v>
                </c:pt>
                <c:pt idx="18">
                  <c:v>18</c:v>
                </c:pt>
              </c:numCache>
            </c:numRef>
          </c:xVal>
          <c:yVal>
            <c:numRef>
              <c:f>gráficos!$N$21:$AF$21</c:f>
              <c:numCache>
                <c:formatCode>General</c:formatCode>
                <c:ptCount val="19"/>
                <c:pt idx="0">
                  <c:v>73.33589519320735</c:v>
                </c:pt>
                <c:pt idx="1">
                  <c:v>73.33589519320735</c:v>
                </c:pt>
                <c:pt idx="2">
                  <c:v>73.33589519320735</c:v>
                </c:pt>
                <c:pt idx="3">
                  <c:v>82.519662505676251</c:v>
                </c:pt>
                <c:pt idx="4">
                  <c:v>82.519662505676251</c:v>
                </c:pt>
                <c:pt idx="5">
                  <c:v>89.292929369151935</c:v>
                </c:pt>
                <c:pt idx="6">
                  <c:v>89.292929369151935</c:v>
                </c:pt>
                <c:pt idx="7">
                  <c:v>102.04868332886127</c:v>
                </c:pt>
                <c:pt idx="8">
                  <c:v>102.04868332886127</c:v>
                </c:pt>
                <c:pt idx="9">
                  <c:v>117.57152561268994</c:v>
                </c:pt>
                <c:pt idx="10">
                  <c:v>117.57152561268994</c:v>
                </c:pt>
                <c:pt idx="11">
                  <c:v>117.57152561268994</c:v>
                </c:pt>
                <c:pt idx="12">
                  <c:v>117.57152561268994</c:v>
                </c:pt>
                <c:pt idx="13">
                  <c:v>102.04868332886127</c:v>
                </c:pt>
                <c:pt idx="14">
                  <c:v>102.04868332886127</c:v>
                </c:pt>
                <c:pt idx="15">
                  <c:v>89.292929369151935</c:v>
                </c:pt>
                <c:pt idx="16">
                  <c:v>89.292929369151935</c:v>
                </c:pt>
                <c:pt idx="17">
                  <c:v>82.519662505676251</c:v>
                </c:pt>
                <c:pt idx="18">
                  <c:v>82.519662505676251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EEE-4328-9C35-DA6BE4E736FC}"/>
            </c:ext>
          </c:extLst>
        </c:ser>
        <c:ser>
          <c:idx val="18"/>
          <c:order val="18"/>
          <c:spPr>
            <a:ln>
              <a:solidFill>
                <a:sysClr val="windowText" lastClr="000000"/>
              </a:solidFill>
            </a:ln>
          </c:spPr>
          <c:marker>
            <c:symbol val="none"/>
          </c:marker>
          <c:xVal>
            <c:numRef>
              <c:f>gráficos!$AH$22:$AZ$22</c:f>
              <c:numCache>
                <c:formatCode>General</c:formatCode>
                <c:ptCount val="19"/>
                <c:pt idx="0">
                  <c:v>18.600000000000001</c:v>
                </c:pt>
                <c:pt idx="1">
                  <c:v>19.399999999999999</c:v>
                </c:pt>
                <c:pt idx="2">
                  <c:v>19</c:v>
                </c:pt>
                <c:pt idx="3">
                  <c:v>19</c:v>
                </c:pt>
                <c:pt idx="4">
                  <c:v>18.600000000000001</c:v>
                </c:pt>
                <c:pt idx="5">
                  <c:v>18.600000000000001</c:v>
                </c:pt>
                <c:pt idx="6">
                  <c:v>19.399999999999999</c:v>
                </c:pt>
                <c:pt idx="7">
                  <c:v>19.399999999999999</c:v>
                </c:pt>
                <c:pt idx="8">
                  <c:v>19</c:v>
                </c:pt>
                <c:pt idx="9">
                  <c:v>19</c:v>
                </c:pt>
                <c:pt idx="10">
                  <c:v>18.600000000000001</c:v>
                </c:pt>
                <c:pt idx="11">
                  <c:v>19.399999999999999</c:v>
                </c:pt>
                <c:pt idx="12">
                  <c:v>19</c:v>
                </c:pt>
                <c:pt idx="13">
                  <c:v>19</c:v>
                </c:pt>
                <c:pt idx="14">
                  <c:v>18.600000000000001</c:v>
                </c:pt>
                <c:pt idx="15">
                  <c:v>18.600000000000001</c:v>
                </c:pt>
                <c:pt idx="16">
                  <c:v>19.399999999999999</c:v>
                </c:pt>
                <c:pt idx="17">
                  <c:v>19.399999999999999</c:v>
                </c:pt>
                <c:pt idx="18">
                  <c:v>19</c:v>
                </c:pt>
              </c:numCache>
            </c:numRef>
          </c:xVal>
          <c:yVal>
            <c:numRef>
              <c:f>gráficos!$N$22:$AF$22</c:f>
              <c:numCache>
                <c:formatCode>General</c:formatCode>
                <c:ptCount val="19"/>
                <c:pt idx="0">
                  <c:v>93.387328584188111</c:v>
                </c:pt>
                <c:pt idx="1">
                  <c:v>93.387328584188111</c:v>
                </c:pt>
                <c:pt idx="2">
                  <c:v>93.387328584188111</c:v>
                </c:pt>
                <c:pt idx="3">
                  <c:v>103.85972229020479</c:v>
                </c:pt>
                <c:pt idx="4">
                  <c:v>103.85972229020479</c:v>
                </c:pt>
                <c:pt idx="5">
                  <c:v>113.4157843750621</c:v>
                </c:pt>
                <c:pt idx="6">
                  <c:v>113.4157843750621</c:v>
                </c:pt>
                <c:pt idx="7">
                  <c:v>131.65268288293052</c:v>
                </c:pt>
                <c:pt idx="8">
                  <c:v>131.65268288293052</c:v>
                </c:pt>
                <c:pt idx="9">
                  <c:v>151.25047821438864</c:v>
                </c:pt>
                <c:pt idx="10">
                  <c:v>151.25047821438864</c:v>
                </c:pt>
                <c:pt idx="11">
                  <c:v>151.25047821438864</c:v>
                </c:pt>
                <c:pt idx="12">
                  <c:v>151.25047821438864</c:v>
                </c:pt>
                <c:pt idx="13">
                  <c:v>131.65268288293052</c:v>
                </c:pt>
                <c:pt idx="14">
                  <c:v>131.65268288293052</c:v>
                </c:pt>
                <c:pt idx="15">
                  <c:v>113.4157843750621</c:v>
                </c:pt>
                <c:pt idx="16">
                  <c:v>113.4157843750621</c:v>
                </c:pt>
                <c:pt idx="17">
                  <c:v>103.85972229020479</c:v>
                </c:pt>
                <c:pt idx="18">
                  <c:v>103.85972229020479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EEE-4328-9C35-DA6BE4E736FC}"/>
            </c:ext>
          </c:extLst>
        </c:ser>
        <c:ser>
          <c:idx val="19"/>
          <c:order val="19"/>
          <c:spPr>
            <a:ln>
              <a:solidFill>
                <a:schemeClr val="tx1"/>
              </a:solidFill>
            </a:ln>
          </c:spPr>
          <c:marker>
            <c:symbol val="none"/>
          </c:marker>
          <c:xVal>
            <c:numRef>
              <c:f>gráficos!$AH$23:$AZ$23</c:f>
              <c:numCache>
                <c:formatCode>General</c:formatCode>
                <c:ptCount val="19"/>
                <c:pt idx="0">
                  <c:v>19.600000000000001</c:v>
                </c:pt>
                <c:pt idx="1">
                  <c:v>20.399999999999999</c:v>
                </c:pt>
                <c:pt idx="2">
                  <c:v>20</c:v>
                </c:pt>
                <c:pt idx="3">
                  <c:v>20</c:v>
                </c:pt>
                <c:pt idx="4">
                  <c:v>19.600000000000001</c:v>
                </c:pt>
                <c:pt idx="5">
                  <c:v>19.600000000000001</c:v>
                </c:pt>
                <c:pt idx="6">
                  <c:v>20.399999999999999</c:v>
                </c:pt>
                <c:pt idx="7">
                  <c:v>20.399999999999999</c:v>
                </c:pt>
                <c:pt idx="8">
                  <c:v>20</c:v>
                </c:pt>
                <c:pt idx="9">
                  <c:v>20</c:v>
                </c:pt>
                <c:pt idx="10">
                  <c:v>19.600000000000001</c:v>
                </c:pt>
                <c:pt idx="11">
                  <c:v>20.399999999999999</c:v>
                </c:pt>
                <c:pt idx="12">
                  <c:v>20</c:v>
                </c:pt>
                <c:pt idx="13">
                  <c:v>20</c:v>
                </c:pt>
                <c:pt idx="14">
                  <c:v>19.600000000000001</c:v>
                </c:pt>
                <c:pt idx="15">
                  <c:v>19.600000000000001</c:v>
                </c:pt>
                <c:pt idx="16">
                  <c:v>20.399999999999999</c:v>
                </c:pt>
                <c:pt idx="17">
                  <c:v>20.399999999999999</c:v>
                </c:pt>
                <c:pt idx="18">
                  <c:v>20</c:v>
                </c:pt>
              </c:numCache>
            </c:numRef>
          </c:xVal>
          <c:yVal>
            <c:numRef>
              <c:f>gráficos!$N$23:$AF$23</c:f>
              <c:numCache>
                <c:formatCode>General</c:formatCode>
                <c:ptCount val="19"/>
                <c:pt idx="0">
                  <c:v>119.98254581410278</c:v>
                </c:pt>
                <c:pt idx="1">
                  <c:v>119.98254581410278</c:v>
                </c:pt>
                <c:pt idx="2">
                  <c:v>119.98254581410278</c:v>
                </c:pt>
                <c:pt idx="3">
                  <c:v>134.51417636983672</c:v>
                </c:pt>
                <c:pt idx="4">
                  <c:v>134.51417636983672</c:v>
                </c:pt>
                <c:pt idx="5">
                  <c:v>149.57585981481822</c:v>
                </c:pt>
                <c:pt idx="6">
                  <c:v>149.57585981481822</c:v>
                </c:pt>
                <c:pt idx="7">
                  <c:v>168.64471112077445</c:v>
                </c:pt>
                <c:pt idx="8">
                  <c:v>168.64471112077445</c:v>
                </c:pt>
                <c:pt idx="9">
                  <c:v>192.05138522195449</c:v>
                </c:pt>
                <c:pt idx="10">
                  <c:v>192.05138522195449</c:v>
                </c:pt>
                <c:pt idx="11">
                  <c:v>192.05138522195449</c:v>
                </c:pt>
                <c:pt idx="12">
                  <c:v>192.05138522195449</c:v>
                </c:pt>
                <c:pt idx="13">
                  <c:v>168.64471112077445</c:v>
                </c:pt>
                <c:pt idx="14">
                  <c:v>168.64471112077445</c:v>
                </c:pt>
                <c:pt idx="15">
                  <c:v>149.57585981481822</c:v>
                </c:pt>
                <c:pt idx="16">
                  <c:v>149.57585981481822</c:v>
                </c:pt>
                <c:pt idx="17">
                  <c:v>134.51417636983672</c:v>
                </c:pt>
                <c:pt idx="18">
                  <c:v>134.51417636983672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EEE-4328-9C35-DA6BE4E73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007272"/>
        <c:axId val="368002176"/>
      </c:scatterChart>
      <c:valAx>
        <c:axId val="368007272"/>
        <c:scaling>
          <c:orientation val="minMax"/>
          <c:max val="21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050" b="0" i="1"/>
                </a:pPr>
                <a:r>
                  <a:rPr lang="pt-BR" sz="1000" b="0" i="0">
                    <a:latin typeface="Arial" pitchFamily="34" charset="0"/>
                    <a:cs typeface="Arial" pitchFamily="34" charset="0"/>
                  </a:rPr>
                  <a:t>tempo</a:t>
                </a:r>
                <a:r>
                  <a:rPr lang="pt-BR" sz="1000" b="0" i="1"/>
                  <a:t> </a:t>
                </a:r>
                <a:r>
                  <a:rPr lang="pt-BR" sz="1000" b="0" i="1">
                    <a:latin typeface="Times New Roman" pitchFamily="18" charset="0"/>
                    <a:cs typeface="Times New Roman" pitchFamily="18" charset="0"/>
                  </a:rPr>
                  <a:t>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ysClr val="windowText" lastClr="000000"/>
            </a:solidFill>
          </a:ln>
        </c:spPr>
        <c:txPr>
          <a:bodyPr/>
          <a:lstStyle/>
          <a:p>
            <a:pPr>
              <a:defRPr sz="900">
                <a:latin typeface="Arial" pitchFamily="34" charset="0"/>
                <a:cs typeface="Arial" pitchFamily="34" charset="0"/>
              </a:defRPr>
            </a:pPr>
            <a:endParaRPr lang="pt-BR"/>
          </a:p>
        </c:txPr>
        <c:crossAx val="368002176"/>
        <c:crosses val="autoZero"/>
        <c:crossBetween val="midCat"/>
        <c:majorUnit val="1"/>
      </c:valAx>
      <c:valAx>
        <c:axId val="368002176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i="1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pt-BR" sz="1200" b="0" i="1">
                    <a:latin typeface="Times New Roman" pitchFamily="18" charset="0"/>
                    <a:cs typeface="Times New Roman" pitchFamily="18" charset="0"/>
                  </a:rPr>
                  <a:t>X</a:t>
                </a:r>
                <a:r>
                  <a:rPr lang="pt-BR" sz="1200" b="0" i="1" baseline="-25000">
                    <a:latin typeface="Times New Roman" pitchFamily="18" charset="0"/>
                    <a:cs typeface="Times New Roman" pitchFamily="18" charset="0"/>
                  </a:rPr>
                  <a:t>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900">
                <a:latin typeface="Arial" pitchFamily="34" charset="0"/>
                <a:cs typeface="Arial" pitchFamily="34" charset="0"/>
              </a:defRPr>
            </a:pPr>
            <a:endParaRPr lang="pt-BR"/>
          </a:p>
        </c:txPr>
        <c:crossAx val="368007272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>
          <a:latin typeface="Cambria Math" pitchFamily="18" charset="0"/>
          <a:ea typeface="Cambria Math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52" footer="0.3149606200000005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69466316710421"/>
          <c:y val="5.0925925925925923E-2"/>
          <c:w val="0.83874978127734034"/>
          <c:h val="0.76169181977252942"/>
        </c:manualLayout>
      </c:layout>
      <c:lineChart>
        <c:grouping val="standard"/>
        <c:varyColors val="0"/>
        <c:ser>
          <c:idx val="1"/>
          <c:order val="0"/>
          <c:tx>
            <c:v>a = 0,2</c:v>
          </c:tx>
          <c:spPr>
            <a:ln w="222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Dados!$B$2:$B$22</c:f>
              <c:numCache>
                <c:formatCode>General</c:formatCode>
                <c:ptCount val="21"/>
                <c:pt idx="0">
                  <c:v>1</c:v>
                </c:pt>
                <c:pt idx="1">
                  <c:v>1.2214027581601699</c:v>
                </c:pt>
                <c:pt idx="2">
                  <c:v>1.4918246976412703</c:v>
                </c:pt>
                <c:pt idx="3">
                  <c:v>1.8221188003905091</c:v>
                </c:pt>
                <c:pt idx="4">
                  <c:v>2.2255409284924679</c:v>
                </c:pt>
                <c:pt idx="5">
                  <c:v>2.7182818284590455</c:v>
                </c:pt>
                <c:pt idx="6">
                  <c:v>3.3201169227365481</c:v>
                </c:pt>
                <c:pt idx="7">
                  <c:v>4.0551999668446754</c:v>
                </c:pt>
                <c:pt idx="8">
                  <c:v>4.9530324243951158</c:v>
                </c:pt>
                <c:pt idx="9">
                  <c:v>6.0496474644129474</c:v>
                </c:pt>
                <c:pt idx="10">
                  <c:v>7.3890560989306522</c:v>
                </c:pt>
                <c:pt idx="11">
                  <c:v>9.0250134994341238</c:v>
                </c:pt>
                <c:pt idx="12">
                  <c:v>11.023176380641605</c:v>
                </c:pt>
                <c:pt idx="13">
                  <c:v>13.463738035001695</c:v>
                </c:pt>
                <c:pt idx="14">
                  <c:v>16.444646771097055</c:v>
                </c:pt>
                <c:pt idx="15">
                  <c:v>20.085536923187675</c:v>
                </c:pt>
                <c:pt idx="16">
                  <c:v>24.532530197109359</c:v>
                </c:pt>
                <c:pt idx="17">
                  <c:v>29.964100047397029</c:v>
                </c:pt>
                <c:pt idx="18">
                  <c:v>36.59823444367801</c:v>
                </c:pt>
                <c:pt idx="19">
                  <c:v>44.70118449330085</c:v>
                </c:pt>
                <c:pt idx="20">
                  <c:v>54.598150033144272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01-4BAC-ACB3-440B91EB0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269160"/>
        <c:axId val="516263280"/>
      </c:lineChart>
      <c:catAx>
        <c:axId val="516269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000"/>
                  <a:t>tempo </a:t>
                </a:r>
                <a:r>
                  <a:rPr lang="pt-BR" sz="10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516263280"/>
        <c:crosses val="autoZero"/>
        <c:auto val="1"/>
        <c:lblAlgn val="ctr"/>
        <c:lblOffset val="100"/>
        <c:tickLblSkip val="1"/>
        <c:noMultiLvlLbl val="0"/>
      </c:catAx>
      <c:valAx>
        <c:axId val="51626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2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pt-BR" sz="1200" i="1" baseline="-25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516269160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69466316710421"/>
          <c:y val="5.0925925925925923E-2"/>
          <c:w val="0.83874978127734034"/>
          <c:h val="0.76169181977252942"/>
        </c:manualLayout>
      </c:layout>
      <c:lineChart>
        <c:grouping val="standard"/>
        <c:varyColors val="0"/>
        <c:ser>
          <c:idx val="1"/>
          <c:order val="0"/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Dados!$C$2:$C$22</c:f>
              <c:numCache>
                <c:formatCode>General</c:formatCode>
                <c:ptCount val="21"/>
                <c:pt idx="0">
                  <c:v>1</c:v>
                </c:pt>
                <c:pt idx="1">
                  <c:v>1.2310385287311183</c:v>
                </c:pt>
                <c:pt idx="2">
                  <c:v>1.64518205569369</c:v>
                </c:pt>
                <c:pt idx="3">
                  <c:v>2.1193522010947841</c:v>
                </c:pt>
                <c:pt idx="4">
                  <c:v>2.8104545792820845</c:v>
                </c:pt>
                <c:pt idx="5">
                  <c:v>3.732312836165891</c:v>
                </c:pt>
                <c:pt idx="6">
                  <c:v>4.7665384946375386</c:v>
                </c:pt>
                <c:pt idx="7">
                  <c:v>6.0945449449111448</c:v>
                </c:pt>
                <c:pt idx="8">
                  <c:v>7.8077356448527144</c:v>
                </c:pt>
                <c:pt idx="9">
                  <c:v>9.583978655088206</c:v>
                </c:pt>
                <c:pt idx="10">
                  <c:v>11.726465692302817</c:v>
                </c:pt>
                <c:pt idx="11">
                  <c:v>14.667458723641746</c:v>
                </c:pt>
                <c:pt idx="12">
                  <c:v>19.550408734155553</c:v>
                </c:pt>
                <c:pt idx="13">
                  <c:v>26.301124344536685</c:v>
                </c:pt>
                <c:pt idx="14">
                  <c:v>32.954508646909851</c:v>
                </c:pt>
                <c:pt idx="15">
                  <c:v>43.730260048734415</c:v>
                </c:pt>
                <c:pt idx="16">
                  <c:v>57.731148625969055</c:v>
                </c:pt>
                <c:pt idx="17">
                  <c:v>70.529426870627503</c:v>
                </c:pt>
                <c:pt idx="18">
                  <c:v>89.345820013919322</c:v>
                </c:pt>
                <c:pt idx="19">
                  <c:v>112.06086899639014</c:v>
                </c:pt>
                <c:pt idx="20">
                  <c:v>150.34049287405756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CA-4578-BBFE-F9BC21A0002B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Dados!$D$2:$D$22</c:f>
              <c:numCache>
                <c:formatCode>General</c:formatCode>
                <c:ptCount val="21"/>
                <c:pt idx="0">
                  <c:v>1</c:v>
                </c:pt>
                <c:pt idx="1">
                  <c:v>1.279252394132754</c:v>
                </c:pt>
                <c:pt idx="2">
                  <c:v>1.6908559550298239</c:v>
                </c:pt>
                <c:pt idx="3">
                  <c:v>2.1480883354733469</c:v>
                </c:pt>
                <c:pt idx="4">
                  <c:v>2.7024096859486479</c:v>
                </c:pt>
                <c:pt idx="5">
                  <c:v>3.4807181671086966</c:v>
                </c:pt>
                <c:pt idx="6">
                  <c:v>4.3428453439654957</c:v>
                </c:pt>
                <c:pt idx="7">
                  <c:v>5.3065219442211706</c:v>
                </c:pt>
                <c:pt idx="8">
                  <c:v>7.0921095802657161</c:v>
                </c:pt>
                <c:pt idx="9">
                  <c:v>8.8511225050044047</c:v>
                </c:pt>
                <c:pt idx="10">
                  <c:v>10.980986466038322</c:v>
                </c:pt>
                <c:pt idx="11">
                  <c:v>13.747112857472924</c:v>
                </c:pt>
                <c:pt idx="12">
                  <c:v>17.981481199839905</c:v>
                </c:pt>
                <c:pt idx="13">
                  <c:v>23.86542292519179</c:v>
                </c:pt>
                <c:pt idx="14">
                  <c:v>29.932992993255823</c:v>
                </c:pt>
                <c:pt idx="15">
                  <c:v>36.839439975586608</c:v>
                </c:pt>
                <c:pt idx="16">
                  <c:v>49.074105650137874</c:v>
                </c:pt>
                <c:pt idx="17">
                  <c:v>65.898713240843136</c:v>
                </c:pt>
                <c:pt idx="18">
                  <c:v>85.926166904145163</c:v>
                </c:pt>
                <c:pt idx="19">
                  <c:v>111.5155822656441</c:v>
                </c:pt>
                <c:pt idx="20">
                  <c:v>148.37702092078069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CA-4578-BBFE-F9BC21A0002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Dados!$E$2:$E$22</c:f>
              <c:numCache>
                <c:formatCode>General</c:formatCode>
                <c:ptCount val="21"/>
                <c:pt idx="0">
                  <c:v>1</c:v>
                </c:pt>
                <c:pt idx="1">
                  <c:v>1.2952075578582798</c:v>
                </c:pt>
                <c:pt idx="2">
                  <c:v>1.6733346165402088</c:v>
                </c:pt>
                <c:pt idx="3">
                  <c:v>2.1596483038165371</c:v>
                </c:pt>
                <c:pt idx="4">
                  <c:v>2.6382484984665791</c:v>
                </c:pt>
                <c:pt idx="5">
                  <c:v>3.3100843209393078</c:v>
                </c:pt>
                <c:pt idx="6">
                  <c:v>4.3848387506867228</c:v>
                </c:pt>
                <c:pt idx="7">
                  <c:v>5.5356923678587489</c:v>
                </c:pt>
                <c:pt idx="8">
                  <c:v>6.8333462315067219</c:v>
                </c:pt>
                <c:pt idx="9">
                  <c:v>8.6575458562258181</c:v>
                </c:pt>
                <c:pt idx="10">
                  <c:v>10.878886151131832</c:v>
                </c:pt>
                <c:pt idx="11">
                  <c:v>14.168307436145939</c:v>
                </c:pt>
                <c:pt idx="12">
                  <c:v>17.461181165099223</c:v>
                </c:pt>
                <c:pt idx="13">
                  <c:v>21.788546353102639</c:v>
                </c:pt>
                <c:pt idx="14">
                  <c:v>28.413058308406313</c:v>
                </c:pt>
                <c:pt idx="15">
                  <c:v>37.517778259725951</c:v>
                </c:pt>
                <c:pt idx="16">
                  <c:v>47.517467279551667</c:v>
                </c:pt>
                <c:pt idx="17">
                  <c:v>58.353281065192007</c:v>
                </c:pt>
                <c:pt idx="18">
                  <c:v>74.380049218648452</c:v>
                </c:pt>
                <c:pt idx="19">
                  <c:v>99.573456678080547</c:v>
                </c:pt>
                <c:pt idx="20">
                  <c:v>130.0885672541595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CA-4578-BBFE-F9BC21A0002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Dados!$F$2:$F$22</c:f>
              <c:numCache>
                <c:formatCode>General</c:formatCode>
                <c:ptCount val="21"/>
                <c:pt idx="0">
                  <c:v>1</c:v>
                </c:pt>
                <c:pt idx="1">
                  <c:v>1.342857709402743</c:v>
                </c:pt>
                <c:pt idx="2">
                  <c:v>1.7440709642459422</c:v>
                </c:pt>
                <c:pt idx="3">
                  <c:v>2.353974720560664</c:v>
                </c:pt>
                <c:pt idx="4">
                  <c:v>3.0239071191347935</c:v>
                </c:pt>
                <c:pt idx="5">
                  <c:v>3.8264934458833686</c:v>
                </c:pt>
                <c:pt idx="6">
                  <c:v>4.8379469287307089</c:v>
                </c:pt>
                <c:pt idx="7">
                  <c:v>6.420628314264917</c:v>
                </c:pt>
                <c:pt idx="8">
                  <c:v>8.033901887533494</c:v>
                </c:pt>
                <c:pt idx="9">
                  <c:v>10.342796464641738</c:v>
                </c:pt>
                <c:pt idx="10">
                  <c:v>12.706903769033863</c:v>
                </c:pt>
                <c:pt idx="11">
                  <c:v>16.76039307726278</c:v>
                </c:pt>
                <c:pt idx="12">
                  <c:v>21.874075041325852</c:v>
                </c:pt>
                <c:pt idx="13">
                  <c:v>28.426621033181988</c:v>
                </c:pt>
                <c:pt idx="14">
                  <c:v>35.421859833824342</c:v>
                </c:pt>
                <c:pt idx="15">
                  <c:v>47.627405724798848</c:v>
                </c:pt>
                <c:pt idx="16">
                  <c:v>61.75750079168175</c:v>
                </c:pt>
                <c:pt idx="17">
                  <c:v>80.835362440200058</c:v>
                </c:pt>
                <c:pt idx="18">
                  <c:v>108.88081659639226</c:v>
                </c:pt>
                <c:pt idx="19">
                  <c:v>139.11934308094303</c:v>
                </c:pt>
                <c:pt idx="20">
                  <c:v>172.63220400881042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CA-4578-BBFE-F9BC21A0002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Dados!$G$2:$G$22</c:f>
              <c:numCache>
                <c:formatCode>General</c:formatCode>
                <c:ptCount val="21"/>
                <c:pt idx="0">
                  <c:v>1</c:v>
                </c:pt>
                <c:pt idx="1">
                  <c:v>1.226992461769729</c:v>
                </c:pt>
                <c:pt idx="2">
                  <c:v>1.6132932292537483</c:v>
                </c:pt>
                <c:pt idx="3">
                  <c:v>2.0134152795231857</c:v>
                </c:pt>
                <c:pt idx="4">
                  <c:v>2.4654279075096506</c:v>
                </c:pt>
                <c:pt idx="5">
                  <c:v>3.1329311292752684</c:v>
                </c:pt>
                <c:pt idx="6">
                  <c:v>3.9853300835429963</c:v>
                </c:pt>
                <c:pt idx="7">
                  <c:v>4.9020850229573298</c:v>
                </c:pt>
                <c:pt idx="8">
                  <c:v>6.3193253919068306</c:v>
                </c:pt>
                <c:pt idx="9">
                  <c:v>8.4851688883442495</c:v>
                </c:pt>
                <c:pt idx="10">
                  <c:v>10.556284350829099</c:v>
                </c:pt>
                <c:pt idx="11">
                  <c:v>13.81581096000034</c:v>
                </c:pt>
                <c:pt idx="12">
                  <c:v>18.449301650005612</c:v>
                </c:pt>
                <c:pt idx="13">
                  <c:v>23.324009263877478</c:v>
                </c:pt>
                <c:pt idx="14">
                  <c:v>29.93102425296588</c:v>
                </c:pt>
                <c:pt idx="15">
                  <c:v>40.25853815162526</c:v>
                </c:pt>
                <c:pt idx="16">
                  <c:v>53.833009691038178</c:v>
                </c:pt>
                <c:pt idx="17">
                  <c:v>71.838167284617384</c:v>
                </c:pt>
                <c:pt idx="18">
                  <c:v>89.919578893254879</c:v>
                </c:pt>
                <c:pt idx="19">
                  <c:v>110.45809115426022</c:v>
                </c:pt>
                <c:pt idx="20">
                  <c:v>146.07303774478586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CA-4578-BBFE-F9BC21A0002B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Dados!$H$2:$H$22</c:f>
              <c:numCache>
                <c:formatCode>General</c:formatCode>
                <c:ptCount val="21"/>
                <c:pt idx="0">
                  <c:v>1</c:v>
                </c:pt>
                <c:pt idx="1">
                  <c:v>1.2959527902267083</c:v>
                </c:pt>
                <c:pt idx="2">
                  <c:v>1.6078433467011575</c:v>
                </c:pt>
                <c:pt idx="3">
                  <c:v>2.1673342297065732</c:v>
                </c:pt>
                <c:pt idx="4">
                  <c:v>2.8909255353357182</c:v>
                </c:pt>
                <c:pt idx="5">
                  <c:v>3.6237545168693774</c:v>
                </c:pt>
                <c:pt idx="6">
                  <c:v>4.7630439897015506</c:v>
                </c:pt>
                <c:pt idx="7">
                  <c:v>5.8343660175163397</c:v>
                </c:pt>
                <c:pt idx="8">
                  <c:v>7.213844806466235</c:v>
                </c:pt>
                <c:pt idx="9">
                  <c:v>9.6207713333260969</c:v>
                </c:pt>
                <c:pt idx="10">
                  <c:v>12.862438648530778</c:v>
                </c:pt>
                <c:pt idx="11">
                  <c:v>16.727957837342842</c:v>
                </c:pt>
                <c:pt idx="12">
                  <c:v>20.799450856798043</c:v>
                </c:pt>
                <c:pt idx="13">
                  <c:v>26.507976106610467</c:v>
                </c:pt>
                <c:pt idx="14">
                  <c:v>34.012628261481268</c:v>
                </c:pt>
                <c:pt idx="15">
                  <c:v>41.852591528943385</c:v>
                </c:pt>
                <c:pt idx="16">
                  <c:v>51.67828257024415</c:v>
                </c:pt>
                <c:pt idx="17">
                  <c:v>64.171935415768075</c:v>
                </c:pt>
                <c:pt idx="18">
                  <c:v>81.145987639445025</c:v>
                </c:pt>
                <c:pt idx="19">
                  <c:v>104.45346419854678</c:v>
                </c:pt>
                <c:pt idx="20">
                  <c:v>136.97499358237127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CA-4578-BBFE-F9BC21A0002B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Dados!$I$2:$I$22</c:f>
              <c:numCache>
                <c:formatCode>General</c:formatCode>
                <c:ptCount val="21"/>
                <c:pt idx="0">
                  <c:v>1</c:v>
                </c:pt>
                <c:pt idx="1">
                  <c:v>1.2234918189143318</c:v>
                </c:pt>
                <c:pt idx="2">
                  <c:v>1.5345625758002797</c:v>
                </c:pt>
                <c:pt idx="3">
                  <c:v>2.0082717286486549</c:v>
                </c:pt>
                <c:pt idx="4">
                  <c:v>2.6681734604266558</c:v>
                </c:pt>
                <c:pt idx="5">
                  <c:v>3.3576341572106734</c:v>
                </c:pt>
                <c:pt idx="6">
                  <c:v>4.2333351587374572</c:v>
                </c:pt>
                <c:pt idx="7">
                  <c:v>5.3174861842047267</c:v>
                </c:pt>
                <c:pt idx="8">
                  <c:v>6.6265759374097302</c:v>
                </c:pt>
                <c:pt idx="9">
                  <c:v>8.9272476627659874</c:v>
                </c:pt>
                <c:pt idx="10">
                  <c:v>10.977107807832564</c:v>
                </c:pt>
                <c:pt idx="11">
                  <c:v>14.143985421925501</c:v>
                </c:pt>
                <c:pt idx="12">
                  <c:v>18.544994492650215</c:v>
                </c:pt>
                <c:pt idx="13">
                  <c:v>24.093986096932532</c:v>
                </c:pt>
                <c:pt idx="14">
                  <c:v>29.702024108528516</c:v>
                </c:pt>
                <c:pt idx="15">
                  <c:v>36.333797331877008</c:v>
                </c:pt>
                <c:pt idx="16">
                  <c:v>46.966026184128452</c:v>
                </c:pt>
                <c:pt idx="17">
                  <c:v>59.623856397872665</c:v>
                </c:pt>
                <c:pt idx="18">
                  <c:v>73.33589519320735</c:v>
                </c:pt>
                <c:pt idx="19">
                  <c:v>98.568606950841414</c:v>
                </c:pt>
                <c:pt idx="20">
                  <c:v>131.08710836688067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CA-4578-BBFE-F9BC21A0002B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Dados!$J$2:$J$22</c:f>
              <c:numCache>
                <c:formatCode>General</c:formatCode>
                <c:ptCount val="21"/>
                <c:pt idx="0">
                  <c:v>1</c:v>
                </c:pt>
                <c:pt idx="1">
                  <c:v>1.3020223842548806</c:v>
                </c:pt>
                <c:pt idx="2">
                  <c:v>1.7549852911376798</c:v>
                </c:pt>
                <c:pt idx="3">
                  <c:v>2.3462287078228905</c:v>
                </c:pt>
                <c:pt idx="4">
                  <c:v>3.1407517072227695</c:v>
                </c:pt>
                <c:pt idx="5">
                  <c:v>3.9926057827521588</c:v>
                </c:pt>
                <c:pt idx="6">
                  <c:v>5.2002390331871986</c:v>
                </c:pt>
                <c:pt idx="7">
                  <c:v>6.6098170284030928</c:v>
                </c:pt>
                <c:pt idx="8">
                  <c:v>8.8520560390281098</c:v>
                </c:pt>
                <c:pt idx="9">
                  <c:v>11.191315936654252</c:v>
                </c:pt>
                <c:pt idx="10">
                  <c:v>14.707670832058746</c:v>
                </c:pt>
                <c:pt idx="11">
                  <c:v>18.854015751134334</c:v>
                </c:pt>
                <c:pt idx="12">
                  <c:v>24.524884689597684</c:v>
                </c:pt>
                <c:pt idx="13">
                  <c:v>30.262775219578401</c:v>
                </c:pt>
                <c:pt idx="14">
                  <c:v>39.523563711367487</c:v>
                </c:pt>
                <c:pt idx="15">
                  <c:v>52.362442539759314</c:v>
                </c:pt>
                <c:pt idx="16">
                  <c:v>65.595768351663324</c:v>
                </c:pt>
                <c:pt idx="17">
                  <c:v>85.896795514958214</c:v>
                </c:pt>
                <c:pt idx="18">
                  <c:v>114.76434960563488</c:v>
                </c:pt>
                <c:pt idx="19">
                  <c:v>151.25047821438864</c:v>
                </c:pt>
                <c:pt idx="20">
                  <c:v>192.05138522195449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CA-4578-BBFE-F9BC21A0002B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Dados!$K$2:$K$22</c:f>
              <c:numCache>
                <c:formatCode>General</c:formatCode>
                <c:ptCount val="21"/>
                <c:pt idx="0">
                  <c:v>1</c:v>
                </c:pt>
                <c:pt idx="1">
                  <c:v>1.2454856006776951</c:v>
                </c:pt>
                <c:pt idx="2">
                  <c:v>1.5940906455327146</c:v>
                </c:pt>
                <c:pt idx="3">
                  <c:v>2.0809102137505131</c:v>
                </c:pt>
                <c:pt idx="4">
                  <c:v>2.7507215012381425</c:v>
                </c:pt>
                <c:pt idx="5">
                  <c:v>3.5993001222793426</c:v>
                </c:pt>
                <c:pt idx="6">
                  <c:v>4.8131193563001267</c:v>
                </c:pt>
                <c:pt idx="7">
                  <c:v>6.408372507038937</c:v>
                </c:pt>
                <c:pt idx="8">
                  <c:v>7.8893545023418152</c:v>
                </c:pt>
                <c:pt idx="9">
                  <c:v>10.236542766948471</c:v>
                </c:pt>
                <c:pt idx="10">
                  <c:v>12.969487427317619</c:v>
                </c:pt>
                <c:pt idx="11">
                  <c:v>16.811315554407738</c:v>
                </c:pt>
                <c:pt idx="12">
                  <c:v>20.903522424279149</c:v>
                </c:pt>
                <c:pt idx="13">
                  <c:v>26.339560460290485</c:v>
                </c:pt>
                <c:pt idx="14">
                  <c:v>32.495312488502655</c:v>
                </c:pt>
                <c:pt idx="15">
                  <c:v>39.738190120892071</c:v>
                </c:pt>
                <c:pt idx="16">
                  <c:v>52.644073669588671</c:v>
                </c:pt>
                <c:pt idx="17">
                  <c:v>66.890512180665567</c:v>
                </c:pt>
                <c:pt idx="18">
                  <c:v>89.234350305818523</c:v>
                </c:pt>
                <c:pt idx="19">
                  <c:v>118.48617987639454</c:v>
                </c:pt>
                <c:pt idx="20">
                  <c:v>147.84176020050381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8CA-4578-BBFE-F9BC21A0002B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Dados!$L$2:$L$22</c:f>
              <c:numCache>
                <c:formatCode>General</c:formatCode>
                <c:ptCount val="21"/>
                <c:pt idx="0">
                  <c:v>1</c:v>
                </c:pt>
                <c:pt idx="1">
                  <c:v>1.284828055692482</c:v>
                </c:pt>
                <c:pt idx="2">
                  <c:v>1.6763366048312198</c:v>
                </c:pt>
                <c:pt idx="3">
                  <c:v>2.1657513098956431</c:v>
                </c:pt>
                <c:pt idx="4">
                  <c:v>2.8273525189221824</c:v>
                </c:pt>
                <c:pt idx="5">
                  <c:v>3.7293423677638669</c:v>
                </c:pt>
                <c:pt idx="6">
                  <c:v>4.7760141634109399</c:v>
                </c:pt>
                <c:pt idx="7">
                  <c:v>6.2862659725674899</c:v>
                </c:pt>
                <c:pt idx="8">
                  <c:v>7.8213609522605303</c:v>
                </c:pt>
                <c:pt idx="9">
                  <c:v>9.9814093973482585</c:v>
                </c:pt>
                <c:pt idx="10">
                  <c:v>13.100865723948768</c:v>
                </c:pt>
                <c:pt idx="11">
                  <c:v>16.238391017991567</c:v>
                </c:pt>
                <c:pt idx="12">
                  <c:v>20.872285729208361</c:v>
                </c:pt>
                <c:pt idx="13">
                  <c:v>27.727272112404982</c:v>
                </c:pt>
                <c:pt idx="14">
                  <c:v>34.440881429186071</c:v>
                </c:pt>
                <c:pt idx="15">
                  <c:v>44.413830785677817</c:v>
                </c:pt>
                <c:pt idx="16">
                  <c:v>56.790904047334422</c:v>
                </c:pt>
                <c:pt idx="17">
                  <c:v>71.84944017336349</c:v>
                </c:pt>
                <c:pt idx="18">
                  <c:v>92.327740885777303</c:v>
                </c:pt>
                <c:pt idx="19">
                  <c:v>115.94907369460903</c:v>
                </c:pt>
                <c:pt idx="20">
                  <c:v>150.55313883644286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8CA-4578-BBFE-F9BC21A0002B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Dados!$M$2:$M$22</c:f>
              <c:numCache>
                <c:formatCode>General</c:formatCode>
                <c:ptCount val="21"/>
                <c:pt idx="0">
                  <c:v>1</c:v>
                </c:pt>
                <c:pt idx="1">
                  <c:v>1.2510782123348654</c:v>
                </c:pt>
                <c:pt idx="2">
                  <c:v>1.6879221458060729</c:v>
                </c:pt>
                <c:pt idx="3">
                  <c:v>2.2264416366032767</c:v>
                </c:pt>
                <c:pt idx="4">
                  <c:v>2.763425165828985</c:v>
                </c:pt>
                <c:pt idx="5">
                  <c:v>3.6093426827192694</c:v>
                </c:pt>
                <c:pt idx="6">
                  <c:v>4.6440376810622519</c:v>
                </c:pt>
                <c:pt idx="7">
                  <c:v>5.9401930117808703</c:v>
                </c:pt>
                <c:pt idx="8">
                  <c:v>7.8198563963292971</c:v>
                </c:pt>
                <c:pt idx="9">
                  <c:v>10.302214584944981</c:v>
                </c:pt>
                <c:pt idx="10">
                  <c:v>12.614198950375577</c:v>
                </c:pt>
                <c:pt idx="11">
                  <c:v>15.423927292361887</c:v>
                </c:pt>
                <c:pt idx="12">
                  <c:v>20.287723650437425</c:v>
                </c:pt>
                <c:pt idx="13">
                  <c:v>26.936324832998832</c:v>
                </c:pt>
                <c:pt idx="14">
                  <c:v>33.356037647222365</c:v>
                </c:pt>
                <c:pt idx="15">
                  <c:v>42.289598653468154</c:v>
                </c:pt>
                <c:pt idx="16">
                  <c:v>53.69082075736933</c:v>
                </c:pt>
                <c:pt idx="17">
                  <c:v>70.513168802071718</c:v>
                </c:pt>
                <c:pt idx="18">
                  <c:v>88.296773363841268</c:v>
                </c:pt>
                <c:pt idx="19">
                  <c:v>113.53621773034506</c:v>
                </c:pt>
                <c:pt idx="20">
                  <c:v>150.90884821573079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8CA-4578-BBFE-F9BC21A0002B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Dados!$N$2:$N$22</c:f>
              <c:numCache>
                <c:formatCode>General</c:formatCode>
                <c:ptCount val="21"/>
                <c:pt idx="0">
                  <c:v>1</c:v>
                </c:pt>
                <c:pt idx="1">
                  <c:v>1.2258299667884207</c:v>
                </c:pt>
                <c:pt idx="2">
                  <c:v>1.5599604615113807</c:v>
                </c:pt>
                <c:pt idx="3">
                  <c:v>1.980376722578322</c:v>
                </c:pt>
                <c:pt idx="4">
                  <c:v>2.5578755902919657</c:v>
                </c:pt>
                <c:pt idx="5">
                  <c:v>3.3232551258652454</c:v>
                </c:pt>
                <c:pt idx="6">
                  <c:v>4.3266160732132919</c:v>
                </c:pt>
                <c:pt idx="7">
                  <c:v>5.3338506480761643</c:v>
                </c:pt>
                <c:pt idx="8">
                  <c:v>6.5200215657745524</c:v>
                </c:pt>
                <c:pt idx="9">
                  <c:v>8.0914924554513679</c:v>
                </c:pt>
                <c:pt idx="10">
                  <c:v>10.151177744284194</c:v>
                </c:pt>
                <c:pt idx="11">
                  <c:v>12.969738641077829</c:v>
                </c:pt>
                <c:pt idx="12">
                  <c:v>16.686897221317956</c:v>
                </c:pt>
                <c:pt idx="13">
                  <c:v>21.84169829539864</c:v>
                </c:pt>
                <c:pt idx="14">
                  <c:v>29.145551938630778</c:v>
                </c:pt>
                <c:pt idx="15">
                  <c:v>38.739013602218094</c:v>
                </c:pt>
                <c:pt idx="16">
                  <c:v>51.812271973201078</c:v>
                </c:pt>
                <c:pt idx="17">
                  <c:v>63.452978750963119</c:v>
                </c:pt>
                <c:pt idx="18">
                  <c:v>78.755923498823961</c:v>
                </c:pt>
                <c:pt idx="19">
                  <c:v>97.600057577206229</c:v>
                </c:pt>
                <c:pt idx="20">
                  <c:v>128.08174389090695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8CA-4578-BBFE-F9BC21A0002B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Dados!$O$2:$O$22</c:f>
              <c:numCache>
                <c:formatCode>General</c:formatCode>
                <c:ptCount val="21"/>
                <c:pt idx="0">
                  <c:v>1</c:v>
                </c:pt>
                <c:pt idx="1">
                  <c:v>1.3431463817249953</c:v>
                </c:pt>
                <c:pt idx="2">
                  <c:v>1.7019320661141579</c:v>
                </c:pt>
                <c:pt idx="3">
                  <c:v>2.1527990220662088</c:v>
                </c:pt>
                <c:pt idx="4">
                  <c:v>2.8027717806143553</c:v>
                </c:pt>
                <c:pt idx="5">
                  <c:v>3.5800286459391035</c:v>
                </c:pt>
                <c:pt idx="6">
                  <c:v>4.724299516972831</c:v>
                </c:pt>
                <c:pt idx="7">
                  <c:v>5.9779168952954205</c:v>
                </c:pt>
                <c:pt idx="8">
                  <c:v>7.7769067816304895</c:v>
                </c:pt>
                <c:pt idx="9">
                  <c:v>9.8813552469296031</c:v>
                </c:pt>
                <c:pt idx="10">
                  <c:v>13.299460587964337</c:v>
                </c:pt>
                <c:pt idx="11">
                  <c:v>16.249278816903619</c:v>
                </c:pt>
                <c:pt idx="12">
                  <c:v>20.055880497499896</c:v>
                </c:pt>
                <c:pt idx="13">
                  <c:v>26.859852786201653</c:v>
                </c:pt>
                <c:pt idx="14">
                  <c:v>35.594973183641081</c:v>
                </c:pt>
                <c:pt idx="15">
                  <c:v>43.717549293705105</c:v>
                </c:pt>
                <c:pt idx="16">
                  <c:v>58.086122464472574</c:v>
                </c:pt>
                <c:pt idx="17">
                  <c:v>73.585652783476974</c:v>
                </c:pt>
                <c:pt idx="18">
                  <c:v>90.863569293377907</c:v>
                </c:pt>
                <c:pt idx="19">
                  <c:v>112.74670588656615</c:v>
                </c:pt>
                <c:pt idx="20">
                  <c:v>149.53592528487914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8CA-4578-BBFE-F9BC21A0002B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Dados!$P$2:$P$22</c:f>
              <c:numCache>
                <c:formatCode>General</c:formatCode>
                <c:ptCount val="21"/>
                <c:pt idx="0">
                  <c:v>1</c:v>
                </c:pt>
                <c:pt idx="1">
                  <c:v>1.3467911548142624</c:v>
                </c:pt>
                <c:pt idx="2">
                  <c:v>1.6757824147729881</c:v>
                </c:pt>
                <c:pt idx="3">
                  <c:v>2.2496369558747764</c:v>
                </c:pt>
                <c:pt idx="4">
                  <c:v>2.9247599451334763</c:v>
                </c:pt>
                <c:pt idx="5">
                  <c:v>3.5897198242097872</c:v>
                </c:pt>
                <c:pt idx="6">
                  <c:v>4.5277546404986309</c:v>
                </c:pt>
                <c:pt idx="7">
                  <c:v>6.0106741177802707</c:v>
                </c:pt>
                <c:pt idx="8">
                  <c:v>7.642365384900466</c:v>
                </c:pt>
                <c:pt idx="9">
                  <c:v>9.6629581855152562</c:v>
                </c:pt>
                <c:pt idx="10">
                  <c:v>11.820671864697539</c:v>
                </c:pt>
                <c:pt idx="11">
                  <c:v>15.159779788118417</c:v>
                </c:pt>
                <c:pt idx="12">
                  <c:v>20.462265760600619</c:v>
                </c:pt>
                <c:pt idx="13">
                  <c:v>25.654050060981131</c:v>
                </c:pt>
                <c:pt idx="14">
                  <c:v>32.539858480502808</c:v>
                </c:pt>
                <c:pt idx="15">
                  <c:v>43.266124922657646</c:v>
                </c:pt>
                <c:pt idx="16">
                  <c:v>57.586986991111544</c:v>
                </c:pt>
                <c:pt idx="17">
                  <c:v>72.51750988872702</c:v>
                </c:pt>
                <c:pt idx="18">
                  <c:v>96.539149026814442</c:v>
                </c:pt>
                <c:pt idx="19">
                  <c:v>125.4236182570275</c:v>
                </c:pt>
                <c:pt idx="20">
                  <c:v>168.111828207195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8CA-4578-BBFE-F9BC21A0002B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Dados!$Q$2:$Q$22</c:f>
              <c:numCache>
                <c:formatCode>General</c:formatCode>
                <c:ptCount val="21"/>
                <c:pt idx="0">
                  <c:v>1</c:v>
                </c:pt>
                <c:pt idx="1">
                  <c:v>1.3361858769877417</c:v>
                </c:pt>
                <c:pt idx="2">
                  <c:v>1.6579637397057938</c:v>
                </c:pt>
                <c:pt idx="3">
                  <c:v>2.207348734614754</c:v>
                </c:pt>
                <c:pt idx="4">
                  <c:v>2.9050744883935966</c:v>
                </c:pt>
                <c:pt idx="5">
                  <c:v>3.6231676668487007</c:v>
                </c:pt>
                <c:pt idx="6">
                  <c:v>4.7545813737966025</c:v>
                </c:pt>
                <c:pt idx="7">
                  <c:v>5.8705768806170715</c:v>
                </c:pt>
                <c:pt idx="8">
                  <c:v>7.4426355589988438</c:v>
                </c:pt>
                <c:pt idx="9">
                  <c:v>9.4519531357997852</c:v>
                </c:pt>
                <c:pt idx="10">
                  <c:v>11.60961159802269</c:v>
                </c:pt>
                <c:pt idx="11">
                  <c:v>15.662421376177205</c:v>
                </c:pt>
                <c:pt idx="12">
                  <c:v>19.246932983471211</c:v>
                </c:pt>
                <c:pt idx="13">
                  <c:v>23.818131069875598</c:v>
                </c:pt>
                <c:pt idx="14">
                  <c:v>31.893843753618938</c:v>
                </c:pt>
                <c:pt idx="15">
                  <c:v>42.653414086063997</c:v>
                </c:pt>
                <c:pt idx="16">
                  <c:v>54.019155180949646</c:v>
                </c:pt>
                <c:pt idx="17">
                  <c:v>68.651100406343929</c:v>
                </c:pt>
                <c:pt idx="18">
                  <c:v>89.609197290039887</c:v>
                </c:pt>
                <c:pt idx="19">
                  <c:v>118.47037454299549</c:v>
                </c:pt>
                <c:pt idx="20">
                  <c:v>152.42258511700615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8CA-4578-BBFE-F9BC21A0002B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Dados!$R$2:$R$22</c:f>
              <c:numCache>
                <c:formatCode>General</c:formatCode>
                <c:ptCount val="21"/>
                <c:pt idx="0">
                  <c:v>1</c:v>
                </c:pt>
                <c:pt idx="1">
                  <c:v>1.2310799476214762</c:v>
                </c:pt>
                <c:pt idx="2">
                  <c:v>1.5280103664894613</c:v>
                </c:pt>
                <c:pt idx="3">
                  <c:v>2.0119686655863211</c:v>
                </c:pt>
                <c:pt idx="4">
                  <c:v>2.5721266059821293</c:v>
                </c:pt>
                <c:pt idx="5">
                  <c:v>3.4081701045418384</c:v>
                </c:pt>
                <c:pt idx="6">
                  <c:v>4.5120881484573419</c:v>
                </c:pt>
                <c:pt idx="7">
                  <c:v>5.8513247537121007</c:v>
                </c:pt>
                <c:pt idx="8">
                  <c:v>7.8276239376643186</c:v>
                </c:pt>
                <c:pt idx="9">
                  <c:v>9.9268863381668453</c:v>
                </c:pt>
                <c:pt idx="10">
                  <c:v>12.615772171156383</c:v>
                </c:pt>
                <c:pt idx="11">
                  <c:v>16.902454261433501</c:v>
                </c:pt>
                <c:pt idx="12">
                  <c:v>22.215182645896885</c:v>
                </c:pt>
                <c:pt idx="13">
                  <c:v>29.375764407782935</c:v>
                </c:pt>
                <c:pt idx="14">
                  <c:v>37.161626218540491</c:v>
                </c:pt>
                <c:pt idx="15">
                  <c:v>46.528391778630606</c:v>
                </c:pt>
                <c:pt idx="16">
                  <c:v>62.167474346866577</c:v>
                </c:pt>
                <c:pt idx="17">
                  <c:v>76.604843940070168</c:v>
                </c:pt>
                <c:pt idx="18">
                  <c:v>103.03394717983082</c:v>
                </c:pt>
                <c:pt idx="19">
                  <c:v>126.96806880693363</c:v>
                </c:pt>
                <c:pt idx="20">
                  <c:v>171.35760359461244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8CA-4578-BBFE-F9BC21A0002B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Dados!$S$2:$S$22</c:f>
              <c:numCache>
                <c:formatCode>General</c:formatCode>
                <c:ptCount val="21"/>
                <c:pt idx="0">
                  <c:v>1</c:v>
                </c:pt>
                <c:pt idx="1">
                  <c:v>1.3431288131319883</c:v>
                </c:pt>
                <c:pt idx="2">
                  <c:v>1.6743059686620052</c:v>
                </c:pt>
                <c:pt idx="3">
                  <c:v>2.1776076332265357</c:v>
                </c:pt>
                <c:pt idx="4">
                  <c:v>2.7542747057514219</c:v>
                </c:pt>
                <c:pt idx="5">
                  <c:v>3.6735332539309722</c:v>
                </c:pt>
                <c:pt idx="6">
                  <c:v>4.9155523929531997</c:v>
                </c:pt>
                <c:pt idx="7">
                  <c:v>6.4031223819524055</c:v>
                </c:pt>
                <c:pt idx="8">
                  <c:v>7.8231003838068576</c:v>
                </c:pt>
                <c:pt idx="9">
                  <c:v>9.8566043183468715</c:v>
                </c:pt>
                <c:pt idx="10">
                  <c:v>13.006821082768122</c:v>
                </c:pt>
                <c:pt idx="11">
                  <c:v>17.075865858354607</c:v>
                </c:pt>
                <c:pt idx="12">
                  <c:v>21.809753716591388</c:v>
                </c:pt>
                <c:pt idx="13">
                  <c:v>28.538565618319115</c:v>
                </c:pt>
                <c:pt idx="14">
                  <c:v>37.954930125020525</c:v>
                </c:pt>
                <c:pt idx="15">
                  <c:v>48.090533583328806</c:v>
                </c:pt>
                <c:pt idx="16">
                  <c:v>64.744217950494814</c:v>
                </c:pt>
                <c:pt idx="17">
                  <c:v>82.474390892543596</c:v>
                </c:pt>
                <c:pt idx="18">
                  <c:v>104.84996270050374</c:v>
                </c:pt>
                <c:pt idx="19">
                  <c:v>131.93629335728394</c:v>
                </c:pt>
                <c:pt idx="20">
                  <c:v>169.63344959118271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8CA-4578-BBFE-F9BC21A0002B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Dados!$T$2:$T$22</c:f>
              <c:numCache>
                <c:formatCode>General</c:formatCode>
                <c:ptCount val="21"/>
                <c:pt idx="0">
                  <c:v>1</c:v>
                </c:pt>
                <c:pt idx="1">
                  <c:v>1.3206858252896094</c:v>
                </c:pt>
                <c:pt idx="2">
                  <c:v>1.7607282820333769</c:v>
                </c:pt>
                <c:pt idx="3">
                  <c:v>2.2749035998510259</c:v>
                </c:pt>
                <c:pt idx="4">
                  <c:v>2.9105893429567766</c:v>
                </c:pt>
                <c:pt idx="5">
                  <c:v>3.5822302568187094</c:v>
                </c:pt>
                <c:pt idx="6">
                  <c:v>4.4172598586152931</c:v>
                </c:pt>
                <c:pt idx="7">
                  <c:v>5.7544407143201592</c:v>
                </c:pt>
                <c:pt idx="8">
                  <c:v>7.4518376008575702</c:v>
                </c:pt>
                <c:pt idx="9">
                  <c:v>9.9267160800444589</c:v>
                </c:pt>
                <c:pt idx="10">
                  <c:v>13.081150725063537</c:v>
                </c:pt>
                <c:pt idx="11">
                  <c:v>16.520034000533187</c:v>
                </c:pt>
                <c:pt idx="12">
                  <c:v>20.51218024982547</c:v>
                </c:pt>
                <c:pt idx="13">
                  <c:v>26.12523250596956</c:v>
                </c:pt>
                <c:pt idx="14">
                  <c:v>35.117597213676653</c:v>
                </c:pt>
                <c:pt idx="15">
                  <c:v>46.015658647521093</c:v>
                </c:pt>
                <c:pt idx="16">
                  <c:v>59.683048708583549</c:v>
                </c:pt>
                <c:pt idx="17">
                  <c:v>78.730386980191327</c:v>
                </c:pt>
                <c:pt idx="18">
                  <c:v>103.14827637444942</c:v>
                </c:pt>
                <c:pt idx="19">
                  <c:v>130.80185145987028</c:v>
                </c:pt>
                <c:pt idx="20">
                  <c:v>166.11004424742362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8CA-4578-BBFE-F9BC21A0002B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Dados!$U$2:$U$22</c:f>
              <c:numCache>
                <c:formatCode>General</c:formatCode>
                <c:ptCount val="21"/>
                <c:pt idx="0">
                  <c:v>1</c:v>
                </c:pt>
                <c:pt idx="1">
                  <c:v>1.2874367416605585</c:v>
                </c:pt>
                <c:pt idx="2">
                  <c:v>1.588675032728468</c:v>
                </c:pt>
                <c:pt idx="3">
                  <c:v>2.0850807960463706</c:v>
                </c:pt>
                <c:pt idx="4">
                  <c:v>2.7700899275813442</c:v>
                </c:pt>
                <c:pt idx="5">
                  <c:v>3.69247783957023</c:v>
                </c:pt>
                <c:pt idx="6">
                  <c:v>4.9735155124154824</c:v>
                </c:pt>
                <c:pt idx="7">
                  <c:v>6.1007226133695509</c:v>
                </c:pt>
                <c:pt idx="8">
                  <c:v>8.2260913085390914</c:v>
                </c:pt>
                <c:pt idx="9">
                  <c:v>10.776438303360639</c:v>
                </c:pt>
                <c:pt idx="10">
                  <c:v>13.723257574634617</c:v>
                </c:pt>
                <c:pt idx="11">
                  <c:v>17.636261942997745</c:v>
                </c:pt>
                <c:pt idx="12">
                  <c:v>23.497083567575704</c:v>
                </c:pt>
                <c:pt idx="13">
                  <c:v>31.619898683486632</c:v>
                </c:pt>
                <c:pt idx="14">
                  <c:v>38.978109275195315</c:v>
                </c:pt>
                <c:pt idx="15">
                  <c:v>49.666379049159815</c:v>
                </c:pt>
                <c:pt idx="16">
                  <c:v>60.829394563972443</c:v>
                </c:pt>
                <c:pt idx="17">
                  <c:v>77.751571832534665</c:v>
                </c:pt>
                <c:pt idx="18">
                  <c:v>99.414538607272235</c:v>
                </c:pt>
                <c:pt idx="19">
                  <c:v>121.69854829343294</c:v>
                </c:pt>
                <c:pt idx="20">
                  <c:v>157.83439532262202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8CA-4578-BBFE-F9BC21A0002B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Dados!$V$2:$V$22</c:f>
              <c:numCache>
                <c:formatCode>General</c:formatCode>
                <c:ptCount val="21"/>
                <c:pt idx="0">
                  <c:v>1</c:v>
                </c:pt>
                <c:pt idx="1">
                  <c:v>1.2968807848631356</c:v>
                </c:pt>
                <c:pt idx="2">
                  <c:v>1.6602296276564563</c:v>
                </c:pt>
                <c:pt idx="3">
                  <c:v>2.1880324798098125</c:v>
                </c:pt>
                <c:pt idx="4">
                  <c:v>2.7472182492943049</c:v>
                </c:pt>
                <c:pt idx="5">
                  <c:v>3.5830265672883015</c:v>
                </c:pt>
                <c:pt idx="6">
                  <c:v>4.6689164983673628</c:v>
                </c:pt>
                <c:pt idx="7">
                  <c:v>6.1510741312140924</c:v>
                </c:pt>
                <c:pt idx="8">
                  <c:v>8.2724775867836815</c:v>
                </c:pt>
                <c:pt idx="9">
                  <c:v>10.553525569300309</c:v>
                </c:pt>
                <c:pt idx="10">
                  <c:v>14.1562493961643</c:v>
                </c:pt>
                <c:pt idx="11">
                  <c:v>19.02129756537984</c:v>
                </c:pt>
                <c:pt idx="12">
                  <c:v>25.11894235538918</c:v>
                </c:pt>
                <c:pt idx="13">
                  <c:v>32.31473786457709</c:v>
                </c:pt>
                <c:pt idx="14">
                  <c:v>40.603165619893296</c:v>
                </c:pt>
                <c:pt idx="15">
                  <c:v>49.711951274699295</c:v>
                </c:pt>
                <c:pt idx="16">
                  <c:v>65.328195267815275</c:v>
                </c:pt>
                <c:pt idx="17">
                  <c:v>87.484702180097955</c:v>
                </c:pt>
                <c:pt idx="18">
                  <c:v>117.57152561268994</c:v>
                </c:pt>
                <c:pt idx="19">
                  <c:v>146.3506800687083</c:v>
                </c:pt>
                <c:pt idx="20">
                  <c:v>185.88069867455081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8CA-4578-BBFE-F9BC21A0002B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Dados!$W$2:$W$22</c:f>
              <c:numCache>
                <c:formatCode>General</c:formatCode>
                <c:ptCount val="21"/>
                <c:pt idx="0">
                  <c:v>1</c:v>
                </c:pt>
                <c:pt idx="1">
                  <c:v>1.3194046834015665</c:v>
                </c:pt>
                <c:pt idx="2">
                  <c:v>1.727190819150803</c:v>
                </c:pt>
                <c:pt idx="3">
                  <c:v>2.2867496240772796</c:v>
                </c:pt>
                <c:pt idx="4">
                  <c:v>2.9877123140292694</c:v>
                </c:pt>
                <c:pt idx="5">
                  <c:v>3.7984953370021319</c:v>
                </c:pt>
                <c:pt idx="6">
                  <c:v>4.6934170873388146</c:v>
                </c:pt>
                <c:pt idx="7">
                  <c:v>5.9753172401992121</c:v>
                </c:pt>
                <c:pt idx="8">
                  <c:v>7.6773786131770638</c:v>
                </c:pt>
                <c:pt idx="9">
                  <c:v>10.116783675604548</c:v>
                </c:pt>
                <c:pt idx="10">
                  <c:v>13.018840241197378</c:v>
                </c:pt>
                <c:pt idx="11">
                  <c:v>17.406218371665073</c:v>
                </c:pt>
                <c:pt idx="12">
                  <c:v>22.900887314778572</c:v>
                </c:pt>
                <c:pt idx="13">
                  <c:v>28.2693991318008</c:v>
                </c:pt>
                <c:pt idx="14">
                  <c:v>35.425167317475719</c:v>
                </c:pt>
                <c:pt idx="15">
                  <c:v>44.372423188373972</c:v>
                </c:pt>
                <c:pt idx="16">
                  <c:v>54.310843993723168</c:v>
                </c:pt>
                <c:pt idx="17">
                  <c:v>67.04246755422686</c:v>
                </c:pt>
                <c:pt idx="18">
                  <c:v>85.637447459188706</c:v>
                </c:pt>
                <c:pt idx="19">
                  <c:v>107.30305647894509</c:v>
                </c:pt>
                <c:pt idx="20">
                  <c:v>134.2638232981611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8CA-4578-BBFE-F9BC21A0002B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Dados!$X$2:$X$22</c:f>
              <c:numCache>
                <c:formatCode>General</c:formatCode>
                <c:ptCount val="21"/>
                <c:pt idx="0">
                  <c:v>1</c:v>
                </c:pt>
                <c:pt idx="1">
                  <c:v>1.2217841981120738</c:v>
                </c:pt>
                <c:pt idx="2">
                  <c:v>1.5091696781147337</c:v>
                </c:pt>
                <c:pt idx="3">
                  <c:v>1.9786353215513035</c:v>
                </c:pt>
                <c:pt idx="4">
                  <c:v>2.4175542877234255</c:v>
                </c:pt>
                <c:pt idx="5">
                  <c:v>3.0699272357542133</c:v>
                </c:pt>
                <c:pt idx="6">
                  <c:v>4.0872794258772194</c:v>
                </c:pt>
                <c:pt idx="7">
                  <c:v>5.0499855578391122</c:v>
                </c:pt>
                <c:pt idx="8">
                  <c:v>6.5640095331065273</c:v>
                </c:pt>
                <c:pt idx="9">
                  <c:v>8.8319145581509506</c:v>
                </c:pt>
                <c:pt idx="10">
                  <c:v>11.356651933219874</c:v>
                </c:pt>
                <c:pt idx="11">
                  <c:v>15.034791027273737</c:v>
                </c:pt>
                <c:pt idx="12">
                  <c:v>19.593385685012027</c:v>
                </c:pt>
                <c:pt idx="13">
                  <c:v>25.870805123685436</c:v>
                </c:pt>
                <c:pt idx="14">
                  <c:v>33.903162092828651</c:v>
                </c:pt>
                <c:pt idx="15">
                  <c:v>45.243125726848795</c:v>
                </c:pt>
                <c:pt idx="16">
                  <c:v>58.894214631210644</c:v>
                </c:pt>
                <c:pt idx="17">
                  <c:v>77.104064766806616</c:v>
                </c:pt>
                <c:pt idx="18">
                  <c:v>99.845985223120621</c:v>
                </c:pt>
                <c:pt idx="19">
                  <c:v>134.10668676834086</c:v>
                </c:pt>
                <c:pt idx="20">
                  <c:v>169.29220934334165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8CA-4578-BBFE-F9BC21A0002B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Dados!$Y$2:$Y$22</c:f>
              <c:numCache>
                <c:formatCode>General</c:formatCode>
                <c:ptCount val="21"/>
                <c:pt idx="0">
                  <c:v>1</c:v>
                </c:pt>
                <c:pt idx="1">
                  <c:v>1.2253122255898281</c:v>
                </c:pt>
                <c:pt idx="2">
                  <c:v>1.5034064951321267</c:v>
                </c:pt>
                <c:pt idx="3">
                  <c:v>2.0086512755891857</c:v>
                </c:pt>
                <c:pt idx="4">
                  <c:v>2.6083356172534811</c:v>
                </c:pt>
                <c:pt idx="5">
                  <c:v>3.1904545730197751</c:v>
                </c:pt>
                <c:pt idx="6">
                  <c:v>4.2970626379761114</c:v>
                </c:pt>
                <c:pt idx="7">
                  <c:v>5.2654947013591187</c:v>
                </c:pt>
                <c:pt idx="8">
                  <c:v>6.853084194901701</c:v>
                </c:pt>
                <c:pt idx="9">
                  <c:v>8.4963793536461356</c:v>
                </c:pt>
                <c:pt idx="10">
                  <c:v>11.002462267512778</c:v>
                </c:pt>
                <c:pt idx="11">
                  <c:v>13.70234961457113</c:v>
                </c:pt>
                <c:pt idx="12">
                  <c:v>18.234987278567058</c:v>
                </c:pt>
                <c:pt idx="13">
                  <c:v>22.793385593129901</c:v>
                </c:pt>
                <c:pt idx="14">
                  <c:v>28.44127724543749</c:v>
                </c:pt>
                <c:pt idx="15">
                  <c:v>36.781201432065032</c:v>
                </c:pt>
                <c:pt idx="16">
                  <c:v>49.03157509687226</c:v>
                </c:pt>
                <c:pt idx="17">
                  <c:v>60.578269202983023</c:v>
                </c:pt>
                <c:pt idx="18">
                  <c:v>75.792315312640454</c:v>
                </c:pt>
                <c:pt idx="19">
                  <c:v>95.101916728180527</c:v>
                </c:pt>
                <c:pt idx="20">
                  <c:v>119.98254581410278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8CA-4578-BBFE-F9BC21A0002B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Dados!$Z$2:$Z$22</c:f>
              <c:numCache>
                <c:formatCode>General</c:formatCode>
                <c:ptCount val="21"/>
                <c:pt idx="0">
                  <c:v>1</c:v>
                </c:pt>
                <c:pt idx="1">
                  <c:v>1.3052067510972736</c:v>
                </c:pt>
                <c:pt idx="2">
                  <c:v>1.6600632291887947</c:v>
                </c:pt>
                <c:pt idx="3">
                  <c:v>2.0312314188433058</c:v>
                </c:pt>
                <c:pt idx="4">
                  <c:v>2.6867724486980413</c:v>
                </c:pt>
                <c:pt idx="5">
                  <c:v>3.3247511931815925</c:v>
                </c:pt>
                <c:pt idx="6">
                  <c:v>4.3411389835607457</c:v>
                </c:pt>
                <c:pt idx="7">
                  <c:v>5.4515910102422547</c:v>
                </c:pt>
                <c:pt idx="8">
                  <c:v>6.7973432113706114</c:v>
                </c:pt>
                <c:pt idx="9">
                  <c:v>8.3055767110263314</c:v>
                </c:pt>
                <c:pt idx="10">
                  <c:v>10.679653728182268</c:v>
                </c:pt>
                <c:pt idx="11">
                  <c:v>14.403427055344489</c:v>
                </c:pt>
                <c:pt idx="12">
                  <c:v>17.599603645556368</c:v>
                </c:pt>
                <c:pt idx="13">
                  <c:v>23.331201638488835</c:v>
                </c:pt>
                <c:pt idx="14">
                  <c:v>31.404465448898129</c:v>
                </c:pt>
                <c:pt idx="15">
                  <c:v>39.802023961459142</c:v>
                </c:pt>
                <c:pt idx="16">
                  <c:v>50.738283742614591</c:v>
                </c:pt>
                <c:pt idx="17">
                  <c:v>64.079058902803524</c:v>
                </c:pt>
                <c:pt idx="18">
                  <c:v>80.598800706966017</c:v>
                </c:pt>
                <c:pt idx="19">
                  <c:v>100.37830096349731</c:v>
                </c:pt>
                <c:pt idx="20">
                  <c:v>134.6031182598509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8CA-4578-BBFE-F9BC21A0002B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Dados!$AA$2:$AA$22</c:f>
              <c:numCache>
                <c:formatCode>General</c:formatCode>
                <c:ptCount val="21"/>
                <c:pt idx="0">
                  <c:v>1</c:v>
                </c:pt>
                <c:pt idx="1">
                  <c:v>1.3307358862575065</c:v>
                </c:pt>
                <c:pt idx="2">
                  <c:v>1.749174098832843</c:v>
                </c:pt>
                <c:pt idx="3">
                  <c:v>2.1803372351998775</c:v>
                </c:pt>
                <c:pt idx="4">
                  <c:v>2.8732060661160999</c:v>
                </c:pt>
                <c:pt idx="5">
                  <c:v>3.7728618484810248</c:v>
                </c:pt>
                <c:pt idx="6">
                  <c:v>4.6494554438402034</c:v>
                </c:pt>
                <c:pt idx="7">
                  <c:v>5.9484726008171158</c:v>
                </c:pt>
                <c:pt idx="8">
                  <c:v>7.907840752137135</c:v>
                </c:pt>
                <c:pt idx="9">
                  <c:v>10.533550965989974</c:v>
                </c:pt>
                <c:pt idx="10">
                  <c:v>14.083618393221798</c:v>
                </c:pt>
                <c:pt idx="11">
                  <c:v>18.949679730093877</c:v>
                </c:pt>
                <c:pt idx="12">
                  <c:v>25.538437000232069</c:v>
                </c:pt>
                <c:pt idx="13">
                  <c:v>33.480216811849857</c:v>
                </c:pt>
                <c:pt idx="14">
                  <c:v>41.692394765506251</c:v>
                </c:pt>
                <c:pt idx="15">
                  <c:v>51.97525695915585</c:v>
                </c:pt>
                <c:pt idx="16">
                  <c:v>65.976430494400361</c:v>
                </c:pt>
                <c:pt idx="17">
                  <c:v>82.219699522291364</c:v>
                </c:pt>
                <c:pt idx="18">
                  <c:v>107.27632248814997</c:v>
                </c:pt>
                <c:pt idx="19">
                  <c:v>138.04700805767433</c:v>
                </c:pt>
                <c:pt idx="20">
                  <c:v>177.13698481736608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F8CA-4578-BBFE-F9BC21A0002B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Dados!$AB$2:$AB$22</c:f>
              <c:numCache>
                <c:formatCode>General</c:formatCode>
                <c:ptCount val="21"/>
                <c:pt idx="0">
                  <c:v>1</c:v>
                </c:pt>
                <c:pt idx="1">
                  <c:v>1.2438669492861729</c:v>
                </c:pt>
                <c:pt idx="2">
                  <c:v>1.5700575594597781</c:v>
                </c:pt>
                <c:pt idx="3">
                  <c:v>1.9257909774998603</c:v>
                </c:pt>
                <c:pt idx="4">
                  <c:v>2.3618663112508647</c:v>
                </c:pt>
                <c:pt idx="5">
                  <c:v>3.0591515372868932</c:v>
                </c:pt>
                <c:pt idx="6">
                  <c:v>3.9658897659386221</c:v>
                </c:pt>
                <c:pt idx="7">
                  <c:v>5.2642405139197903</c:v>
                </c:pt>
                <c:pt idx="8">
                  <c:v>6.860156085698736</c:v>
                </c:pt>
                <c:pt idx="9">
                  <c:v>9.0578581736703399</c:v>
                </c:pt>
                <c:pt idx="10">
                  <c:v>12.184863286097723</c:v>
                </c:pt>
                <c:pt idx="11">
                  <c:v>15.447004192471029</c:v>
                </c:pt>
                <c:pt idx="12">
                  <c:v>20.354512427230539</c:v>
                </c:pt>
                <c:pt idx="13">
                  <c:v>27.38335692529748</c:v>
                </c:pt>
                <c:pt idx="14">
                  <c:v>36.504068110354027</c:v>
                </c:pt>
                <c:pt idx="15">
                  <c:v>49.263757400726078</c:v>
                </c:pt>
                <c:pt idx="16">
                  <c:v>63.972458274420902</c:v>
                </c:pt>
                <c:pt idx="17">
                  <c:v>85.64989450956999</c:v>
                </c:pt>
                <c:pt idx="18">
                  <c:v>111.32561930010195</c:v>
                </c:pt>
                <c:pt idx="19">
                  <c:v>144.25275213287551</c:v>
                </c:pt>
                <c:pt idx="20">
                  <c:v>179.66574057141702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F8CA-4578-BBFE-F9BC21A0002B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Dados!$AC$2:$AC$22</c:f>
              <c:numCache>
                <c:formatCode>General</c:formatCode>
                <c:ptCount val="21"/>
                <c:pt idx="0">
                  <c:v>1</c:v>
                </c:pt>
                <c:pt idx="1">
                  <c:v>1.3354781362490409</c:v>
                </c:pt>
                <c:pt idx="2">
                  <c:v>1.7111102173104675</c:v>
                </c:pt>
                <c:pt idx="3">
                  <c:v>2.2280163327259142</c:v>
                </c:pt>
                <c:pt idx="4">
                  <c:v>2.7316634246144575</c:v>
                </c:pt>
                <c:pt idx="5">
                  <c:v>3.5672385667753366</c:v>
                </c:pt>
                <c:pt idx="6">
                  <c:v>4.6400819941190505</c:v>
                </c:pt>
                <c:pt idx="7">
                  <c:v>6.0918141930919321</c:v>
                </c:pt>
                <c:pt idx="8">
                  <c:v>8.0565018811684226</c:v>
                </c:pt>
                <c:pt idx="9">
                  <c:v>10.235914535243849</c:v>
                </c:pt>
                <c:pt idx="10">
                  <c:v>12.712916210580014</c:v>
                </c:pt>
                <c:pt idx="11">
                  <c:v>17.085134845631586</c:v>
                </c:pt>
                <c:pt idx="12">
                  <c:v>21.899952815485541</c:v>
                </c:pt>
                <c:pt idx="13">
                  <c:v>28.367079558471119</c:v>
                </c:pt>
                <c:pt idx="14">
                  <c:v>35.565306116162873</c:v>
                </c:pt>
                <c:pt idx="15">
                  <c:v>44.986012090371347</c:v>
                </c:pt>
                <c:pt idx="16">
                  <c:v>56.665239378102207</c:v>
                </c:pt>
                <c:pt idx="17">
                  <c:v>71.209055886740458</c:v>
                </c:pt>
                <c:pt idx="18">
                  <c:v>88.209815194121106</c:v>
                </c:pt>
                <c:pt idx="19">
                  <c:v>112.52271129831608</c:v>
                </c:pt>
                <c:pt idx="20">
                  <c:v>143.31866250037123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F8CA-4578-BBFE-F9BC21A0002B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Dados!$AD$2:$AD$22</c:f>
              <c:numCache>
                <c:formatCode>General</c:formatCode>
                <c:ptCount val="21"/>
                <c:pt idx="0">
                  <c:v>1</c:v>
                </c:pt>
                <c:pt idx="1">
                  <c:v>1.2624489193984874</c:v>
                </c:pt>
                <c:pt idx="2">
                  <c:v>1.6692831181640619</c:v>
                </c:pt>
                <c:pt idx="3">
                  <c:v>2.1774759728461395</c:v>
                </c:pt>
                <c:pt idx="4">
                  <c:v>2.7702651734751784</c:v>
                </c:pt>
                <c:pt idx="5">
                  <c:v>3.4349277307820598</c:v>
                </c:pt>
                <c:pt idx="6">
                  <c:v>4.3759917362641767</c:v>
                </c:pt>
                <c:pt idx="7">
                  <c:v>5.7010951223107975</c:v>
                </c:pt>
                <c:pt idx="8">
                  <c:v>7.0848697235844531</c:v>
                </c:pt>
                <c:pt idx="9">
                  <c:v>8.866366480280373</c:v>
                </c:pt>
                <c:pt idx="10">
                  <c:v>11.19467876108685</c:v>
                </c:pt>
                <c:pt idx="11">
                  <c:v>14.777528066208378</c:v>
                </c:pt>
                <c:pt idx="12">
                  <c:v>18.160632630568028</c:v>
                </c:pt>
                <c:pt idx="13">
                  <c:v>22.274242609681721</c:v>
                </c:pt>
                <c:pt idx="14">
                  <c:v>27.460290159725037</c:v>
                </c:pt>
                <c:pt idx="15">
                  <c:v>36.647352301066832</c:v>
                </c:pt>
                <c:pt idx="16">
                  <c:v>49.24661556709296</c:v>
                </c:pt>
                <c:pt idx="17">
                  <c:v>62.106199762817482</c:v>
                </c:pt>
                <c:pt idx="18">
                  <c:v>76.907252449430814</c:v>
                </c:pt>
                <c:pt idx="19">
                  <c:v>96.535054697034539</c:v>
                </c:pt>
                <c:pt idx="20">
                  <c:v>128.99114074171456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F8CA-4578-BBFE-F9BC21A0002B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Dados!$AE$2:$AE$22</c:f>
              <c:numCache>
                <c:formatCode>General</c:formatCode>
                <c:ptCount val="21"/>
                <c:pt idx="0">
                  <c:v>1</c:v>
                </c:pt>
                <c:pt idx="1">
                  <c:v>1.2603893310875638</c:v>
                </c:pt>
                <c:pt idx="2">
                  <c:v>1.6869939898947077</c:v>
                </c:pt>
                <c:pt idx="3">
                  <c:v>2.2198828864618152</c:v>
                </c:pt>
                <c:pt idx="4">
                  <c:v>2.9962165816200601</c:v>
                </c:pt>
                <c:pt idx="5">
                  <c:v>3.936390447029821</c:v>
                </c:pt>
                <c:pt idx="6">
                  <c:v>4.9959725271156374</c:v>
                </c:pt>
                <c:pt idx="7">
                  <c:v>6.4252696835540872</c:v>
                </c:pt>
                <c:pt idx="8">
                  <c:v>8.2867112283771451</c:v>
                </c:pt>
                <c:pt idx="9">
                  <c:v>10.768345389547427</c:v>
                </c:pt>
                <c:pt idx="10">
                  <c:v>14.070164828816651</c:v>
                </c:pt>
                <c:pt idx="11">
                  <c:v>18.874739725629041</c:v>
                </c:pt>
                <c:pt idx="12">
                  <c:v>25.136847457062366</c:v>
                </c:pt>
                <c:pt idx="13">
                  <c:v>32.965186426437278</c:v>
                </c:pt>
                <c:pt idx="14">
                  <c:v>40.912514679133906</c:v>
                </c:pt>
                <c:pt idx="15">
                  <c:v>52.402660169701413</c:v>
                </c:pt>
                <c:pt idx="16">
                  <c:v>66.051848842092525</c:v>
                </c:pt>
                <c:pt idx="17">
                  <c:v>88.735326855267473</c:v>
                </c:pt>
                <c:pt idx="18">
                  <c:v>112.17500692515739</c:v>
                </c:pt>
                <c:pt idx="19">
                  <c:v>147.18566751754955</c:v>
                </c:pt>
                <c:pt idx="20">
                  <c:v>184.09343187609616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F8CA-4578-BBFE-F9BC21A0002B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Dados!$AF$2:$AF$22</c:f>
              <c:numCache>
                <c:formatCode>General</c:formatCode>
                <c:ptCount val="21"/>
                <c:pt idx="0">
                  <c:v>1</c:v>
                </c:pt>
                <c:pt idx="1">
                  <c:v>1.3328652596819741</c:v>
                </c:pt>
                <c:pt idx="2">
                  <c:v>1.7420447112877437</c:v>
                </c:pt>
                <c:pt idx="3">
                  <c:v>2.2223555744597174</c:v>
                </c:pt>
                <c:pt idx="4">
                  <c:v>2.8696612922680966</c:v>
                </c:pt>
                <c:pt idx="5">
                  <c:v>3.6041510091796658</c:v>
                </c:pt>
                <c:pt idx="6">
                  <c:v>4.6522746116624454</c:v>
                </c:pt>
                <c:pt idx="7">
                  <c:v>6.2446187749469093</c:v>
                </c:pt>
                <c:pt idx="8">
                  <c:v>8.1896011303344167</c:v>
                </c:pt>
                <c:pt idx="9">
                  <c:v>10.888149445527981</c:v>
                </c:pt>
                <c:pt idx="10">
                  <c:v>13.843649892690435</c:v>
                </c:pt>
                <c:pt idx="11">
                  <c:v>18.608586562308673</c:v>
                </c:pt>
                <c:pt idx="12">
                  <c:v>22.780926250268564</c:v>
                </c:pt>
                <c:pt idx="13">
                  <c:v>27.850112245576717</c:v>
                </c:pt>
                <c:pt idx="14">
                  <c:v>36.45609714232075</c:v>
                </c:pt>
                <c:pt idx="15">
                  <c:v>48.278518214780632</c:v>
                </c:pt>
                <c:pt idx="16">
                  <c:v>59.393234334292522</c:v>
                </c:pt>
                <c:pt idx="17">
                  <c:v>74.617168192061712</c:v>
                </c:pt>
                <c:pt idx="18">
                  <c:v>95.575897042465357</c:v>
                </c:pt>
                <c:pt idx="19">
                  <c:v>117.51624221865877</c:v>
                </c:pt>
                <c:pt idx="20">
                  <c:v>156.37701664712571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F8CA-4578-BBFE-F9BC21A0002B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Dados!$AG$2:$AG$22</c:f>
              <c:numCache>
                <c:formatCode>General</c:formatCode>
                <c:ptCount val="21"/>
                <c:pt idx="0">
                  <c:v>1</c:v>
                </c:pt>
                <c:pt idx="1">
                  <c:v>1.282171058285269</c:v>
                </c:pt>
                <c:pt idx="2">
                  <c:v>1.6066189580820927</c:v>
                </c:pt>
                <c:pt idx="3">
                  <c:v>2.0676588131666875</c:v>
                </c:pt>
                <c:pt idx="4">
                  <c:v>2.7198718950603338</c:v>
                </c:pt>
                <c:pt idx="5">
                  <c:v>3.4671098156334303</c:v>
                </c:pt>
                <c:pt idx="6">
                  <c:v>4.3060770921127149</c:v>
                </c:pt>
                <c:pt idx="7">
                  <c:v>5.567678861058365</c:v>
                </c:pt>
                <c:pt idx="8">
                  <c:v>6.824793367024597</c:v>
                </c:pt>
                <c:pt idx="9">
                  <c:v>8.9649523104162085</c:v>
                </c:pt>
                <c:pt idx="10">
                  <c:v>11.1294239932586</c:v>
                </c:pt>
                <c:pt idx="11">
                  <c:v>13.801095323080274</c:v>
                </c:pt>
                <c:pt idx="12">
                  <c:v>16.872589603865158</c:v>
                </c:pt>
                <c:pt idx="13">
                  <c:v>22.613122526230139</c:v>
                </c:pt>
                <c:pt idx="14">
                  <c:v>28.595852263101563</c:v>
                </c:pt>
                <c:pt idx="15">
                  <c:v>37.383496511742848</c:v>
                </c:pt>
                <c:pt idx="16">
                  <c:v>48.302559468420952</c:v>
                </c:pt>
                <c:pt idx="17">
                  <c:v>62.768599975996914</c:v>
                </c:pt>
                <c:pt idx="18">
                  <c:v>79.198723504099945</c:v>
                </c:pt>
                <c:pt idx="19">
                  <c:v>103.66180832075744</c:v>
                </c:pt>
                <c:pt idx="20">
                  <c:v>136.05148532628706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F8CA-4578-BBFE-F9BC21A0002B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Dados!$AH$2:$AH$22</c:f>
              <c:numCache>
                <c:formatCode>General</c:formatCode>
                <c:ptCount val="21"/>
                <c:pt idx="0">
                  <c:v>1</c:v>
                </c:pt>
                <c:pt idx="1">
                  <c:v>1.3438164874970668</c:v>
                </c:pt>
                <c:pt idx="2">
                  <c:v>1.7081694767781346</c:v>
                </c:pt>
                <c:pt idx="3">
                  <c:v>2.1422064055318426</c:v>
                </c:pt>
                <c:pt idx="4">
                  <c:v>2.6309554833761188</c:v>
                </c:pt>
                <c:pt idx="5">
                  <c:v>3.303498697145407</c:v>
                </c:pt>
                <c:pt idx="6">
                  <c:v>4.3029780239355944</c:v>
                </c:pt>
                <c:pt idx="7">
                  <c:v>5.632618391741083</c:v>
                </c:pt>
                <c:pt idx="8">
                  <c:v>7.120147571305389</c:v>
                </c:pt>
                <c:pt idx="9">
                  <c:v>8.775761262461991</c:v>
                </c:pt>
                <c:pt idx="10">
                  <c:v>11.81434012815367</c:v>
                </c:pt>
                <c:pt idx="11">
                  <c:v>15.643989680592231</c:v>
                </c:pt>
                <c:pt idx="12">
                  <c:v>19.631109234034799</c:v>
                </c:pt>
                <c:pt idx="13">
                  <c:v>25.01939186209264</c:v>
                </c:pt>
                <c:pt idx="14">
                  <c:v>31.307781260877707</c:v>
                </c:pt>
                <c:pt idx="15">
                  <c:v>40.445159608785168</c:v>
                </c:pt>
                <c:pt idx="16">
                  <c:v>52.52027367029396</c:v>
                </c:pt>
                <c:pt idx="17">
                  <c:v>64.639244524486216</c:v>
                </c:pt>
                <c:pt idx="18">
                  <c:v>84.068838590382754</c:v>
                </c:pt>
                <c:pt idx="19">
                  <c:v>107.43416069714746</c:v>
                </c:pt>
                <c:pt idx="20">
                  <c:v>139.4886745519504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F8CA-4578-BBFE-F9BC21A0002B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Dados!$AI$2:$AI$22</c:f>
              <c:numCache>
                <c:formatCode>General</c:formatCode>
                <c:ptCount val="21"/>
                <c:pt idx="0">
                  <c:v>1</c:v>
                </c:pt>
                <c:pt idx="1">
                  <c:v>1.2435509175664423</c:v>
                </c:pt>
                <c:pt idx="2">
                  <c:v>1.6426589893419816</c:v>
                </c:pt>
                <c:pt idx="3">
                  <c:v>2.1439939877778738</c:v>
                </c:pt>
                <c:pt idx="4">
                  <c:v>2.8570259799195545</c:v>
                </c:pt>
                <c:pt idx="5">
                  <c:v>3.5270901948309747</c:v>
                </c:pt>
                <c:pt idx="6">
                  <c:v>4.4294801746295143</c:v>
                </c:pt>
                <c:pt idx="7">
                  <c:v>5.68414593437618</c:v>
                </c:pt>
                <c:pt idx="8">
                  <c:v>7.6543398571748993</c:v>
                </c:pt>
                <c:pt idx="9">
                  <c:v>10.238527748826179</c:v>
                </c:pt>
                <c:pt idx="10">
                  <c:v>13.629300990456395</c:v>
                </c:pt>
                <c:pt idx="11">
                  <c:v>17.216771599598761</c:v>
                </c:pt>
                <c:pt idx="12">
                  <c:v>22.591430282572283</c:v>
                </c:pt>
                <c:pt idx="13">
                  <c:v>27.859162469103214</c:v>
                </c:pt>
                <c:pt idx="14">
                  <c:v>35.493825238613688</c:v>
                </c:pt>
                <c:pt idx="15">
                  <c:v>46.041889971108212</c:v>
                </c:pt>
                <c:pt idx="16">
                  <c:v>58.669522134502962</c:v>
                </c:pt>
                <c:pt idx="17">
                  <c:v>78.827396430758711</c:v>
                </c:pt>
                <c:pt idx="18">
                  <c:v>102.39525523400049</c:v>
                </c:pt>
                <c:pt idx="19">
                  <c:v>132.5631650919687</c:v>
                </c:pt>
                <c:pt idx="20">
                  <c:v>168.82233875863426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F8CA-4578-BBFE-F9BC21A0002B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Dados!$AJ$2:$AJ$22</c:f>
              <c:numCache>
                <c:formatCode>General</c:formatCode>
                <c:ptCount val="21"/>
                <c:pt idx="0">
                  <c:v>1</c:v>
                </c:pt>
                <c:pt idx="1">
                  <c:v>1.2760064609819997</c:v>
                </c:pt>
                <c:pt idx="2">
                  <c:v>1.5768229798181943</c:v>
                </c:pt>
                <c:pt idx="3">
                  <c:v>2.0510729676077948</c:v>
                </c:pt>
                <c:pt idx="4">
                  <c:v>2.6927390475713198</c:v>
                </c:pt>
                <c:pt idx="5">
                  <c:v>3.5330098179289551</c:v>
                </c:pt>
                <c:pt idx="6">
                  <c:v>4.4358150302031136</c:v>
                </c:pt>
                <c:pt idx="7">
                  <c:v>5.781098436522945</c:v>
                </c:pt>
                <c:pt idx="8">
                  <c:v>7.3441171265869372</c:v>
                </c:pt>
                <c:pt idx="9">
                  <c:v>9.4461426762845342</c:v>
                </c:pt>
                <c:pt idx="10">
                  <c:v>11.921698907742067</c:v>
                </c:pt>
                <c:pt idx="11">
                  <c:v>15.803377314721642</c:v>
                </c:pt>
                <c:pt idx="12">
                  <c:v>20.475483017188445</c:v>
                </c:pt>
                <c:pt idx="13">
                  <c:v>25.17413457684577</c:v>
                </c:pt>
                <c:pt idx="14">
                  <c:v>31.714521768811537</c:v>
                </c:pt>
                <c:pt idx="15">
                  <c:v>40.523255807990637</c:v>
                </c:pt>
                <c:pt idx="16">
                  <c:v>50.656718854753443</c:v>
                </c:pt>
                <c:pt idx="17">
                  <c:v>65.727131725103362</c:v>
                </c:pt>
                <c:pt idx="18">
                  <c:v>83.598293238918259</c:v>
                </c:pt>
                <c:pt idx="19">
                  <c:v>103.53856541717654</c:v>
                </c:pt>
                <c:pt idx="20">
                  <c:v>129.62615045531422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F8CA-4578-BBFE-F9BC21A0002B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Dados!$AK$2:$AK$22</c:f>
              <c:numCache>
                <c:formatCode>General</c:formatCode>
                <c:ptCount val="21"/>
                <c:pt idx="0">
                  <c:v>1</c:v>
                </c:pt>
                <c:pt idx="1">
                  <c:v>1.2470111992026982</c:v>
                </c:pt>
                <c:pt idx="2">
                  <c:v>1.6275726319380084</c:v>
                </c:pt>
                <c:pt idx="3">
                  <c:v>2.0038581530657238</c:v>
                </c:pt>
                <c:pt idx="4">
                  <c:v>2.6530029589556716</c:v>
                </c:pt>
                <c:pt idx="5">
                  <c:v>3.5785578292648204</c:v>
                </c:pt>
                <c:pt idx="6">
                  <c:v>4.7843646930914376</c:v>
                </c:pt>
                <c:pt idx="7">
                  <c:v>6.3485144013978099</c:v>
                </c:pt>
                <c:pt idx="8">
                  <c:v>7.9003867037087661</c:v>
                </c:pt>
                <c:pt idx="9">
                  <c:v>10.032553422733805</c:v>
                </c:pt>
                <c:pt idx="10">
                  <c:v>13.044717759132986</c:v>
                </c:pt>
                <c:pt idx="11">
                  <c:v>16.050092035743234</c:v>
                </c:pt>
                <c:pt idx="12">
                  <c:v>19.803681125234764</c:v>
                </c:pt>
                <c:pt idx="13">
                  <c:v>25.202742643125159</c:v>
                </c:pt>
                <c:pt idx="14">
                  <c:v>32.734964738810149</c:v>
                </c:pt>
                <c:pt idx="15">
                  <c:v>40.32853270383567</c:v>
                </c:pt>
                <c:pt idx="16">
                  <c:v>53.599143207164012</c:v>
                </c:pt>
                <c:pt idx="17">
                  <c:v>66.954323578383054</c:v>
                </c:pt>
                <c:pt idx="18">
                  <c:v>86.29743204047621</c:v>
                </c:pt>
                <c:pt idx="19">
                  <c:v>105.87383738334482</c:v>
                </c:pt>
                <c:pt idx="20">
                  <c:v>139.38694770388764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F8CA-4578-BBFE-F9BC21A0002B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Dados!$AL$2:$AL$22</c:f>
              <c:numCache>
                <c:formatCode>General</c:formatCode>
                <c:ptCount val="21"/>
                <c:pt idx="0">
                  <c:v>1</c:v>
                </c:pt>
                <c:pt idx="1">
                  <c:v>1.2301965059782012</c:v>
                </c:pt>
                <c:pt idx="2">
                  <c:v>1.585214477640946</c:v>
                </c:pt>
                <c:pt idx="3">
                  <c:v>2.0329688697485877</c:v>
                </c:pt>
                <c:pt idx="4">
                  <c:v>2.5789540785868015</c:v>
                </c:pt>
                <c:pt idx="5">
                  <c:v>3.1891299764260328</c:v>
                </c:pt>
                <c:pt idx="6">
                  <c:v>4.0976226145267454</c:v>
                </c:pt>
                <c:pt idx="7">
                  <c:v>5.3956921003357579</c:v>
                </c:pt>
                <c:pt idx="8">
                  <c:v>6.9651481598987504</c:v>
                </c:pt>
                <c:pt idx="9">
                  <c:v>8.8530132697006589</c:v>
                </c:pt>
                <c:pt idx="10">
                  <c:v>11.039049704730441</c:v>
                </c:pt>
                <c:pt idx="11">
                  <c:v>14.014592624579439</c:v>
                </c:pt>
                <c:pt idx="12">
                  <c:v>17.324933591910543</c:v>
                </c:pt>
                <c:pt idx="13">
                  <c:v>21.299433901916096</c:v>
                </c:pt>
                <c:pt idx="14">
                  <c:v>28.672862833081709</c:v>
                </c:pt>
                <c:pt idx="15">
                  <c:v>37.288241350110845</c:v>
                </c:pt>
                <c:pt idx="16">
                  <c:v>49.330248384947588</c:v>
                </c:pt>
                <c:pt idx="17">
                  <c:v>65.539857833836351</c:v>
                </c:pt>
                <c:pt idx="18">
                  <c:v>82.16011892792892</c:v>
                </c:pt>
                <c:pt idx="19">
                  <c:v>102.70231120876096</c:v>
                </c:pt>
                <c:pt idx="20">
                  <c:v>134.48452907316533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F8CA-4578-BBFE-F9BC21A0002B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Dados!$AM$2:$AM$22</c:f>
              <c:numCache>
                <c:formatCode>General</c:formatCode>
                <c:ptCount val="21"/>
                <c:pt idx="0">
                  <c:v>1</c:v>
                </c:pt>
                <c:pt idx="1">
                  <c:v>1.2750225464615166</c:v>
                </c:pt>
                <c:pt idx="2">
                  <c:v>1.6685117275911265</c:v>
                </c:pt>
                <c:pt idx="3">
                  <c:v>2.2091238210743365</c:v>
                </c:pt>
                <c:pt idx="4">
                  <c:v>2.8508022220349361</c:v>
                </c:pt>
                <c:pt idx="5">
                  <c:v>3.7387865640290472</c:v>
                </c:pt>
                <c:pt idx="6">
                  <c:v>4.6473237442705297</c:v>
                </c:pt>
                <c:pt idx="7">
                  <c:v>5.9027358260737701</c:v>
                </c:pt>
                <c:pt idx="8">
                  <c:v>7.2620510057296972</c:v>
                </c:pt>
                <c:pt idx="9">
                  <c:v>9.5498164542969519</c:v>
                </c:pt>
                <c:pt idx="10">
                  <c:v>12.482905097742297</c:v>
                </c:pt>
                <c:pt idx="11">
                  <c:v>15.260789920021882</c:v>
                </c:pt>
                <c:pt idx="12">
                  <c:v>20.59494534030139</c:v>
                </c:pt>
                <c:pt idx="13">
                  <c:v>25.217190476331634</c:v>
                </c:pt>
                <c:pt idx="14">
                  <c:v>32.123609513691598</c:v>
                </c:pt>
                <c:pt idx="15">
                  <c:v>41.727299392932963</c:v>
                </c:pt>
                <c:pt idx="16">
                  <c:v>52.387346542852889</c:v>
                </c:pt>
                <c:pt idx="17">
                  <c:v>66.278275715370711</c:v>
                </c:pt>
                <c:pt idx="18">
                  <c:v>81.797974370753863</c:v>
                </c:pt>
                <c:pt idx="19">
                  <c:v>100.99352199684326</c:v>
                </c:pt>
                <c:pt idx="20">
                  <c:v>133.69568307480085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F8CA-4578-BBFE-F9BC21A0002B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Dados!$AN$2:$AN$22</c:f>
              <c:numCache>
                <c:formatCode>General</c:formatCode>
                <c:ptCount val="21"/>
                <c:pt idx="0">
                  <c:v>1</c:v>
                </c:pt>
                <c:pt idx="1">
                  <c:v>1.2584184259392406</c:v>
                </c:pt>
                <c:pt idx="2">
                  <c:v>1.5679059035663523</c:v>
                </c:pt>
                <c:pt idx="3">
                  <c:v>1.9988557863242713</c:v>
                </c:pt>
                <c:pt idx="4">
                  <c:v>2.605682319208003</c:v>
                </c:pt>
                <c:pt idx="5">
                  <c:v>3.2860656243313175</c:v>
                </c:pt>
                <c:pt idx="6">
                  <c:v>4.2129121107059202</c:v>
                </c:pt>
                <c:pt idx="7">
                  <c:v>5.5832357967155035</c:v>
                </c:pt>
                <c:pt idx="8">
                  <c:v>7.1073493515058521</c:v>
                </c:pt>
                <c:pt idx="9">
                  <c:v>9.1764738751180523</c:v>
                </c:pt>
                <c:pt idx="10">
                  <c:v>12.346568619761273</c:v>
                </c:pt>
                <c:pt idx="11">
                  <c:v>15.789605977468268</c:v>
                </c:pt>
                <c:pt idx="12">
                  <c:v>20.915185699698391</c:v>
                </c:pt>
                <c:pt idx="13">
                  <c:v>28.115418741857638</c:v>
                </c:pt>
                <c:pt idx="14">
                  <c:v>35.4798070162229</c:v>
                </c:pt>
                <c:pt idx="15">
                  <c:v>46.505911633965688</c:v>
                </c:pt>
                <c:pt idx="16">
                  <c:v>56.80359731583917</c:v>
                </c:pt>
                <c:pt idx="17">
                  <c:v>72.80722839661901</c:v>
                </c:pt>
                <c:pt idx="18">
                  <c:v>93.935441448771485</c:v>
                </c:pt>
                <c:pt idx="19">
                  <c:v>120.24527678980093</c:v>
                </c:pt>
                <c:pt idx="20">
                  <c:v>154.62765358678448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F8CA-4578-BBFE-F9BC21A0002B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Dados!$AO$2:$AO$22</c:f>
              <c:numCache>
                <c:formatCode>General</c:formatCode>
                <c:ptCount val="21"/>
                <c:pt idx="0">
                  <c:v>1</c:v>
                </c:pt>
                <c:pt idx="1">
                  <c:v>1.2418119142347293</c:v>
                </c:pt>
                <c:pt idx="2">
                  <c:v>1.5597280162481995</c:v>
                </c:pt>
                <c:pt idx="3">
                  <c:v>1.9494044987224972</c:v>
                </c:pt>
                <c:pt idx="4">
                  <c:v>2.6023484831071526</c:v>
                </c:pt>
                <c:pt idx="5">
                  <c:v>3.3607031293984013</c:v>
                </c:pt>
                <c:pt idx="6">
                  <c:v>4.3268997677046297</c:v>
                </c:pt>
                <c:pt idx="7">
                  <c:v>5.5034117346826275</c:v>
                </c:pt>
                <c:pt idx="8">
                  <c:v>6.8978135977801527</c:v>
                </c:pt>
                <c:pt idx="9">
                  <c:v>8.9752149026579868</c:v>
                </c:pt>
                <c:pt idx="10">
                  <c:v>11.09004754981167</c:v>
                </c:pt>
                <c:pt idx="11">
                  <c:v>14.718629362094102</c:v>
                </c:pt>
                <c:pt idx="12">
                  <c:v>18.023982853197335</c:v>
                </c:pt>
                <c:pt idx="13">
                  <c:v>23.924693172071049</c:v>
                </c:pt>
                <c:pt idx="14">
                  <c:v>30.607187744531224</c:v>
                </c:pt>
                <c:pt idx="15">
                  <c:v>41.185918598511101</c:v>
                </c:pt>
                <c:pt idx="16">
                  <c:v>51.679682689189931</c:v>
                </c:pt>
                <c:pt idx="17">
                  <c:v>63.752537390814517</c:v>
                </c:pt>
                <c:pt idx="18">
                  <c:v>85.238380433253084</c:v>
                </c:pt>
                <c:pt idx="19">
                  <c:v>105.34835186607579</c:v>
                </c:pt>
                <c:pt idx="20">
                  <c:v>133.62931428647624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F8CA-4578-BBFE-F9BC21A0002B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Dados!$AP$2:$AP$22</c:f>
              <c:numCache>
                <c:formatCode>General</c:formatCode>
                <c:ptCount val="21"/>
                <c:pt idx="0">
                  <c:v>1</c:v>
                </c:pt>
                <c:pt idx="1">
                  <c:v>1.2518711401393305</c:v>
                </c:pt>
                <c:pt idx="2">
                  <c:v>1.6694055584612615</c:v>
                </c:pt>
                <c:pt idx="3">
                  <c:v>2.1863130631956555</c:v>
                </c:pt>
                <c:pt idx="4">
                  <c:v>2.9136603593795884</c:v>
                </c:pt>
                <c:pt idx="5">
                  <c:v>3.8260211238539181</c:v>
                </c:pt>
                <c:pt idx="6">
                  <c:v>5.0624437161957658</c:v>
                </c:pt>
                <c:pt idx="7">
                  <c:v>6.3697483531237262</c:v>
                </c:pt>
                <c:pt idx="8">
                  <c:v>8.4881771697585418</c:v>
                </c:pt>
                <c:pt idx="9">
                  <c:v>10.741144803910922</c:v>
                </c:pt>
                <c:pt idx="10">
                  <c:v>13.45627711180363</c:v>
                </c:pt>
                <c:pt idx="11">
                  <c:v>18.08392916317931</c:v>
                </c:pt>
                <c:pt idx="12">
                  <c:v>22.114894388636358</c:v>
                </c:pt>
                <c:pt idx="13">
                  <c:v>29.48274890374211</c:v>
                </c:pt>
                <c:pt idx="14">
                  <c:v>36.849446614043131</c:v>
                </c:pt>
                <c:pt idx="15">
                  <c:v>47.829258258113093</c:v>
                </c:pt>
                <c:pt idx="16">
                  <c:v>63.506645583689583</c:v>
                </c:pt>
                <c:pt idx="17">
                  <c:v>81.584523151833821</c:v>
                </c:pt>
                <c:pt idx="18">
                  <c:v>104.58643456262631</c:v>
                </c:pt>
                <c:pt idx="19">
                  <c:v>135.4071819155383</c:v>
                </c:pt>
                <c:pt idx="20">
                  <c:v>170.62844292099152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F8CA-4578-BBFE-F9BC21A0002B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Dados!$AQ$2:$AQ$22</c:f>
              <c:numCache>
                <c:formatCode>General</c:formatCode>
                <c:ptCount val="21"/>
                <c:pt idx="0">
                  <c:v>1</c:v>
                </c:pt>
                <c:pt idx="1">
                  <c:v>1.3291007805609674</c:v>
                </c:pt>
                <c:pt idx="2">
                  <c:v>1.7761529582844457</c:v>
                </c:pt>
                <c:pt idx="3">
                  <c:v>2.2138401017881533</c:v>
                </c:pt>
                <c:pt idx="4">
                  <c:v>2.7184981275841062</c:v>
                </c:pt>
                <c:pt idx="5">
                  <c:v>3.4433065968705692</c:v>
                </c:pt>
                <c:pt idx="6">
                  <c:v>4.4569637263339317</c:v>
                </c:pt>
                <c:pt idx="7">
                  <c:v>5.954691075717685</c:v>
                </c:pt>
                <c:pt idx="8">
                  <c:v>7.8013703079236727</c:v>
                </c:pt>
                <c:pt idx="9">
                  <c:v>10.247117927079396</c:v>
                </c:pt>
                <c:pt idx="10">
                  <c:v>13.780272483252331</c:v>
                </c:pt>
                <c:pt idx="11">
                  <c:v>18.377182986515454</c:v>
                </c:pt>
                <c:pt idx="12">
                  <c:v>23.337217578051249</c:v>
                </c:pt>
                <c:pt idx="13">
                  <c:v>31.380366726870449</c:v>
                </c:pt>
                <c:pt idx="14">
                  <c:v>41.111003756094405</c:v>
                </c:pt>
                <c:pt idx="15">
                  <c:v>52.874430956242371</c:v>
                </c:pt>
                <c:pt idx="16">
                  <c:v>65.986759504143976</c:v>
                </c:pt>
                <c:pt idx="17">
                  <c:v>85.780025474137005</c:v>
                </c:pt>
                <c:pt idx="18">
                  <c:v>113.83755014811425</c:v>
                </c:pt>
                <c:pt idx="19">
                  <c:v>147.22501909164635</c:v>
                </c:pt>
                <c:pt idx="20">
                  <c:v>184.455031426734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F8CA-4578-BBFE-F9BC21A0002B}"/>
            </c:ext>
          </c:extLst>
        </c:ser>
        <c:ser>
          <c:idx val="41"/>
          <c:order val="41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Dados!$AR$2:$AR$22</c:f>
              <c:numCache>
                <c:formatCode>General</c:formatCode>
                <c:ptCount val="21"/>
                <c:pt idx="0">
                  <c:v>1</c:v>
                </c:pt>
                <c:pt idx="1">
                  <c:v>1.2358848527594739</c:v>
                </c:pt>
                <c:pt idx="2">
                  <c:v>1.6239079861265597</c:v>
                </c:pt>
                <c:pt idx="3">
                  <c:v>2.0083341114120437</c:v>
                </c:pt>
                <c:pt idx="4">
                  <c:v>2.6996326809972873</c:v>
                </c:pt>
                <c:pt idx="5">
                  <c:v>3.562576162194933</c:v>
                </c:pt>
                <c:pt idx="6">
                  <c:v>4.6730778409875926</c:v>
                </c:pt>
                <c:pt idx="7">
                  <c:v>5.9542292223649671</c:v>
                </c:pt>
                <c:pt idx="8">
                  <c:v>7.9154652333004387</c:v>
                </c:pt>
                <c:pt idx="9">
                  <c:v>10.298348132093503</c:v>
                </c:pt>
                <c:pt idx="10">
                  <c:v>12.947752992844007</c:v>
                </c:pt>
                <c:pt idx="11">
                  <c:v>17.151810178045988</c:v>
                </c:pt>
                <c:pt idx="12">
                  <c:v>21.641131743100843</c:v>
                </c:pt>
                <c:pt idx="13">
                  <c:v>28.828857043399921</c:v>
                </c:pt>
                <c:pt idx="14">
                  <c:v>36.499055052123573</c:v>
                </c:pt>
                <c:pt idx="15">
                  <c:v>44.701311206728683</c:v>
                </c:pt>
                <c:pt idx="16">
                  <c:v>55.940649587091919</c:v>
                </c:pt>
                <c:pt idx="17">
                  <c:v>75.391798108986109</c:v>
                </c:pt>
                <c:pt idx="18">
                  <c:v>95.597801986126257</c:v>
                </c:pt>
                <c:pt idx="19">
                  <c:v>123.69863063946488</c:v>
                </c:pt>
                <c:pt idx="20">
                  <c:v>164.59499244113792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F8CA-4578-BBFE-F9BC21A0002B}"/>
            </c:ext>
          </c:extLst>
        </c:ser>
        <c:ser>
          <c:idx val="42"/>
          <c:order val="42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Dados!$AS$2:$AS$22</c:f>
              <c:numCache>
                <c:formatCode>General</c:formatCode>
                <c:ptCount val="21"/>
                <c:pt idx="0">
                  <c:v>1</c:v>
                </c:pt>
                <c:pt idx="1">
                  <c:v>1.284833750680848</c:v>
                </c:pt>
                <c:pt idx="2">
                  <c:v>1.581356557720446</c:v>
                </c:pt>
                <c:pt idx="3">
                  <c:v>2.0855495778922095</c:v>
                </c:pt>
                <c:pt idx="4">
                  <c:v>2.6222879092435845</c:v>
                </c:pt>
                <c:pt idx="5">
                  <c:v>3.283392971564302</c:v>
                </c:pt>
                <c:pt idx="6">
                  <c:v>4.4282400278541747</c:v>
                </c:pt>
                <c:pt idx="7">
                  <c:v>5.7533747272423339</c:v>
                </c:pt>
                <c:pt idx="8">
                  <c:v>7.3677769740149497</c:v>
                </c:pt>
                <c:pt idx="9">
                  <c:v>9.7605953527850371</c:v>
                </c:pt>
                <c:pt idx="10">
                  <c:v>13.030165682360265</c:v>
                </c:pt>
                <c:pt idx="11">
                  <c:v>16.68921133467159</c:v>
                </c:pt>
                <c:pt idx="12">
                  <c:v>21.559285292892181</c:v>
                </c:pt>
                <c:pt idx="13">
                  <c:v>28.870386479295984</c:v>
                </c:pt>
                <c:pt idx="14">
                  <c:v>38.780393935502552</c:v>
                </c:pt>
                <c:pt idx="15">
                  <c:v>48.944658532868942</c:v>
                </c:pt>
                <c:pt idx="16">
                  <c:v>65.452056995248753</c:v>
                </c:pt>
                <c:pt idx="17">
                  <c:v>83.669041246468666</c:v>
                </c:pt>
                <c:pt idx="18">
                  <c:v>104.63646170771676</c:v>
                </c:pt>
                <c:pt idx="19">
                  <c:v>134.1719543987407</c:v>
                </c:pt>
                <c:pt idx="20">
                  <c:v>175.91158701707315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F8CA-4578-BBFE-F9BC21A0002B}"/>
            </c:ext>
          </c:extLst>
        </c:ser>
        <c:ser>
          <c:idx val="43"/>
          <c:order val="43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Dados!$AT$2:$AT$22</c:f>
              <c:numCache>
                <c:formatCode>General</c:formatCode>
                <c:ptCount val="21"/>
                <c:pt idx="0">
                  <c:v>1</c:v>
                </c:pt>
                <c:pt idx="1">
                  <c:v>1.276481782450952</c:v>
                </c:pt>
                <c:pt idx="2">
                  <c:v>1.5889197314154202</c:v>
                </c:pt>
                <c:pt idx="3">
                  <c:v>1.9697238251055762</c:v>
                </c:pt>
                <c:pt idx="4">
                  <c:v>2.5389257811228942</c:v>
                </c:pt>
                <c:pt idx="5">
                  <c:v>3.2723868123446795</c:v>
                </c:pt>
                <c:pt idx="6">
                  <c:v>4.2168308924764935</c:v>
                </c:pt>
                <c:pt idx="7">
                  <c:v>5.2037685871825339</c:v>
                </c:pt>
                <c:pt idx="8">
                  <c:v>6.655145485509637</c:v>
                </c:pt>
                <c:pt idx="9">
                  <c:v>8.5125825504188608</c:v>
                </c:pt>
                <c:pt idx="10">
                  <c:v>11.224448947110574</c:v>
                </c:pt>
                <c:pt idx="11">
                  <c:v>14.506133192558073</c:v>
                </c:pt>
                <c:pt idx="12">
                  <c:v>18.681935760308626</c:v>
                </c:pt>
                <c:pt idx="13">
                  <c:v>24.088734312437836</c:v>
                </c:pt>
                <c:pt idx="14">
                  <c:v>30.090146065035828</c:v>
                </c:pt>
                <c:pt idx="15">
                  <c:v>38.522221488753353</c:v>
                </c:pt>
                <c:pt idx="16">
                  <c:v>49.381245343983537</c:v>
                </c:pt>
                <c:pt idx="17">
                  <c:v>63.393235691556583</c:v>
                </c:pt>
                <c:pt idx="18">
                  <c:v>78.816606238122262</c:v>
                </c:pt>
                <c:pt idx="19">
                  <c:v>101.23951730522931</c:v>
                </c:pt>
                <c:pt idx="20">
                  <c:v>133.82711508367828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F8CA-4578-BBFE-F9BC21A0002B}"/>
            </c:ext>
          </c:extLst>
        </c:ser>
        <c:ser>
          <c:idx val="44"/>
          <c:order val="44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Dados!$AU$2:$AU$22</c:f>
              <c:numCache>
                <c:formatCode>General</c:formatCode>
                <c:ptCount val="21"/>
                <c:pt idx="0">
                  <c:v>1</c:v>
                </c:pt>
                <c:pt idx="1">
                  <c:v>1.2564976927693166</c:v>
                </c:pt>
                <c:pt idx="2">
                  <c:v>1.5780717019088968</c:v>
                </c:pt>
                <c:pt idx="3">
                  <c:v>2.0373432901956328</c:v>
                </c:pt>
                <c:pt idx="4">
                  <c:v>2.6079136810241836</c:v>
                </c:pt>
                <c:pt idx="5">
                  <c:v>3.4359987587858494</c:v>
                </c:pt>
                <c:pt idx="6">
                  <c:v>4.3563100769752632</c:v>
                </c:pt>
                <c:pt idx="7">
                  <c:v>5.339513109535468</c:v>
                </c:pt>
                <c:pt idx="8">
                  <c:v>6.746873472843804</c:v>
                </c:pt>
                <c:pt idx="9">
                  <c:v>9.0019100970019572</c:v>
                </c:pt>
                <c:pt idx="10">
                  <c:v>11.39761527284843</c:v>
                </c:pt>
                <c:pt idx="11">
                  <c:v>14.258156115824431</c:v>
                </c:pt>
                <c:pt idx="12">
                  <c:v>18.730872289955208</c:v>
                </c:pt>
                <c:pt idx="13">
                  <c:v>22.907509525200773</c:v>
                </c:pt>
                <c:pt idx="14">
                  <c:v>30.147912626410221</c:v>
                </c:pt>
                <c:pt idx="15">
                  <c:v>38.134330270957818</c:v>
                </c:pt>
                <c:pt idx="16">
                  <c:v>50.709944683868265</c:v>
                </c:pt>
                <c:pt idx="17">
                  <c:v>68.310309704980583</c:v>
                </c:pt>
                <c:pt idx="18">
                  <c:v>84.072932582942727</c:v>
                </c:pt>
                <c:pt idx="19">
                  <c:v>113.29535101977915</c:v>
                </c:pt>
                <c:pt idx="20">
                  <c:v>142.28622040382612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F8CA-4578-BBFE-F9BC21A0002B}"/>
            </c:ext>
          </c:extLst>
        </c:ser>
        <c:ser>
          <c:idx val="45"/>
          <c:order val="45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Dados!$AV$2:$AV$22</c:f>
              <c:numCache>
                <c:formatCode>General</c:formatCode>
                <c:ptCount val="21"/>
                <c:pt idx="0">
                  <c:v>1</c:v>
                </c:pt>
                <c:pt idx="1">
                  <c:v>1.2455069195194461</c:v>
                </c:pt>
                <c:pt idx="2">
                  <c:v>1.5357617665536798</c:v>
                </c:pt>
                <c:pt idx="3">
                  <c:v>2.0374937415291421</c:v>
                </c:pt>
                <c:pt idx="4">
                  <c:v>2.6191606156077558</c:v>
                </c:pt>
                <c:pt idx="5">
                  <c:v>3.3029200941143406</c:v>
                </c:pt>
                <c:pt idx="6">
                  <c:v>4.1266092554888196</c:v>
                </c:pt>
                <c:pt idx="7">
                  <c:v>5.0733939258190226</c:v>
                </c:pt>
                <c:pt idx="8">
                  <c:v>6.3217414647178254</c:v>
                </c:pt>
                <c:pt idx="9">
                  <c:v>8.4114895993726382</c:v>
                </c:pt>
                <c:pt idx="10">
                  <c:v>11.317264923189112</c:v>
                </c:pt>
                <c:pt idx="11">
                  <c:v>13.949684310587244</c:v>
                </c:pt>
                <c:pt idx="12">
                  <c:v>18.058913390579747</c:v>
                </c:pt>
                <c:pt idx="13">
                  <c:v>24.35383811714393</c:v>
                </c:pt>
                <c:pt idx="14">
                  <c:v>32.429628517318065</c:v>
                </c:pt>
                <c:pt idx="15">
                  <c:v>40.448839350384439</c:v>
                </c:pt>
                <c:pt idx="16">
                  <c:v>53.471101078905676</c:v>
                </c:pt>
                <c:pt idx="17">
                  <c:v>67.548501300701787</c:v>
                </c:pt>
                <c:pt idx="18">
                  <c:v>89.240038724384547</c:v>
                </c:pt>
                <c:pt idx="19">
                  <c:v>116.25517221375841</c:v>
                </c:pt>
                <c:pt idx="20">
                  <c:v>149.61579434475729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F8CA-4578-BBFE-F9BC21A0002B}"/>
            </c:ext>
          </c:extLst>
        </c:ser>
        <c:ser>
          <c:idx val="46"/>
          <c:order val="46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Dados!$AW$2:$AW$22</c:f>
              <c:numCache>
                <c:formatCode>General</c:formatCode>
                <c:ptCount val="21"/>
                <c:pt idx="0">
                  <c:v>1</c:v>
                </c:pt>
                <c:pt idx="1">
                  <c:v>1.269089932720932</c:v>
                </c:pt>
                <c:pt idx="2">
                  <c:v>1.6420883023462762</c:v>
                </c:pt>
                <c:pt idx="3">
                  <c:v>2.2043741383446767</c:v>
                </c:pt>
                <c:pt idx="4">
                  <c:v>2.7398152433974579</c:v>
                </c:pt>
                <c:pt idx="5">
                  <c:v>3.4581570033447075</c:v>
                </c:pt>
                <c:pt idx="6">
                  <c:v>4.2969486521162574</c:v>
                </c:pt>
                <c:pt idx="7">
                  <c:v>5.6964570148243352</c:v>
                </c:pt>
                <c:pt idx="8">
                  <c:v>6.9949812691838282</c:v>
                </c:pt>
                <c:pt idx="9">
                  <c:v>8.6378899995419545</c:v>
                </c:pt>
                <c:pt idx="10">
                  <c:v>10.651381947509753</c:v>
                </c:pt>
                <c:pt idx="11">
                  <c:v>13.308326893262038</c:v>
                </c:pt>
                <c:pt idx="12">
                  <c:v>17.781046224318494</c:v>
                </c:pt>
                <c:pt idx="13">
                  <c:v>21.765664298718132</c:v>
                </c:pt>
                <c:pt idx="14">
                  <c:v>28.137745255146342</c:v>
                </c:pt>
                <c:pt idx="15">
                  <c:v>36.231233513749594</c:v>
                </c:pt>
                <c:pt idx="16">
                  <c:v>44.885285012762189</c:v>
                </c:pt>
                <c:pt idx="17">
                  <c:v>58.29105964074747</c:v>
                </c:pt>
                <c:pt idx="18">
                  <c:v>74.571039668312011</c:v>
                </c:pt>
                <c:pt idx="19">
                  <c:v>93.387328584188111</c:v>
                </c:pt>
                <c:pt idx="20">
                  <c:v>121.04853728629233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F8CA-4578-BBFE-F9BC21A0002B}"/>
            </c:ext>
          </c:extLst>
        </c:ser>
        <c:ser>
          <c:idx val="47"/>
          <c:order val="47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Dados!$AX$2:$AX$22</c:f>
              <c:numCache>
                <c:formatCode>General</c:formatCode>
                <c:ptCount val="21"/>
                <c:pt idx="0">
                  <c:v>1</c:v>
                </c:pt>
                <c:pt idx="1">
                  <c:v>1.3118241402152784</c:v>
                </c:pt>
                <c:pt idx="2">
                  <c:v>1.7535595993090412</c:v>
                </c:pt>
                <c:pt idx="3">
                  <c:v>2.1714118499526265</c:v>
                </c:pt>
                <c:pt idx="4">
                  <c:v>2.6915107995707221</c:v>
                </c:pt>
                <c:pt idx="5">
                  <c:v>3.4930444099863265</c:v>
                </c:pt>
                <c:pt idx="6">
                  <c:v>4.4225925976092109</c:v>
                </c:pt>
                <c:pt idx="7">
                  <c:v>5.6572781510514734</c:v>
                </c:pt>
                <c:pt idx="8">
                  <c:v>7.6293277810618205</c:v>
                </c:pt>
                <c:pt idx="9">
                  <c:v>10.131245552192853</c:v>
                </c:pt>
                <c:pt idx="10">
                  <c:v>13.420898734240501</c:v>
                </c:pt>
                <c:pt idx="11">
                  <c:v>16.988662533435143</c:v>
                </c:pt>
                <c:pt idx="12">
                  <c:v>22.823478113496495</c:v>
                </c:pt>
                <c:pt idx="13">
                  <c:v>29.603347394470713</c:v>
                </c:pt>
                <c:pt idx="14">
                  <c:v>38.941742443543177</c:v>
                </c:pt>
                <c:pt idx="15">
                  <c:v>49.320436767105527</c:v>
                </c:pt>
                <c:pt idx="16">
                  <c:v>65.13716321296161</c:v>
                </c:pt>
                <c:pt idx="17">
                  <c:v>79.768638767784182</c:v>
                </c:pt>
                <c:pt idx="18">
                  <c:v>101.0089676134436</c:v>
                </c:pt>
                <c:pt idx="19">
                  <c:v>133.79936694334097</c:v>
                </c:pt>
                <c:pt idx="20">
                  <c:v>164.82394305814921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F8CA-4578-BBFE-F9BC21A0002B}"/>
            </c:ext>
          </c:extLst>
        </c:ser>
        <c:ser>
          <c:idx val="48"/>
          <c:order val="48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Dados!$AY$2:$AY$22</c:f>
              <c:numCache>
                <c:formatCode>General</c:formatCode>
                <c:ptCount val="21"/>
                <c:pt idx="0">
                  <c:v>1</c:v>
                </c:pt>
                <c:pt idx="1">
                  <c:v>1.3104048377673441</c:v>
                </c:pt>
                <c:pt idx="2">
                  <c:v>1.6479013972914756</c:v>
                </c:pt>
                <c:pt idx="3">
                  <c:v>2.0851959244788452</c:v>
                </c:pt>
                <c:pt idx="4">
                  <c:v>2.7433770073936641</c:v>
                </c:pt>
                <c:pt idx="5">
                  <c:v>3.4578745415466812</c:v>
                </c:pt>
                <c:pt idx="6">
                  <c:v>4.3379839760104115</c:v>
                </c:pt>
                <c:pt idx="7">
                  <c:v>5.5146300652860862</c:v>
                </c:pt>
                <c:pt idx="8">
                  <c:v>7.2965804043987763</c:v>
                </c:pt>
                <c:pt idx="9">
                  <c:v>8.9725994322998393</c:v>
                </c:pt>
                <c:pt idx="10">
                  <c:v>11.297770434574318</c:v>
                </c:pt>
                <c:pt idx="11">
                  <c:v>13.927516538993373</c:v>
                </c:pt>
                <c:pt idx="12">
                  <c:v>17.496480794018051</c:v>
                </c:pt>
                <c:pt idx="13">
                  <c:v>21.914391899408415</c:v>
                </c:pt>
                <c:pt idx="14">
                  <c:v>28.830926505779036</c:v>
                </c:pt>
                <c:pt idx="15">
                  <c:v>37.015681523945837</c:v>
                </c:pt>
                <c:pt idx="16">
                  <c:v>45.933645107644899</c:v>
                </c:pt>
                <c:pt idx="17">
                  <c:v>56.266513180686502</c:v>
                </c:pt>
                <c:pt idx="18">
                  <c:v>74.952035928744564</c:v>
                </c:pt>
                <c:pt idx="19">
                  <c:v>101.12016886664229</c:v>
                </c:pt>
                <c:pt idx="20">
                  <c:v>128.77209534562158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F8CA-4578-BBFE-F9BC21A0002B}"/>
            </c:ext>
          </c:extLst>
        </c:ser>
        <c:ser>
          <c:idx val="49"/>
          <c:order val="49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Dados!$AZ$2:$AZ$22</c:f>
              <c:numCache>
                <c:formatCode>General</c:formatCode>
                <c:ptCount val="21"/>
                <c:pt idx="0">
                  <c:v>1</c:v>
                </c:pt>
                <c:pt idx="1">
                  <c:v>1.2883553936992873</c:v>
                </c:pt>
                <c:pt idx="2">
                  <c:v>1.6961143279477005</c:v>
                </c:pt>
                <c:pt idx="3">
                  <c:v>2.1762684305162119</c:v>
                </c:pt>
                <c:pt idx="4">
                  <c:v>2.75785495570697</c:v>
                </c:pt>
                <c:pt idx="5">
                  <c:v>3.4915099304567323</c:v>
                </c:pt>
                <c:pt idx="6">
                  <c:v>4.3416493687184232</c:v>
                </c:pt>
                <c:pt idx="7">
                  <c:v>5.5234277034967887</c:v>
                </c:pt>
                <c:pt idx="8">
                  <c:v>6.9466797902139552</c:v>
                </c:pt>
                <c:pt idx="9">
                  <c:v>8.5703392363523232</c:v>
                </c:pt>
                <c:pt idx="10">
                  <c:v>10.525712758777795</c:v>
                </c:pt>
                <c:pt idx="11">
                  <c:v>14.111215012943504</c:v>
                </c:pt>
                <c:pt idx="12">
                  <c:v>18.971816753755757</c:v>
                </c:pt>
                <c:pt idx="13">
                  <c:v>24.70475476484896</c:v>
                </c:pt>
                <c:pt idx="14">
                  <c:v>32.892897779620199</c:v>
                </c:pt>
                <c:pt idx="15">
                  <c:v>44.150040250714333</c:v>
                </c:pt>
                <c:pt idx="16">
                  <c:v>55.062250989016384</c:v>
                </c:pt>
                <c:pt idx="17">
                  <c:v>69.065419697603744</c:v>
                </c:pt>
                <c:pt idx="18">
                  <c:v>84.585906770753908</c:v>
                </c:pt>
                <c:pt idx="19">
                  <c:v>107.03462970166922</c:v>
                </c:pt>
                <c:pt idx="20">
                  <c:v>144.24206949182988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F8CA-4578-BBFE-F9BC21A00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69552"/>
        <c:axId val="516269944"/>
      </c:lineChart>
      <c:catAx>
        <c:axId val="516269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000"/>
                  <a:t>tempo </a:t>
                </a:r>
                <a:r>
                  <a:rPr lang="pt-BR" sz="10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516269944"/>
        <c:crosses val="autoZero"/>
        <c:auto val="1"/>
        <c:lblAlgn val="ctr"/>
        <c:lblOffset val="100"/>
        <c:tickLblSkip val="1"/>
        <c:noMultiLvlLbl val="0"/>
      </c:catAx>
      <c:valAx>
        <c:axId val="516269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2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pt-BR" sz="1200" i="1" baseline="-25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51626955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69466316710421"/>
          <c:y val="5.0925925925925923E-2"/>
          <c:w val="0.83874978127734034"/>
          <c:h val="0.76169181977252942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Dados!$BB$2:$BB$22</c:f>
              <c:numCache>
                <c:formatCode>General</c:formatCode>
                <c:ptCount val="21"/>
                <c:pt idx="0">
                  <c:v>1</c:v>
                </c:pt>
                <c:pt idx="1">
                  <c:v>1.2217841981120738</c:v>
                </c:pt>
                <c:pt idx="2">
                  <c:v>1.5034064951321267</c:v>
                </c:pt>
                <c:pt idx="3">
                  <c:v>1.9257909774998603</c:v>
                </c:pt>
                <c:pt idx="4">
                  <c:v>2.3618663112508647</c:v>
                </c:pt>
                <c:pt idx="5">
                  <c:v>3.0591515372868932</c:v>
                </c:pt>
                <c:pt idx="6">
                  <c:v>3.9658897659386221</c:v>
                </c:pt>
                <c:pt idx="7">
                  <c:v>4.9020850229573298</c:v>
                </c:pt>
                <c:pt idx="8">
                  <c:v>6.3193253919068306</c:v>
                </c:pt>
                <c:pt idx="9">
                  <c:v>8.0914924554513679</c:v>
                </c:pt>
                <c:pt idx="10">
                  <c:v>10.151177744284194</c:v>
                </c:pt>
                <c:pt idx="11">
                  <c:v>12.969738641077829</c:v>
                </c:pt>
                <c:pt idx="12">
                  <c:v>16.686897221317956</c:v>
                </c:pt>
                <c:pt idx="13">
                  <c:v>21.299433901916096</c:v>
                </c:pt>
                <c:pt idx="14">
                  <c:v>27.460290159725037</c:v>
                </c:pt>
                <c:pt idx="15">
                  <c:v>36.231233513749594</c:v>
                </c:pt>
                <c:pt idx="16">
                  <c:v>44.885285012762189</c:v>
                </c:pt>
                <c:pt idx="17">
                  <c:v>56.266513180686502</c:v>
                </c:pt>
                <c:pt idx="18">
                  <c:v>73.33589519320735</c:v>
                </c:pt>
                <c:pt idx="19">
                  <c:v>93.387328584188111</c:v>
                </c:pt>
                <c:pt idx="20">
                  <c:v>119.98254581410278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FB-4E22-B642-C8E0AD138F1B}"/>
            </c:ext>
          </c:extLst>
        </c:ser>
        <c:ser>
          <c:idx val="0"/>
          <c:order val="1"/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Dados!$A$2:$A$22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Dados!$BC$2:$BC$22</c:f>
              <c:numCache>
                <c:formatCode>General</c:formatCode>
                <c:ptCount val="21"/>
                <c:pt idx="0">
                  <c:v>1</c:v>
                </c:pt>
                <c:pt idx="1">
                  <c:v>1.3431463817249953</c:v>
                </c:pt>
                <c:pt idx="2">
                  <c:v>1.7549852911376798</c:v>
                </c:pt>
                <c:pt idx="3">
                  <c:v>2.2867496240772796</c:v>
                </c:pt>
                <c:pt idx="4">
                  <c:v>2.9962165816200601</c:v>
                </c:pt>
                <c:pt idx="5">
                  <c:v>3.8264934458833686</c:v>
                </c:pt>
                <c:pt idx="6">
                  <c:v>4.9959725271156374</c:v>
                </c:pt>
                <c:pt idx="7">
                  <c:v>6.420628314264917</c:v>
                </c:pt>
                <c:pt idx="8">
                  <c:v>8.2867112283771451</c:v>
                </c:pt>
                <c:pt idx="9">
                  <c:v>10.776438303360639</c:v>
                </c:pt>
                <c:pt idx="10">
                  <c:v>14.083618393221798</c:v>
                </c:pt>
                <c:pt idx="11">
                  <c:v>18.874739725629041</c:v>
                </c:pt>
                <c:pt idx="12">
                  <c:v>25.11894235538918</c:v>
                </c:pt>
                <c:pt idx="13">
                  <c:v>32.31473786457709</c:v>
                </c:pt>
                <c:pt idx="14">
                  <c:v>40.912514679133906</c:v>
                </c:pt>
                <c:pt idx="15">
                  <c:v>52.362442539759314</c:v>
                </c:pt>
                <c:pt idx="16">
                  <c:v>65.976430494400361</c:v>
                </c:pt>
                <c:pt idx="17">
                  <c:v>85.896795514958214</c:v>
                </c:pt>
                <c:pt idx="18">
                  <c:v>113.83755014811425</c:v>
                </c:pt>
                <c:pt idx="19">
                  <c:v>147.18566751754955</c:v>
                </c:pt>
                <c:pt idx="20">
                  <c:v>184.455031426734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FB-4E22-B642-C8E0AD138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58968"/>
        <c:axId val="516259360"/>
      </c:lineChart>
      <c:catAx>
        <c:axId val="516258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000"/>
                  <a:t>tempo </a:t>
                </a:r>
                <a:r>
                  <a:rPr lang="pt-BR" sz="10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516259360"/>
        <c:crosses val="autoZero"/>
        <c:auto val="1"/>
        <c:lblAlgn val="ctr"/>
        <c:lblOffset val="100"/>
        <c:tickLblSkip val="1"/>
        <c:noMultiLvlLbl val="0"/>
      </c:catAx>
      <c:valAx>
        <c:axId val="516259360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pt-BR" sz="120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pt-BR" sz="1200" i="1" baseline="-25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516258968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457200</xdr:colOff>
      <xdr:row>26</xdr:row>
      <xdr:rowOff>157162</xdr:rowOff>
    </xdr:from>
    <xdr:to>
      <xdr:col>8</xdr:col>
      <xdr:colOff>152400</xdr:colOff>
      <xdr:row>41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314325</xdr:colOff>
      <xdr:row>27</xdr:row>
      <xdr:rowOff>119062</xdr:rowOff>
    </xdr:from>
    <xdr:to>
      <xdr:col>17</xdr:col>
      <xdr:colOff>9525</xdr:colOff>
      <xdr:row>42</xdr:row>
      <xdr:rowOff>4762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27</xdr:row>
      <xdr:rowOff>0</xdr:rowOff>
    </xdr:from>
    <xdr:to>
      <xdr:col>26</xdr:col>
      <xdr:colOff>304800</xdr:colOff>
      <xdr:row>41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41</xdr:row>
      <xdr:rowOff>133350</xdr:rowOff>
    </xdr:from>
    <xdr:to>
      <xdr:col>17</xdr:col>
      <xdr:colOff>114300</xdr:colOff>
      <xdr:row>56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8</xdr:col>
      <xdr:colOff>304800</xdr:colOff>
      <xdr:row>39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466725</xdr:colOff>
      <xdr:row>25</xdr:row>
      <xdr:rowOff>152400</xdr:rowOff>
    </xdr:from>
    <xdr:to>
      <xdr:col>17</xdr:col>
      <xdr:colOff>161925</xdr:colOff>
      <xdr:row>40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152400</xdr:colOff>
      <xdr:row>25</xdr:row>
      <xdr:rowOff>33338</xdr:rowOff>
    </xdr:from>
    <xdr:to>
      <xdr:col>26</xdr:col>
      <xdr:colOff>457200</xdr:colOff>
      <xdr:row>39</xdr:row>
      <xdr:rowOff>109538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2"/>
  <sheetViews>
    <sheetView tabSelected="1" workbookViewId="0">
      <selection activeCell="AD32" sqref="AD32"/>
    </sheetView>
  </sheetViews>
  <sheetFormatPr defaultRowHeight="15" x14ac:dyDescent="0.25"/>
  <sheetData>
    <row r="1" spans="1:55" x14ac:dyDescent="0.25">
      <c r="B1">
        <v>0.2</v>
      </c>
    </row>
    <row r="2" spans="1:55" x14ac:dyDescent="0.25">
      <c r="A2">
        <v>0</v>
      </c>
      <c r="B2">
        <v>1</v>
      </c>
      <c r="C2">
        <f>B2</f>
        <v>1</v>
      </c>
      <c r="D2">
        <f t="shared" ref="D2:I2" si="0">C2</f>
        <v>1</v>
      </c>
      <c r="E2">
        <f t="shared" si="0"/>
        <v>1</v>
      </c>
      <c r="F2">
        <f t="shared" si="0"/>
        <v>1</v>
      </c>
      <c r="G2">
        <f t="shared" si="0"/>
        <v>1</v>
      </c>
      <c r="H2">
        <f t="shared" si="0"/>
        <v>1</v>
      </c>
      <c r="I2">
        <f t="shared" si="0"/>
        <v>1</v>
      </c>
      <c r="J2">
        <f t="shared" ref="J2:V2" si="1">I2</f>
        <v>1</v>
      </c>
      <c r="K2">
        <f t="shared" si="1"/>
        <v>1</v>
      </c>
      <c r="L2">
        <f t="shared" si="1"/>
        <v>1</v>
      </c>
      <c r="M2">
        <f t="shared" si="1"/>
        <v>1</v>
      </c>
      <c r="N2">
        <f t="shared" si="1"/>
        <v>1</v>
      </c>
      <c r="O2">
        <f t="shared" si="1"/>
        <v>1</v>
      </c>
      <c r="P2">
        <f t="shared" si="1"/>
        <v>1</v>
      </c>
      <c r="Q2">
        <f t="shared" si="1"/>
        <v>1</v>
      </c>
      <c r="R2">
        <f t="shared" si="1"/>
        <v>1</v>
      </c>
      <c r="S2">
        <f t="shared" si="1"/>
        <v>1</v>
      </c>
      <c r="T2">
        <f t="shared" si="1"/>
        <v>1</v>
      </c>
      <c r="U2">
        <f t="shared" si="1"/>
        <v>1</v>
      </c>
      <c r="V2">
        <f t="shared" si="1"/>
        <v>1</v>
      </c>
      <c r="W2">
        <f>V2</f>
        <v>1</v>
      </c>
      <c r="X2">
        <f t="shared" ref="X2:AP2" si="2">W2</f>
        <v>1</v>
      </c>
      <c r="Y2">
        <f t="shared" si="2"/>
        <v>1</v>
      </c>
      <c r="Z2">
        <f t="shared" si="2"/>
        <v>1</v>
      </c>
      <c r="AA2">
        <f t="shared" si="2"/>
        <v>1</v>
      </c>
      <c r="AB2">
        <f t="shared" si="2"/>
        <v>1</v>
      </c>
      <c r="AC2">
        <f t="shared" si="2"/>
        <v>1</v>
      </c>
      <c r="AD2">
        <f t="shared" si="2"/>
        <v>1</v>
      </c>
      <c r="AE2">
        <f t="shared" si="2"/>
        <v>1</v>
      </c>
      <c r="AF2">
        <f t="shared" si="2"/>
        <v>1</v>
      </c>
      <c r="AG2">
        <f t="shared" si="2"/>
        <v>1</v>
      </c>
      <c r="AH2">
        <f t="shared" si="2"/>
        <v>1</v>
      </c>
      <c r="AI2">
        <f t="shared" si="2"/>
        <v>1</v>
      </c>
      <c r="AJ2">
        <f t="shared" si="2"/>
        <v>1</v>
      </c>
      <c r="AK2">
        <f t="shared" si="2"/>
        <v>1</v>
      </c>
      <c r="AL2">
        <f t="shared" si="2"/>
        <v>1</v>
      </c>
      <c r="AM2">
        <f t="shared" si="2"/>
        <v>1</v>
      </c>
      <c r="AN2">
        <f t="shared" si="2"/>
        <v>1</v>
      </c>
      <c r="AO2">
        <f t="shared" si="2"/>
        <v>1</v>
      </c>
      <c r="AP2">
        <f t="shared" si="2"/>
        <v>1</v>
      </c>
      <c r="AQ2">
        <f t="shared" ref="AQ2:AZ2" si="3">AP2</f>
        <v>1</v>
      </c>
      <c r="AR2">
        <f t="shared" si="3"/>
        <v>1</v>
      </c>
      <c r="AS2">
        <f t="shared" si="3"/>
        <v>1</v>
      </c>
      <c r="AT2">
        <f t="shared" si="3"/>
        <v>1</v>
      </c>
      <c r="AU2">
        <f t="shared" si="3"/>
        <v>1</v>
      </c>
      <c r="AV2">
        <f t="shared" si="3"/>
        <v>1</v>
      </c>
      <c r="AW2">
        <f t="shared" si="3"/>
        <v>1</v>
      </c>
      <c r="AX2">
        <f t="shared" si="3"/>
        <v>1</v>
      </c>
      <c r="AY2">
        <f t="shared" si="3"/>
        <v>1</v>
      </c>
      <c r="AZ2">
        <f t="shared" si="3"/>
        <v>1</v>
      </c>
      <c r="BB2">
        <v>1</v>
      </c>
      <c r="BC2">
        <v>1</v>
      </c>
    </row>
    <row r="3" spans="1:55" x14ac:dyDescent="0.25">
      <c r="A3">
        <v>1</v>
      </c>
      <c r="B3">
        <f>B2*EXP(B$1)</f>
        <v>1.2214027581601699</v>
      </c>
      <c r="C3">
        <f ca="1">C2*EXP($B$1+RAND()/10)</f>
        <v>1.2310385287311183</v>
      </c>
      <c r="D3">
        <f ca="1">D2*EXP($B$1+RAND()/10)</f>
        <v>1.279252394132754</v>
      </c>
      <c r="E3">
        <f t="shared" ref="E3:AZ8" ca="1" si="4">E2*EXP($B$1+RAND()/10)</f>
        <v>1.2952075578582798</v>
      </c>
      <c r="F3">
        <f t="shared" ca="1" si="4"/>
        <v>1.342857709402743</v>
      </c>
      <c r="G3">
        <f t="shared" ca="1" si="4"/>
        <v>1.226992461769729</v>
      </c>
      <c r="H3">
        <f t="shared" ca="1" si="4"/>
        <v>1.2959527902267083</v>
      </c>
      <c r="I3">
        <f t="shared" ca="1" si="4"/>
        <v>1.2234918189143318</v>
      </c>
      <c r="J3">
        <f t="shared" ca="1" si="4"/>
        <v>1.3020223842548806</v>
      </c>
      <c r="K3">
        <f t="shared" ca="1" si="4"/>
        <v>1.2454856006776951</v>
      </c>
      <c r="L3">
        <f t="shared" ca="1" si="4"/>
        <v>1.284828055692482</v>
      </c>
      <c r="M3">
        <f t="shared" ca="1" si="4"/>
        <v>1.2510782123348654</v>
      </c>
      <c r="N3">
        <f t="shared" ca="1" si="4"/>
        <v>1.2258299667884207</v>
      </c>
      <c r="O3">
        <f t="shared" ca="1" si="4"/>
        <v>1.3431463817249953</v>
      </c>
      <c r="P3">
        <f t="shared" ca="1" si="4"/>
        <v>1.3467911548142624</v>
      </c>
      <c r="Q3">
        <f t="shared" ca="1" si="4"/>
        <v>1.3361858769877417</v>
      </c>
      <c r="R3">
        <f t="shared" ca="1" si="4"/>
        <v>1.2310799476214762</v>
      </c>
      <c r="S3">
        <f t="shared" ca="1" si="4"/>
        <v>1.3431288131319883</v>
      </c>
      <c r="T3">
        <f t="shared" ca="1" si="4"/>
        <v>1.3206858252896094</v>
      </c>
      <c r="U3">
        <f t="shared" ca="1" si="4"/>
        <v>1.2874367416605585</v>
      </c>
      <c r="V3">
        <f t="shared" ca="1" si="4"/>
        <v>1.2968807848631356</v>
      </c>
      <c r="W3">
        <f t="shared" ca="1" si="4"/>
        <v>1.3194046834015665</v>
      </c>
      <c r="X3">
        <f t="shared" ca="1" si="4"/>
        <v>1.2217841981120738</v>
      </c>
      <c r="Y3">
        <f t="shared" ca="1" si="4"/>
        <v>1.2253122255898281</v>
      </c>
      <c r="Z3">
        <f t="shared" ca="1" si="4"/>
        <v>1.3052067510972736</v>
      </c>
      <c r="AA3">
        <f t="shared" ca="1" si="4"/>
        <v>1.3307358862575065</v>
      </c>
      <c r="AB3">
        <f t="shared" ca="1" si="4"/>
        <v>1.2438669492861729</v>
      </c>
      <c r="AC3">
        <f t="shared" ca="1" si="4"/>
        <v>1.3354781362490409</v>
      </c>
      <c r="AD3">
        <f t="shared" ca="1" si="4"/>
        <v>1.2624489193984874</v>
      </c>
      <c r="AE3">
        <f t="shared" ca="1" si="4"/>
        <v>1.2603893310875638</v>
      </c>
      <c r="AF3">
        <f t="shared" ca="1" si="4"/>
        <v>1.3328652596819741</v>
      </c>
      <c r="AG3">
        <f t="shared" ca="1" si="4"/>
        <v>1.282171058285269</v>
      </c>
      <c r="AH3">
        <f t="shared" ca="1" si="4"/>
        <v>1.3438164874970668</v>
      </c>
      <c r="AI3">
        <f t="shared" ca="1" si="4"/>
        <v>1.2435509175664423</v>
      </c>
      <c r="AJ3">
        <f t="shared" ca="1" si="4"/>
        <v>1.2760064609819997</v>
      </c>
      <c r="AK3">
        <f t="shared" ca="1" si="4"/>
        <v>1.2470111992026982</v>
      </c>
      <c r="AL3">
        <f t="shared" ca="1" si="4"/>
        <v>1.2301965059782012</v>
      </c>
      <c r="AM3">
        <f t="shared" ca="1" si="4"/>
        <v>1.2750225464615166</v>
      </c>
      <c r="AN3">
        <f t="shared" ca="1" si="4"/>
        <v>1.2584184259392406</v>
      </c>
      <c r="AO3">
        <f t="shared" ca="1" si="4"/>
        <v>1.2418119142347293</v>
      </c>
      <c r="AP3">
        <f t="shared" ca="1" si="4"/>
        <v>1.2518711401393305</v>
      </c>
      <c r="AQ3">
        <f t="shared" ca="1" si="4"/>
        <v>1.3291007805609674</v>
      </c>
      <c r="AR3">
        <f t="shared" ca="1" si="4"/>
        <v>1.2358848527594739</v>
      </c>
      <c r="AS3">
        <f t="shared" ca="1" si="4"/>
        <v>1.284833750680848</v>
      </c>
      <c r="AT3">
        <f t="shared" ca="1" si="4"/>
        <v>1.276481782450952</v>
      </c>
      <c r="AU3">
        <f t="shared" ca="1" si="4"/>
        <v>1.2564976927693166</v>
      </c>
      <c r="AV3">
        <f t="shared" ca="1" si="4"/>
        <v>1.2455069195194461</v>
      </c>
      <c r="AW3">
        <f t="shared" ca="1" si="4"/>
        <v>1.269089932720932</v>
      </c>
      <c r="AX3">
        <f t="shared" ca="1" si="4"/>
        <v>1.3118241402152784</v>
      </c>
      <c r="AY3">
        <f t="shared" ca="1" si="4"/>
        <v>1.3104048377673441</v>
      </c>
      <c r="AZ3">
        <f t="shared" ca="1" si="4"/>
        <v>1.2883553936992873</v>
      </c>
      <c r="BB3">
        <f ca="1">SMALL(C3:AZ3,0.025*50)</f>
        <v>1.2217841981120738</v>
      </c>
      <c r="BC3">
        <f ca="1">SMALL(C3:AZ3,0.975*50)</f>
        <v>1.3431463817249953</v>
      </c>
    </row>
    <row r="4" spans="1:55" x14ac:dyDescent="0.25">
      <c r="A4">
        <v>2</v>
      </c>
      <c r="B4">
        <f t="shared" ref="B4:B22" si="5">B3*EXP(B$1)</f>
        <v>1.4918246976412703</v>
      </c>
      <c r="C4">
        <f t="shared" ref="C4:D22" ca="1" si="6">C3*EXP($B$1+RAND()/10)</f>
        <v>1.64518205569369</v>
      </c>
      <c r="D4">
        <f t="shared" ca="1" si="6"/>
        <v>1.6908559550298239</v>
      </c>
      <c r="E4">
        <f t="shared" ca="1" si="4"/>
        <v>1.6733346165402088</v>
      </c>
      <c r="F4">
        <f t="shared" ca="1" si="4"/>
        <v>1.7440709642459422</v>
      </c>
      <c r="G4">
        <f t="shared" ca="1" si="4"/>
        <v>1.6132932292537483</v>
      </c>
      <c r="H4">
        <f t="shared" ca="1" si="4"/>
        <v>1.6078433467011575</v>
      </c>
      <c r="I4">
        <f t="shared" ca="1" si="4"/>
        <v>1.5345625758002797</v>
      </c>
      <c r="J4">
        <f t="shared" ca="1" si="4"/>
        <v>1.7549852911376798</v>
      </c>
      <c r="K4">
        <f t="shared" ca="1" si="4"/>
        <v>1.5940906455327146</v>
      </c>
      <c r="L4">
        <f t="shared" ca="1" si="4"/>
        <v>1.6763366048312198</v>
      </c>
      <c r="M4">
        <f t="shared" ca="1" si="4"/>
        <v>1.6879221458060729</v>
      </c>
      <c r="N4">
        <f t="shared" ca="1" si="4"/>
        <v>1.5599604615113807</v>
      </c>
      <c r="O4">
        <f t="shared" ca="1" si="4"/>
        <v>1.7019320661141579</v>
      </c>
      <c r="P4">
        <f t="shared" ca="1" si="4"/>
        <v>1.6757824147729881</v>
      </c>
      <c r="Q4">
        <f t="shared" ca="1" si="4"/>
        <v>1.6579637397057938</v>
      </c>
      <c r="R4">
        <f t="shared" ca="1" si="4"/>
        <v>1.5280103664894613</v>
      </c>
      <c r="S4">
        <f t="shared" ca="1" si="4"/>
        <v>1.6743059686620052</v>
      </c>
      <c r="T4">
        <f t="shared" ca="1" si="4"/>
        <v>1.7607282820333769</v>
      </c>
      <c r="U4">
        <f t="shared" ca="1" si="4"/>
        <v>1.588675032728468</v>
      </c>
      <c r="V4">
        <f t="shared" ca="1" si="4"/>
        <v>1.6602296276564563</v>
      </c>
      <c r="W4">
        <f t="shared" ca="1" si="4"/>
        <v>1.727190819150803</v>
      </c>
      <c r="X4">
        <f t="shared" ca="1" si="4"/>
        <v>1.5091696781147337</v>
      </c>
      <c r="Y4">
        <f t="shared" ca="1" si="4"/>
        <v>1.5034064951321267</v>
      </c>
      <c r="Z4">
        <f t="shared" ca="1" si="4"/>
        <v>1.6600632291887947</v>
      </c>
      <c r="AA4">
        <f t="shared" ca="1" si="4"/>
        <v>1.749174098832843</v>
      </c>
      <c r="AB4">
        <f t="shared" ca="1" si="4"/>
        <v>1.5700575594597781</v>
      </c>
      <c r="AC4">
        <f t="shared" ca="1" si="4"/>
        <v>1.7111102173104675</v>
      </c>
      <c r="AD4">
        <f t="shared" ca="1" si="4"/>
        <v>1.6692831181640619</v>
      </c>
      <c r="AE4">
        <f t="shared" ca="1" si="4"/>
        <v>1.6869939898947077</v>
      </c>
      <c r="AF4">
        <f t="shared" ca="1" si="4"/>
        <v>1.7420447112877437</v>
      </c>
      <c r="AG4">
        <f t="shared" ca="1" si="4"/>
        <v>1.6066189580820927</v>
      </c>
      <c r="AH4">
        <f t="shared" ca="1" si="4"/>
        <v>1.7081694767781346</v>
      </c>
      <c r="AI4">
        <f t="shared" ca="1" si="4"/>
        <v>1.6426589893419816</v>
      </c>
      <c r="AJ4">
        <f t="shared" ca="1" si="4"/>
        <v>1.5768229798181943</v>
      </c>
      <c r="AK4">
        <f t="shared" ca="1" si="4"/>
        <v>1.6275726319380084</v>
      </c>
      <c r="AL4">
        <f t="shared" ca="1" si="4"/>
        <v>1.585214477640946</v>
      </c>
      <c r="AM4">
        <f t="shared" ca="1" si="4"/>
        <v>1.6685117275911265</v>
      </c>
      <c r="AN4">
        <f t="shared" ca="1" si="4"/>
        <v>1.5679059035663523</v>
      </c>
      <c r="AO4">
        <f t="shared" ca="1" si="4"/>
        <v>1.5597280162481995</v>
      </c>
      <c r="AP4">
        <f t="shared" ca="1" si="4"/>
        <v>1.6694055584612615</v>
      </c>
      <c r="AQ4">
        <f t="shared" ca="1" si="4"/>
        <v>1.7761529582844457</v>
      </c>
      <c r="AR4">
        <f t="shared" ca="1" si="4"/>
        <v>1.6239079861265597</v>
      </c>
      <c r="AS4">
        <f t="shared" ca="1" si="4"/>
        <v>1.581356557720446</v>
      </c>
      <c r="AT4">
        <f t="shared" ca="1" si="4"/>
        <v>1.5889197314154202</v>
      </c>
      <c r="AU4">
        <f t="shared" ca="1" si="4"/>
        <v>1.5780717019088968</v>
      </c>
      <c r="AV4">
        <f t="shared" ca="1" si="4"/>
        <v>1.5357617665536798</v>
      </c>
      <c r="AW4">
        <f t="shared" ca="1" si="4"/>
        <v>1.6420883023462762</v>
      </c>
      <c r="AX4">
        <f t="shared" ca="1" si="4"/>
        <v>1.7535595993090412</v>
      </c>
      <c r="AY4">
        <f t="shared" ca="1" si="4"/>
        <v>1.6479013972914756</v>
      </c>
      <c r="AZ4">
        <f t="shared" ca="1" si="4"/>
        <v>1.6961143279477005</v>
      </c>
      <c r="BB4">
        <f t="shared" ref="BB4:BB22" ca="1" si="7">SMALL(C4:AZ4,0.025*50)</f>
        <v>1.5034064951321267</v>
      </c>
      <c r="BC4">
        <f t="shared" ref="BC4:BC22" ca="1" si="8">SMALL(C4:AZ4,0.975*50)</f>
        <v>1.7549852911376798</v>
      </c>
    </row>
    <row r="5" spans="1:55" x14ac:dyDescent="0.25">
      <c r="A5">
        <v>3</v>
      </c>
      <c r="B5">
        <f t="shared" si="5"/>
        <v>1.8221188003905091</v>
      </c>
      <c r="C5">
        <f t="shared" ca="1" si="6"/>
        <v>2.1193522010947841</v>
      </c>
      <c r="D5">
        <f t="shared" ca="1" si="6"/>
        <v>2.1480883354733469</v>
      </c>
      <c r="E5">
        <f t="shared" ca="1" si="4"/>
        <v>2.1596483038165371</v>
      </c>
      <c r="F5">
        <f t="shared" ca="1" si="4"/>
        <v>2.353974720560664</v>
      </c>
      <c r="G5">
        <f t="shared" ca="1" si="4"/>
        <v>2.0134152795231857</v>
      </c>
      <c r="H5">
        <f t="shared" ca="1" si="4"/>
        <v>2.1673342297065732</v>
      </c>
      <c r="I5">
        <f t="shared" ca="1" si="4"/>
        <v>2.0082717286486549</v>
      </c>
      <c r="J5">
        <f t="shared" ca="1" si="4"/>
        <v>2.3462287078228905</v>
      </c>
      <c r="K5">
        <f t="shared" ca="1" si="4"/>
        <v>2.0809102137505131</v>
      </c>
      <c r="L5">
        <f t="shared" ca="1" si="4"/>
        <v>2.1657513098956431</v>
      </c>
      <c r="M5">
        <f t="shared" ca="1" si="4"/>
        <v>2.2264416366032767</v>
      </c>
      <c r="N5">
        <f t="shared" ca="1" si="4"/>
        <v>1.980376722578322</v>
      </c>
      <c r="O5">
        <f t="shared" ca="1" si="4"/>
        <v>2.1527990220662088</v>
      </c>
      <c r="P5">
        <f t="shared" ca="1" si="4"/>
        <v>2.2496369558747764</v>
      </c>
      <c r="Q5">
        <f t="shared" ca="1" si="4"/>
        <v>2.207348734614754</v>
      </c>
      <c r="R5">
        <f t="shared" ca="1" si="4"/>
        <v>2.0119686655863211</v>
      </c>
      <c r="S5">
        <f t="shared" ca="1" si="4"/>
        <v>2.1776076332265357</v>
      </c>
      <c r="T5">
        <f t="shared" ca="1" si="4"/>
        <v>2.2749035998510259</v>
      </c>
      <c r="U5">
        <f t="shared" ca="1" si="4"/>
        <v>2.0850807960463706</v>
      </c>
      <c r="V5">
        <f t="shared" ca="1" si="4"/>
        <v>2.1880324798098125</v>
      </c>
      <c r="W5">
        <f t="shared" ca="1" si="4"/>
        <v>2.2867496240772796</v>
      </c>
      <c r="X5">
        <f t="shared" ca="1" si="4"/>
        <v>1.9786353215513035</v>
      </c>
      <c r="Y5">
        <f t="shared" ca="1" si="4"/>
        <v>2.0086512755891857</v>
      </c>
      <c r="Z5">
        <f t="shared" ca="1" si="4"/>
        <v>2.0312314188433058</v>
      </c>
      <c r="AA5">
        <f t="shared" ca="1" si="4"/>
        <v>2.1803372351998775</v>
      </c>
      <c r="AB5">
        <f t="shared" ca="1" si="4"/>
        <v>1.9257909774998603</v>
      </c>
      <c r="AC5">
        <f t="shared" ca="1" si="4"/>
        <v>2.2280163327259142</v>
      </c>
      <c r="AD5">
        <f t="shared" ca="1" si="4"/>
        <v>2.1774759728461395</v>
      </c>
      <c r="AE5">
        <f t="shared" ca="1" si="4"/>
        <v>2.2198828864618152</v>
      </c>
      <c r="AF5">
        <f t="shared" ca="1" si="4"/>
        <v>2.2223555744597174</v>
      </c>
      <c r="AG5">
        <f t="shared" ca="1" si="4"/>
        <v>2.0676588131666875</v>
      </c>
      <c r="AH5">
        <f t="shared" ca="1" si="4"/>
        <v>2.1422064055318426</v>
      </c>
      <c r="AI5">
        <f t="shared" ca="1" si="4"/>
        <v>2.1439939877778738</v>
      </c>
      <c r="AJ5">
        <f t="shared" ca="1" si="4"/>
        <v>2.0510729676077948</v>
      </c>
      <c r="AK5">
        <f t="shared" ca="1" si="4"/>
        <v>2.0038581530657238</v>
      </c>
      <c r="AL5">
        <f t="shared" ca="1" si="4"/>
        <v>2.0329688697485877</v>
      </c>
      <c r="AM5">
        <f t="shared" ca="1" si="4"/>
        <v>2.2091238210743365</v>
      </c>
      <c r="AN5">
        <f t="shared" ca="1" si="4"/>
        <v>1.9988557863242713</v>
      </c>
      <c r="AO5">
        <f t="shared" ca="1" si="4"/>
        <v>1.9494044987224972</v>
      </c>
      <c r="AP5">
        <f t="shared" ca="1" si="4"/>
        <v>2.1863130631956555</v>
      </c>
      <c r="AQ5">
        <f t="shared" ca="1" si="4"/>
        <v>2.2138401017881533</v>
      </c>
      <c r="AR5">
        <f t="shared" ca="1" si="4"/>
        <v>2.0083341114120437</v>
      </c>
      <c r="AS5">
        <f t="shared" ca="1" si="4"/>
        <v>2.0855495778922095</v>
      </c>
      <c r="AT5">
        <f t="shared" ca="1" si="4"/>
        <v>1.9697238251055762</v>
      </c>
      <c r="AU5">
        <f t="shared" ca="1" si="4"/>
        <v>2.0373432901956328</v>
      </c>
      <c r="AV5">
        <f t="shared" ca="1" si="4"/>
        <v>2.0374937415291421</v>
      </c>
      <c r="AW5">
        <f t="shared" ca="1" si="4"/>
        <v>2.2043741383446767</v>
      </c>
      <c r="AX5">
        <f t="shared" ca="1" si="4"/>
        <v>2.1714118499526265</v>
      </c>
      <c r="AY5">
        <f t="shared" ca="1" si="4"/>
        <v>2.0851959244788452</v>
      </c>
      <c r="AZ5">
        <f t="shared" ca="1" si="4"/>
        <v>2.1762684305162119</v>
      </c>
      <c r="BB5">
        <f t="shared" ca="1" si="7"/>
        <v>1.9257909774998603</v>
      </c>
      <c r="BC5">
        <f t="shared" ca="1" si="8"/>
        <v>2.2867496240772796</v>
      </c>
    </row>
    <row r="6" spans="1:55" x14ac:dyDescent="0.25">
      <c r="A6">
        <v>4</v>
      </c>
      <c r="B6">
        <f t="shared" si="5"/>
        <v>2.2255409284924679</v>
      </c>
      <c r="C6">
        <f t="shared" ca="1" si="6"/>
        <v>2.8104545792820845</v>
      </c>
      <c r="D6">
        <f t="shared" ca="1" si="6"/>
        <v>2.7024096859486479</v>
      </c>
      <c r="E6">
        <f t="shared" ca="1" si="4"/>
        <v>2.6382484984665791</v>
      </c>
      <c r="F6">
        <f t="shared" ca="1" si="4"/>
        <v>3.0239071191347935</v>
      </c>
      <c r="G6">
        <f t="shared" ca="1" si="4"/>
        <v>2.4654279075096506</v>
      </c>
      <c r="H6">
        <f t="shared" ca="1" si="4"/>
        <v>2.8909255353357182</v>
      </c>
      <c r="I6">
        <f t="shared" ca="1" si="4"/>
        <v>2.6681734604266558</v>
      </c>
      <c r="J6">
        <f t="shared" ca="1" si="4"/>
        <v>3.1407517072227695</v>
      </c>
      <c r="K6">
        <f t="shared" ca="1" si="4"/>
        <v>2.7507215012381425</v>
      </c>
      <c r="L6">
        <f t="shared" ca="1" si="4"/>
        <v>2.8273525189221824</v>
      </c>
      <c r="M6">
        <f t="shared" ca="1" si="4"/>
        <v>2.763425165828985</v>
      </c>
      <c r="N6">
        <f t="shared" ca="1" si="4"/>
        <v>2.5578755902919657</v>
      </c>
      <c r="O6">
        <f t="shared" ca="1" si="4"/>
        <v>2.8027717806143553</v>
      </c>
      <c r="P6">
        <f t="shared" ca="1" si="4"/>
        <v>2.9247599451334763</v>
      </c>
      <c r="Q6">
        <f t="shared" ca="1" si="4"/>
        <v>2.9050744883935966</v>
      </c>
      <c r="R6">
        <f t="shared" ca="1" si="4"/>
        <v>2.5721266059821293</v>
      </c>
      <c r="S6">
        <f t="shared" ca="1" si="4"/>
        <v>2.7542747057514219</v>
      </c>
      <c r="T6">
        <f t="shared" ca="1" si="4"/>
        <v>2.9105893429567766</v>
      </c>
      <c r="U6">
        <f t="shared" ca="1" si="4"/>
        <v>2.7700899275813442</v>
      </c>
      <c r="V6">
        <f t="shared" ca="1" si="4"/>
        <v>2.7472182492943049</v>
      </c>
      <c r="W6">
        <f t="shared" ca="1" si="4"/>
        <v>2.9877123140292694</v>
      </c>
      <c r="X6">
        <f t="shared" ca="1" si="4"/>
        <v>2.4175542877234255</v>
      </c>
      <c r="Y6">
        <f t="shared" ca="1" si="4"/>
        <v>2.6083356172534811</v>
      </c>
      <c r="Z6">
        <f t="shared" ca="1" si="4"/>
        <v>2.6867724486980413</v>
      </c>
      <c r="AA6">
        <f t="shared" ca="1" si="4"/>
        <v>2.8732060661160999</v>
      </c>
      <c r="AB6">
        <f t="shared" ca="1" si="4"/>
        <v>2.3618663112508647</v>
      </c>
      <c r="AC6">
        <f t="shared" ca="1" si="4"/>
        <v>2.7316634246144575</v>
      </c>
      <c r="AD6">
        <f t="shared" ca="1" si="4"/>
        <v>2.7702651734751784</v>
      </c>
      <c r="AE6">
        <f t="shared" ca="1" si="4"/>
        <v>2.9962165816200601</v>
      </c>
      <c r="AF6">
        <f t="shared" ca="1" si="4"/>
        <v>2.8696612922680966</v>
      </c>
      <c r="AG6">
        <f t="shared" ca="1" si="4"/>
        <v>2.7198718950603338</v>
      </c>
      <c r="AH6">
        <f t="shared" ca="1" si="4"/>
        <v>2.6309554833761188</v>
      </c>
      <c r="AI6">
        <f t="shared" ca="1" si="4"/>
        <v>2.8570259799195545</v>
      </c>
      <c r="AJ6">
        <f t="shared" ca="1" si="4"/>
        <v>2.6927390475713198</v>
      </c>
      <c r="AK6">
        <f t="shared" ca="1" si="4"/>
        <v>2.6530029589556716</v>
      </c>
      <c r="AL6">
        <f t="shared" ca="1" si="4"/>
        <v>2.5789540785868015</v>
      </c>
      <c r="AM6">
        <f t="shared" ca="1" si="4"/>
        <v>2.8508022220349361</v>
      </c>
      <c r="AN6">
        <f t="shared" ca="1" si="4"/>
        <v>2.605682319208003</v>
      </c>
      <c r="AO6">
        <f t="shared" ca="1" si="4"/>
        <v>2.6023484831071526</v>
      </c>
      <c r="AP6">
        <f t="shared" ca="1" si="4"/>
        <v>2.9136603593795884</v>
      </c>
      <c r="AQ6">
        <f t="shared" ca="1" si="4"/>
        <v>2.7184981275841062</v>
      </c>
      <c r="AR6">
        <f t="shared" ca="1" si="4"/>
        <v>2.6996326809972873</v>
      </c>
      <c r="AS6">
        <f t="shared" ca="1" si="4"/>
        <v>2.6222879092435845</v>
      </c>
      <c r="AT6">
        <f t="shared" ca="1" si="4"/>
        <v>2.5389257811228942</v>
      </c>
      <c r="AU6">
        <f t="shared" ca="1" si="4"/>
        <v>2.6079136810241836</v>
      </c>
      <c r="AV6">
        <f t="shared" ca="1" si="4"/>
        <v>2.6191606156077558</v>
      </c>
      <c r="AW6">
        <f t="shared" ca="1" si="4"/>
        <v>2.7398152433974579</v>
      </c>
      <c r="AX6">
        <f t="shared" ca="1" si="4"/>
        <v>2.6915107995707221</v>
      </c>
      <c r="AY6">
        <f t="shared" ca="1" si="4"/>
        <v>2.7433770073936641</v>
      </c>
      <c r="AZ6">
        <f t="shared" ca="1" si="4"/>
        <v>2.75785495570697</v>
      </c>
      <c r="BB6">
        <f t="shared" ca="1" si="7"/>
        <v>2.3618663112508647</v>
      </c>
      <c r="BC6">
        <f t="shared" ca="1" si="8"/>
        <v>2.9962165816200601</v>
      </c>
    </row>
    <row r="7" spans="1:55" x14ac:dyDescent="0.25">
      <c r="A7">
        <v>5</v>
      </c>
      <c r="B7">
        <f t="shared" si="5"/>
        <v>2.7182818284590455</v>
      </c>
      <c r="C7">
        <f t="shared" ca="1" si="6"/>
        <v>3.732312836165891</v>
      </c>
      <c r="D7">
        <f t="shared" ca="1" si="6"/>
        <v>3.4807181671086966</v>
      </c>
      <c r="E7">
        <f t="shared" ca="1" si="4"/>
        <v>3.3100843209393078</v>
      </c>
      <c r="F7">
        <f t="shared" ca="1" si="4"/>
        <v>3.8264934458833686</v>
      </c>
      <c r="G7">
        <f t="shared" ca="1" si="4"/>
        <v>3.1329311292752684</v>
      </c>
      <c r="H7">
        <f t="shared" ca="1" si="4"/>
        <v>3.6237545168693774</v>
      </c>
      <c r="I7">
        <f t="shared" ca="1" si="4"/>
        <v>3.3576341572106734</v>
      </c>
      <c r="J7">
        <f t="shared" ca="1" si="4"/>
        <v>3.9926057827521588</v>
      </c>
      <c r="K7">
        <f t="shared" ca="1" si="4"/>
        <v>3.5993001222793426</v>
      </c>
      <c r="L7">
        <f t="shared" ca="1" si="4"/>
        <v>3.7293423677638669</v>
      </c>
      <c r="M7">
        <f t="shared" ca="1" si="4"/>
        <v>3.6093426827192694</v>
      </c>
      <c r="N7">
        <f t="shared" ca="1" si="4"/>
        <v>3.3232551258652454</v>
      </c>
      <c r="O7">
        <f t="shared" ca="1" si="4"/>
        <v>3.5800286459391035</v>
      </c>
      <c r="P7">
        <f t="shared" ca="1" si="4"/>
        <v>3.5897198242097872</v>
      </c>
      <c r="Q7">
        <f t="shared" ca="1" si="4"/>
        <v>3.6231676668487007</v>
      </c>
      <c r="R7">
        <f t="shared" ca="1" si="4"/>
        <v>3.4081701045418384</v>
      </c>
      <c r="S7">
        <f t="shared" ca="1" si="4"/>
        <v>3.6735332539309722</v>
      </c>
      <c r="T7">
        <f t="shared" ca="1" si="4"/>
        <v>3.5822302568187094</v>
      </c>
      <c r="U7">
        <f t="shared" ca="1" si="4"/>
        <v>3.69247783957023</v>
      </c>
      <c r="V7">
        <f t="shared" ca="1" si="4"/>
        <v>3.5830265672883015</v>
      </c>
      <c r="W7">
        <f t="shared" ca="1" si="4"/>
        <v>3.7984953370021319</v>
      </c>
      <c r="X7">
        <f t="shared" ca="1" si="4"/>
        <v>3.0699272357542133</v>
      </c>
      <c r="Y7">
        <f t="shared" ca="1" si="4"/>
        <v>3.1904545730197751</v>
      </c>
      <c r="Z7">
        <f t="shared" ca="1" si="4"/>
        <v>3.3247511931815925</v>
      </c>
      <c r="AA7">
        <f t="shared" ca="1" si="4"/>
        <v>3.7728618484810248</v>
      </c>
      <c r="AB7">
        <f t="shared" ca="1" si="4"/>
        <v>3.0591515372868932</v>
      </c>
      <c r="AC7">
        <f t="shared" ca="1" si="4"/>
        <v>3.5672385667753366</v>
      </c>
      <c r="AD7">
        <f t="shared" ca="1" si="4"/>
        <v>3.4349277307820598</v>
      </c>
      <c r="AE7">
        <f t="shared" ca="1" si="4"/>
        <v>3.936390447029821</v>
      </c>
      <c r="AF7">
        <f t="shared" ca="1" si="4"/>
        <v>3.6041510091796658</v>
      </c>
      <c r="AG7">
        <f t="shared" ca="1" si="4"/>
        <v>3.4671098156334303</v>
      </c>
      <c r="AH7">
        <f t="shared" ca="1" si="4"/>
        <v>3.303498697145407</v>
      </c>
      <c r="AI7">
        <f t="shared" ca="1" si="4"/>
        <v>3.5270901948309747</v>
      </c>
      <c r="AJ7">
        <f t="shared" ca="1" si="4"/>
        <v>3.5330098179289551</v>
      </c>
      <c r="AK7">
        <f t="shared" ca="1" si="4"/>
        <v>3.5785578292648204</v>
      </c>
      <c r="AL7">
        <f t="shared" ca="1" si="4"/>
        <v>3.1891299764260328</v>
      </c>
      <c r="AM7">
        <f t="shared" ca="1" si="4"/>
        <v>3.7387865640290472</v>
      </c>
      <c r="AN7">
        <f t="shared" ca="1" si="4"/>
        <v>3.2860656243313175</v>
      </c>
      <c r="AO7">
        <f t="shared" ca="1" si="4"/>
        <v>3.3607031293984013</v>
      </c>
      <c r="AP7">
        <f t="shared" ca="1" si="4"/>
        <v>3.8260211238539181</v>
      </c>
      <c r="AQ7">
        <f t="shared" ca="1" si="4"/>
        <v>3.4433065968705692</v>
      </c>
      <c r="AR7">
        <f t="shared" ca="1" si="4"/>
        <v>3.562576162194933</v>
      </c>
      <c r="AS7">
        <f t="shared" ca="1" si="4"/>
        <v>3.283392971564302</v>
      </c>
      <c r="AT7">
        <f t="shared" ca="1" si="4"/>
        <v>3.2723868123446795</v>
      </c>
      <c r="AU7">
        <f t="shared" ca="1" si="4"/>
        <v>3.4359987587858494</v>
      </c>
      <c r="AV7">
        <f t="shared" ca="1" si="4"/>
        <v>3.3029200941143406</v>
      </c>
      <c r="AW7">
        <f t="shared" ca="1" si="4"/>
        <v>3.4581570033447075</v>
      </c>
      <c r="AX7">
        <f t="shared" ca="1" si="4"/>
        <v>3.4930444099863265</v>
      </c>
      <c r="AY7">
        <f t="shared" ca="1" si="4"/>
        <v>3.4578745415466812</v>
      </c>
      <c r="AZ7">
        <f t="shared" ca="1" si="4"/>
        <v>3.4915099304567323</v>
      </c>
      <c r="BB7">
        <f t="shared" ca="1" si="7"/>
        <v>3.0591515372868932</v>
      </c>
      <c r="BC7">
        <f t="shared" ca="1" si="8"/>
        <v>3.8264934458833686</v>
      </c>
    </row>
    <row r="8" spans="1:55" x14ac:dyDescent="0.25">
      <c r="A8">
        <v>6</v>
      </c>
      <c r="B8">
        <f t="shared" si="5"/>
        <v>3.3201169227365481</v>
      </c>
      <c r="C8">
        <f t="shared" ca="1" si="6"/>
        <v>4.7665384946375386</v>
      </c>
      <c r="D8">
        <f t="shared" ca="1" si="6"/>
        <v>4.3428453439654957</v>
      </c>
      <c r="E8">
        <f t="shared" ca="1" si="4"/>
        <v>4.3848387506867228</v>
      </c>
      <c r="F8">
        <f t="shared" ca="1" si="4"/>
        <v>4.8379469287307089</v>
      </c>
      <c r="G8">
        <f t="shared" ca="1" si="4"/>
        <v>3.9853300835429963</v>
      </c>
      <c r="H8">
        <f t="shared" ca="1" si="4"/>
        <v>4.7630439897015506</v>
      </c>
      <c r="I8">
        <f t="shared" ca="1" si="4"/>
        <v>4.2333351587374572</v>
      </c>
      <c r="J8">
        <f t="shared" ca="1" si="4"/>
        <v>5.2002390331871986</v>
      </c>
      <c r="K8">
        <f t="shared" ca="1" si="4"/>
        <v>4.8131193563001267</v>
      </c>
      <c r="L8">
        <f t="shared" ca="1" si="4"/>
        <v>4.7760141634109399</v>
      </c>
      <c r="M8">
        <f t="shared" ca="1" si="4"/>
        <v>4.6440376810622519</v>
      </c>
      <c r="N8">
        <f t="shared" ca="1" si="4"/>
        <v>4.3266160732132919</v>
      </c>
      <c r="O8">
        <f t="shared" ca="1" si="4"/>
        <v>4.724299516972831</v>
      </c>
      <c r="P8">
        <f t="shared" ca="1" si="4"/>
        <v>4.5277546404986309</v>
      </c>
      <c r="Q8">
        <f t="shared" ca="1" si="4"/>
        <v>4.7545813737966025</v>
      </c>
      <c r="R8">
        <f t="shared" ca="1" si="4"/>
        <v>4.5120881484573419</v>
      </c>
      <c r="S8">
        <f t="shared" ca="1" si="4"/>
        <v>4.9155523929531997</v>
      </c>
      <c r="T8">
        <f t="shared" ref="T8:T22" ca="1" si="9">T7*EXP($B$1+RAND()/10)</f>
        <v>4.4172598586152931</v>
      </c>
      <c r="U8">
        <f t="shared" ref="U8:U22" ca="1" si="10">U7*EXP($B$1+RAND()/10)</f>
        <v>4.9735155124154824</v>
      </c>
      <c r="V8">
        <f t="shared" ref="V8:V22" ca="1" si="11">V7*EXP($B$1+RAND()/10)</f>
        <v>4.6689164983673628</v>
      </c>
      <c r="W8">
        <f t="shared" ref="W8:W22" ca="1" si="12">W7*EXP($B$1+RAND()/10)</f>
        <v>4.6934170873388146</v>
      </c>
      <c r="X8">
        <f t="shared" ref="X8:X22" ca="1" si="13">X7*EXP($B$1+RAND()/10)</f>
        <v>4.0872794258772194</v>
      </c>
      <c r="Y8">
        <f t="shared" ref="Y8:Y22" ca="1" si="14">Y7*EXP($B$1+RAND()/10)</f>
        <v>4.2970626379761114</v>
      </c>
      <c r="Z8">
        <f t="shared" ref="Z8:Z22" ca="1" si="15">Z7*EXP($B$1+RAND()/10)</f>
        <v>4.3411389835607457</v>
      </c>
      <c r="AA8">
        <f t="shared" ref="AA8:AA22" ca="1" si="16">AA7*EXP($B$1+RAND()/10)</f>
        <v>4.6494554438402034</v>
      </c>
      <c r="AB8">
        <f t="shared" ref="AB8:AB22" ca="1" si="17">AB7*EXP($B$1+RAND()/10)</f>
        <v>3.9658897659386221</v>
      </c>
      <c r="AC8">
        <f t="shared" ref="AC8:AC22" ca="1" si="18">AC7*EXP($B$1+RAND()/10)</f>
        <v>4.6400819941190505</v>
      </c>
      <c r="AD8">
        <f t="shared" ref="AD8:AD22" ca="1" si="19">AD7*EXP($B$1+RAND()/10)</f>
        <v>4.3759917362641767</v>
      </c>
      <c r="AE8">
        <f t="shared" ref="AE8:AE22" ca="1" si="20">AE7*EXP($B$1+RAND()/10)</f>
        <v>4.9959725271156374</v>
      </c>
      <c r="AF8">
        <f t="shared" ref="AF8:AF22" ca="1" si="21">AF7*EXP($B$1+RAND()/10)</f>
        <v>4.6522746116624454</v>
      </c>
      <c r="AG8">
        <f t="shared" ref="AG8:AG22" ca="1" si="22">AG7*EXP($B$1+RAND()/10)</f>
        <v>4.3060770921127149</v>
      </c>
      <c r="AH8">
        <f t="shared" ref="AH8:AH22" ca="1" si="23">AH7*EXP($B$1+RAND()/10)</f>
        <v>4.3029780239355944</v>
      </c>
      <c r="AI8">
        <f t="shared" ref="AI8:AI22" ca="1" si="24">AI7*EXP($B$1+RAND()/10)</f>
        <v>4.4294801746295143</v>
      </c>
      <c r="AJ8">
        <f t="shared" ref="AJ8:AJ22" ca="1" si="25">AJ7*EXP($B$1+RAND()/10)</f>
        <v>4.4358150302031136</v>
      </c>
      <c r="AK8">
        <f t="shared" ref="AK8:AK22" ca="1" si="26">AK7*EXP($B$1+RAND()/10)</f>
        <v>4.7843646930914376</v>
      </c>
      <c r="AL8">
        <f t="shared" ref="AL8:AL22" ca="1" si="27">AL7*EXP($B$1+RAND()/10)</f>
        <v>4.0976226145267454</v>
      </c>
      <c r="AM8">
        <f t="shared" ref="AM8:AM22" ca="1" si="28">AM7*EXP($B$1+RAND()/10)</f>
        <v>4.6473237442705297</v>
      </c>
      <c r="AN8">
        <f t="shared" ref="AN8:AN22" ca="1" si="29">AN7*EXP($B$1+RAND()/10)</f>
        <v>4.2129121107059202</v>
      </c>
      <c r="AO8">
        <f t="shared" ref="AO8:AO22" ca="1" si="30">AO7*EXP($B$1+RAND()/10)</f>
        <v>4.3268997677046297</v>
      </c>
      <c r="AP8">
        <f t="shared" ref="AP8:AP22" ca="1" si="31">AP7*EXP($B$1+RAND()/10)</f>
        <v>5.0624437161957658</v>
      </c>
      <c r="AQ8">
        <f t="shared" ref="AQ8:AQ22" ca="1" si="32">AQ7*EXP($B$1+RAND()/10)</f>
        <v>4.4569637263339317</v>
      </c>
      <c r="AR8">
        <f t="shared" ref="AR8:AR22" ca="1" si="33">AR7*EXP($B$1+RAND()/10)</f>
        <v>4.6730778409875926</v>
      </c>
      <c r="AS8">
        <f t="shared" ref="AS8:AS22" ca="1" si="34">AS7*EXP($B$1+RAND()/10)</f>
        <v>4.4282400278541747</v>
      </c>
      <c r="AT8">
        <f t="shared" ref="AT8:AT22" ca="1" si="35">AT7*EXP($B$1+RAND()/10)</f>
        <v>4.2168308924764935</v>
      </c>
      <c r="AU8">
        <f t="shared" ref="AU8:AU22" ca="1" si="36">AU7*EXP($B$1+RAND()/10)</f>
        <v>4.3563100769752632</v>
      </c>
      <c r="AV8">
        <f t="shared" ref="AV8:AV22" ca="1" si="37">AV7*EXP($B$1+RAND()/10)</f>
        <v>4.1266092554888196</v>
      </c>
      <c r="AW8">
        <f t="shared" ref="AW8:AW22" ca="1" si="38">AW7*EXP($B$1+RAND()/10)</f>
        <v>4.2969486521162574</v>
      </c>
      <c r="AX8">
        <f t="shared" ref="AX8:AX22" ca="1" si="39">AX7*EXP($B$1+RAND()/10)</f>
        <v>4.4225925976092109</v>
      </c>
      <c r="AY8">
        <f t="shared" ref="AY8:AY22" ca="1" si="40">AY7*EXP($B$1+RAND()/10)</f>
        <v>4.3379839760104115</v>
      </c>
      <c r="AZ8">
        <f t="shared" ref="AZ8:AZ22" ca="1" si="41">AZ7*EXP($B$1+RAND()/10)</f>
        <v>4.3416493687184232</v>
      </c>
      <c r="BB8">
        <f t="shared" ca="1" si="7"/>
        <v>3.9658897659386221</v>
      </c>
      <c r="BC8">
        <f t="shared" ca="1" si="8"/>
        <v>4.9959725271156374</v>
      </c>
    </row>
    <row r="9" spans="1:55" x14ac:dyDescent="0.25">
      <c r="A9">
        <v>7</v>
      </c>
      <c r="B9">
        <f t="shared" si="5"/>
        <v>4.0551999668446754</v>
      </c>
      <c r="C9">
        <f t="shared" ca="1" si="6"/>
        <v>6.0945449449111448</v>
      </c>
      <c r="D9">
        <f t="shared" ca="1" si="6"/>
        <v>5.3065219442211706</v>
      </c>
      <c r="E9">
        <f t="shared" ref="E9:E22" ca="1" si="42">E8*EXP($B$1+RAND()/10)</f>
        <v>5.5356923678587489</v>
      </c>
      <c r="F9">
        <f t="shared" ref="F9:F22" ca="1" si="43">F8*EXP($B$1+RAND()/10)</f>
        <v>6.420628314264917</v>
      </c>
      <c r="G9">
        <f t="shared" ref="G9:G22" ca="1" si="44">G8*EXP($B$1+RAND()/10)</f>
        <v>4.9020850229573298</v>
      </c>
      <c r="H9">
        <f t="shared" ref="H9:H22" ca="1" si="45">H8*EXP($B$1+RAND()/10)</f>
        <v>5.8343660175163397</v>
      </c>
      <c r="I9">
        <f t="shared" ref="I9:I22" ca="1" si="46">I8*EXP($B$1+RAND()/10)</f>
        <v>5.3174861842047267</v>
      </c>
      <c r="J9">
        <f t="shared" ref="J9:J22" ca="1" si="47">J8*EXP($B$1+RAND()/10)</f>
        <v>6.6098170284030928</v>
      </c>
      <c r="K9">
        <f t="shared" ref="K9:K22" ca="1" si="48">K8*EXP($B$1+RAND()/10)</f>
        <v>6.408372507038937</v>
      </c>
      <c r="L9">
        <f t="shared" ref="L9:L22" ca="1" si="49">L8*EXP($B$1+RAND()/10)</f>
        <v>6.2862659725674899</v>
      </c>
      <c r="M9">
        <f t="shared" ref="M9:M22" ca="1" si="50">M8*EXP($B$1+RAND()/10)</f>
        <v>5.9401930117808703</v>
      </c>
      <c r="N9">
        <f t="shared" ref="N9:N22" ca="1" si="51">N8*EXP($B$1+RAND()/10)</f>
        <v>5.3338506480761643</v>
      </c>
      <c r="O9">
        <f t="shared" ref="O9:O22" ca="1" si="52">O8*EXP($B$1+RAND()/10)</f>
        <v>5.9779168952954205</v>
      </c>
      <c r="P9">
        <f t="shared" ref="P9:P22" ca="1" si="53">P8*EXP($B$1+RAND()/10)</f>
        <v>6.0106741177802707</v>
      </c>
      <c r="Q9">
        <f t="shared" ref="Q9:Q22" ca="1" si="54">Q8*EXP($B$1+RAND()/10)</f>
        <v>5.8705768806170715</v>
      </c>
      <c r="R9">
        <f t="shared" ref="R9:R22" ca="1" si="55">R8*EXP($B$1+RAND()/10)</f>
        <v>5.8513247537121007</v>
      </c>
      <c r="S9">
        <f t="shared" ref="S9:S22" ca="1" si="56">S8*EXP($B$1+RAND()/10)</f>
        <v>6.4031223819524055</v>
      </c>
      <c r="T9">
        <f t="shared" ca="1" si="9"/>
        <v>5.7544407143201592</v>
      </c>
      <c r="U9">
        <f t="shared" ca="1" si="10"/>
        <v>6.1007226133695509</v>
      </c>
      <c r="V9">
        <f t="shared" ca="1" si="11"/>
        <v>6.1510741312140924</v>
      </c>
      <c r="W9">
        <f t="shared" ca="1" si="12"/>
        <v>5.9753172401992121</v>
      </c>
      <c r="X9">
        <f t="shared" ca="1" si="13"/>
        <v>5.0499855578391122</v>
      </c>
      <c r="Y9">
        <f t="shared" ca="1" si="14"/>
        <v>5.2654947013591187</v>
      </c>
      <c r="Z9">
        <f t="shared" ca="1" si="15"/>
        <v>5.4515910102422547</v>
      </c>
      <c r="AA9">
        <f t="shared" ca="1" si="16"/>
        <v>5.9484726008171158</v>
      </c>
      <c r="AB9">
        <f t="shared" ca="1" si="17"/>
        <v>5.2642405139197903</v>
      </c>
      <c r="AC9">
        <f t="shared" ca="1" si="18"/>
        <v>6.0918141930919321</v>
      </c>
      <c r="AD9">
        <f t="shared" ca="1" si="19"/>
        <v>5.7010951223107975</v>
      </c>
      <c r="AE9">
        <f t="shared" ca="1" si="20"/>
        <v>6.4252696835540872</v>
      </c>
      <c r="AF9">
        <f t="shared" ca="1" si="21"/>
        <v>6.2446187749469093</v>
      </c>
      <c r="AG9">
        <f t="shared" ca="1" si="22"/>
        <v>5.567678861058365</v>
      </c>
      <c r="AH9">
        <f t="shared" ca="1" si="23"/>
        <v>5.632618391741083</v>
      </c>
      <c r="AI9">
        <f t="shared" ca="1" si="24"/>
        <v>5.68414593437618</v>
      </c>
      <c r="AJ9">
        <f t="shared" ca="1" si="25"/>
        <v>5.781098436522945</v>
      </c>
      <c r="AK9">
        <f t="shared" ca="1" si="26"/>
        <v>6.3485144013978099</v>
      </c>
      <c r="AL9">
        <f t="shared" ca="1" si="27"/>
        <v>5.3956921003357579</v>
      </c>
      <c r="AM9">
        <f t="shared" ca="1" si="28"/>
        <v>5.9027358260737701</v>
      </c>
      <c r="AN9">
        <f t="shared" ca="1" si="29"/>
        <v>5.5832357967155035</v>
      </c>
      <c r="AO9">
        <f t="shared" ca="1" si="30"/>
        <v>5.5034117346826275</v>
      </c>
      <c r="AP9">
        <f t="shared" ca="1" si="31"/>
        <v>6.3697483531237262</v>
      </c>
      <c r="AQ9">
        <f t="shared" ca="1" si="32"/>
        <v>5.954691075717685</v>
      </c>
      <c r="AR9">
        <f t="shared" ca="1" si="33"/>
        <v>5.9542292223649671</v>
      </c>
      <c r="AS9">
        <f t="shared" ca="1" si="34"/>
        <v>5.7533747272423339</v>
      </c>
      <c r="AT9">
        <f t="shared" ca="1" si="35"/>
        <v>5.2037685871825339</v>
      </c>
      <c r="AU9">
        <f t="shared" ca="1" si="36"/>
        <v>5.339513109535468</v>
      </c>
      <c r="AV9">
        <f t="shared" ca="1" si="37"/>
        <v>5.0733939258190226</v>
      </c>
      <c r="AW9">
        <f t="shared" ca="1" si="38"/>
        <v>5.6964570148243352</v>
      </c>
      <c r="AX9">
        <f t="shared" ca="1" si="39"/>
        <v>5.6572781510514734</v>
      </c>
      <c r="AY9">
        <f t="shared" ca="1" si="40"/>
        <v>5.5146300652860862</v>
      </c>
      <c r="AZ9">
        <f t="shared" ca="1" si="41"/>
        <v>5.5234277034967887</v>
      </c>
      <c r="BB9">
        <f t="shared" ca="1" si="7"/>
        <v>4.9020850229573298</v>
      </c>
      <c r="BC9">
        <f t="shared" ca="1" si="8"/>
        <v>6.420628314264917</v>
      </c>
    </row>
    <row r="10" spans="1:55" x14ac:dyDescent="0.25">
      <c r="A10">
        <v>8</v>
      </c>
      <c r="B10">
        <f t="shared" si="5"/>
        <v>4.9530324243951158</v>
      </c>
      <c r="C10">
        <f t="shared" ca="1" si="6"/>
        <v>7.8077356448527144</v>
      </c>
      <c r="D10">
        <f t="shared" ca="1" si="6"/>
        <v>7.0921095802657161</v>
      </c>
      <c r="E10">
        <f t="shared" ca="1" si="42"/>
        <v>6.8333462315067219</v>
      </c>
      <c r="F10">
        <f t="shared" ca="1" si="43"/>
        <v>8.033901887533494</v>
      </c>
      <c r="G10">
        <f t="shared" ca="1" si="44"/>
        <v>6.3193253919068306</v>
      </c>
      <c r="H10">
        <f t="shared" ca="1" si="45"/>
        <v>7.213844806466235</v>
      </c>
      <c r="I10">
        <f t="shared" ca="1" si="46"/>
        <v>6.6265759374097302</v>
      </c>
      <c r="J10">
        <f t="shared" ca="1" si="47"/>
        <v>8.8520560390281098</v>
      </c>
      <c r="K10">
        <f t="shared" ca="1" si="48"/>
        <v>7.8893545023418152</v>
      </c>
      <c r="L10">
        <f t="shared" ca="1" si="49"/>
        <v>7.8213609522605303</v>
      </c>
      <c r="M10">
        <f t="shared" ca="1" si="50"/>
        <v>7.8198563963292971</v>
      </c>
      <c r="N10">
        <f t="shared" ca="1" si="51"/>
        <v>6.5200215657745524</v>
      </c>
      <c r="O10">
        <f t="shared" ca="1" si="52"/>
        <v>7.7769067816304895</v>
      </c>
      <c r="P10">
        <f t="shared" ca="1" si="53"/>
        <v>7.642365384900466</v>
      </c>
      <c r="Q10">
        <f t="shared" ca="1" si="54"/>
        <v>7.4426355589988438</v>
      </c>
      <c r="R10">
        <f t="shared" ca="1" si="55"/>
        <v>7.8276239376643186</v>
      </c>
      <c r="S10">
        <f t="shared" ca="1" si="56"/>
        <v>7.8231003838068576</v>
      </c>
      <c r="T10">
        <f t="shared" ca="1" si="9"/>
        <v>7.4518376008575702</v>
      </c>
      <c r="U10">
        <f t="shared" ca="1" si="10"/>
        <v>8.2260913085390914</v>
      </c>
      <c r="V10">
        <f t="shared" ca="1" si="11"/>
        <v>8.2724775867836815</v>
      </c>
      <c r="W10">
        <f t="shared" ca="1" si="12"/>
        <v>7.6773786131770638</v>
      </c>
      <c r="X10">
        <f t="shared" ca="1" si="13"/>
        <v>6.5640095331065273</v>
      </c>
      <c r="Y10">
        <f t="shared" ca="1" si="14"/>
        <v>6.853084194901701</v>
      </c>
      <c r="Z10">
        <f t="shared" ca="1" si="15"/>
        <v>6.7973432113706114</v>
      </c>
      <c r="AA10">
        <f t="shared" ca="1" si="16"/>
        <v>7.907840752137135</v>
      </c>
      <c r="AB10">
        <f t="shared" ca="1" si="17"/>
        <v>6.860156085698736</v>
      </c>
      <c r="AC10">
        <f t="shared" ca="1" si="18"/>
        <v>8.0565018811684226</v>
      </c>
      <c r="AD10">
        <f t="shared" ca="1" si="19"/>
        <v>7.0848697235844531</v>
      </c>
      <c r="AE10">
        <f t="shared" ca="1" si="20"/>
        <v>8.2867112283771451</v>
      </c>
      <c r="AF10">
        <f t="shared" ca="1" si="21"/>
        <v>8.1896011303344167</v>
      </c>
      <c r="AG10">
        <f t="shared" ca="1" si="22"/>
        <v>6.824793367024597</v>
      </c>
      <c r="AH10">
        <f t="shared" ca="1" si="23"/>
        <v>7.120147571305389</v>
      </c>
      <c r="AI10">
        <f t="shared" ca="1" si="24"/>
        <v>7.6543398571748993</v>
      </c>
      <c r="AJ10">
        <f t="shared" ca="1" si="25"/>
        <v>7.3441171265869372</v>
      </c>
      <c r="AK10">
        <f t="shared" ca="1" si="26"/>
        <v>7.9003867037087661</v>
      </c>
      <c r="AL10">
        <f t="shared" ca="1" si="27"/>
        <v>6.9651481598987504</v>
      </c>
      <c r="AM10">
        <f t="shared" ca="1" si="28"/>
        <v>7.2620510057296972</v>
      </c>
      <c r="AN10">
        <f t="shared" ca="1" si="29"/>
        <v>7.1073493515058521</v>
      </c>
      <c r="AO10">
        <f t="shared" ca="1" si="30"/>
        <v>6.8978135977801527</v>
      </c>
      <c r="AP10">
        <f t="shared" ca="1" si="31"/>
        <v>8.4881771697585418</v>
      </c>
      <c r="AQ10">
        <f t="shared" ca="1" si="32"/>
        <v>7.8013703079236727</v>
      </c>
      <c r="AR10">
        <f t="shared" ca="1" si="33"/>
        <v>7.9154652333004387</v>
      </c>
      <c r="AS10">
        <f t="shared" ca="1" si="34"/>
        <v>7.3677769740149497</v>
      </c>
      <c r="AT10">
        <f t="shared" ca="1" si="35"/>
        <v>6.655145485509637</v>
      </c>
      <c r="AU10">
        <f t="shared" ca="1" si="36"/>
        <v>6.746873472843804</v>
      </c>
      <c r="AV10">
        <f t="shared" ca="1" si="37"/>
        <v>6.3217414647178254</v>
      </c>
      <c r="AW10">
        <f t="shared" ca="1" si="38"/>
        <v>6.9949812691838282</v>
      </c>
      <c r="AX10">
        <f t="shared" ca="1" si="39"/>
        <v>7.6293277810618205</v>
      </c>
      <c r="AY10">
        <f t="shared" ca="1" si="40"/>
        <v>7.2965804043987763</v>
      </c>
      <c r="AZ10">
        <f t="shared" ca="1" si="41"/>
        <v>6.9466797902139552</v>
      </c>
      <c r="BB10">
        <f t="shared" ca="1" si="7"/>
        <v>6.3193253919068306</v>
      </c>
      <c r="BC10">
        <f t="shared" ca="1" si="8"/>
        <v>8.2867112283771451</v>
      </c>
    </row>
    <row r="11" spans="1:55" x14ac:dyDescent="0.25">
      <c r="A11">
        <v>9</v>
      </c>
      <c r="B11">
        <f t="shared" si="5"/>
        <v>6.0496474644129474</v>
      </c>
      <c r="C11">
        <f t="shared" ca="1" si="6"/>
        <v>9.583978655088206</v>
      </c>
      <c r="D11">
        <f t="shared" ca="1" si="6"/>
        <v>8.8511225050044047</v>
      </c>
      <c r="E11">
        <f t="shared" ca="1" si="42"/>
        <v>8.6575458562258181</v>
      </c>
      <c r="F11">
        <f t="shared" ca="1" si="43"/>
        <v>10.342796464641738</v>
      </c>
      <c r="G11">
        <f t="shared" ca="1" si="44"/>
        <v>8.4851688883442495</v>
      </c>
      <c r="H11">
        <f t="shared" ca="1" si="45"/>
        <v>9.6207713333260969</v>
      </c>
      <c r="I11">
        <f t="shared" ca="1" si="46"/>
        <v>8.9272476627659874</v>
      </c>
      <c r="J11">
        <f t="shared" ca="1" si="47"/>
        <v>11.191315936654252</v>
      </c>
      <c r="K11">
        <f t="shared" ca="1" si="48"/>
        <v>10.236542766948471</v>
      </c>
      <c r="L11">
        <f t="shared" ca="1" si="49"/>
        <v>9.9814093973482585</v>
      </c>
      <c r="M11">
        <f t="shared" ca="1" si="50"/>
        <v>10.302214584944981</v>
      </c>
      <c r="N11">
        <f t="shared" ca="1" si="51"/>
        <v>8.0914924554513679</v>
      </c>
      <c r="O11">
        <f t="shared" ca="1" si="52"/>
        <v>9.8813552469296031</v>
      </c>
      <c r="P11">
        <f t="shared" ca="1" si="53"/>
        <v>9.6629581855152562</v>
      </c>
      <c r="Q11">
        <f t="shared" ca="1" si="54"/>
        <v>9.4519531357997852</v>
      </c>
      <c r="R11">
        <f t="shared" ca="1" si="55"/>
        <v>9.9268863381668453</v>
      </c>
      <c r="S11">
        <f t="shared" ca="1" si="56"/>
        <v>9.8566043183468715</v>
      </c>
      <c r="T11">
        <f t="shared" ca="1" si="9"/>
        <v>9.9267160800444589</v>
      </c>
      <c r="U11">
        <f t="shared" ca="1" si="10"/>
        <v>10.776438303360639</v>
      </c>
      <c r="V11">
        <f t="shared" ca="1" si="11"/>
        <v>10.553525569300309</v>
      </c>
      <c r="W11">
        <f t="shared" ca="1" si="12"/>
        <v>10.116783675604548</v>
      </c>
      <c r="X11">
        <f t="shared" ca="1" si="13"/>
        <v>8.8319145581509506</v>
      </c>
      <c r="Y11">
        <f t="shared" ca="1" si="14"/>
        <v>8.4963793536461356</v>
      </c>
      <c r="Z11">
        <f t="shared" ca="1" si="15"/>
        <v>8.3055767110263314</v>
      </c>
      <c r="AA11">
        <f t="shared" ca="1" si="16"/>
        <v>10.533550965989974</v>
      </c>
      <c r="AB11">
        <f t="shared" ca="1" si="17"/>
        <v>9.0578581736703399</v>
      </c>
      <c r="AC11">
        <f t="shared" ca="1" si="18"/>
        <v>10.235914535243849</v>
      </c>
      <c r="AD11">
        <f t="shared" ca="1" si="19"/>
        <v>8.866366480280373</v>
      </c>
      <c r="AE11">
        <f t="shared" ca="1" si="20"/>
        <v>10.768345389547427</v>
      </c>
      <c r="AF11">
        <f t="shared" ca="1" si="21"/>
        <v>10.888149445527981</v>
      </c>
      <c r="AG11">
        <f t="shared" ca="1" si="22"/>
        <v>8.9649523104162085</v>
      </c>
      <c r="AH11">
        <f t="shared" ca="1" si="23"/>
        <v>8.775761262461991</v>
      </c>
      <c r="AI11">
        <f t="shared" ca="1" si="24"/>
        <v>10.238527748826179</v>
      </c>
      <c r="AJ11">
        <f t="shared" ca="1" si="25"/>
        <v>9.4461426762845342</v>
      </c>
      <c r="AK11">
        <f t="shared" ca="1" si="26"/>
        <v>10.032553422733805</v>
      </c>
      <c r="AL11">
        <f t="shared" ca="1" si="27"/>
        <v>8.8530132697006589</v>
      </c>
      <c r="AM11">
        <f t="shared" ca="1" si="28"/>
        <v>9.5498164542969519</v>
      </c>
      <c r="AN11">
        <f t="shared" ca="1" si="29"/>
        <v>9.1764738751180523</v>
      </c>
      <c r="AO11">
        <f t="shared" ca="1" si="30"/>
        <v>8.9752149026579868</v>
      </c>
      <c r="AP11">
        <f t="shared" ca="1" si="31"/>
        <v>10.741144803910922</v>
      </c>
      <c r="AQ11">
        <f t="shared" ca="1" si="32"/>
        <v>10.247117927079396</v>
      </c>
      <c r="AR11">
        <f t="shared" ca="1" si="33"/>
        <v>10.298348132093503</v>
      </c>
      <c r="AS11">
        <f t="shared" ca="1" si="34"/>
        <v>9.7605953527850371</v>
      </c>
      <c r="AT11">
        <f t="shared" ca="1" si="35"/>
        <v>8.5125825504188608</v>
      </c>
      <c r="AU11">
        <f t="shared" ca="1" si="36"/>
        <v>9.0019100970019572</v>
      </c>
      <c r="AV11">
        <f t="shared" ca="1" si="37"/>
        <v>8.4114895993726382</v>
      </c>
      <c r="AW11">
        <f t="shared" ca="1" si="38"/>
        <v>8.6378899995419545</v>
      </c>
      <c r="AX11">
        <f t="shared" ca="1" si="39"/>
        <v>10.131245552192853</v>
      </c>
      <c r="AY11">
        <f t="shared" ca="1" si="40"/>
        <v>8.9725994322998393</v>
      </c>
      <c r="AZ11">
        <f t="shared" ca="1" si="41"/>
        <v>8.5703392363523232</v>
      </c>
      <c r="BB11">
        <f t="shared" ca="1" si="7"/>
        <v>8.0914924554513679</v>
      </c>
      <c r="BC11">
        <f t="shared" ca="1" si="8"/>
        <v>10.776438303360639</v>
      </c>
    </row>
    <row r="12" spans="1:55" x14ac:dyDescent="0.25">
      <c r="A12">
        <v>10</v>
      </c>
      <c r="B12">
        <f t="shared" si="5"/>
        <v>7.3890560989306522</v>
      </c>
      <c r="C12">
        <f t="shared" ca="1" si="6"/>
        <v>11.726465692302817</v>
      </c>
      <c r="D12">
        <f t="shared" ca="1" si="6"/>
        <v>10.980986466038322</v>
      </c>
      <c r="E12">
        <f t="shared" ca="1" si="42"/>
        <v>10.878886151131832</v>
      </c>
      <c r="F12">
        <f t="shared" ca="1" si="43"/>
        <v>12.706903769033863</v>
      </c>
      <c r="G12">
        <f t="shared" ca="1" si="44"/>
        <v>10.556284350829099</v>
      </c>
      <c r="H12">
        <f t="shared" ca="1" si="45"/>
        <v>12.862438648530778</v>
      </c>
      <c r="I12">
        <f t="shared" ca="1" si="46"/>
        <v>10.977107807832564</v>
      </c>
      <c r="J12">
        <f t="shared" ca="1" si="47"/>
        <v>14.707670832058746</v>
      </c>
      <c r="K12">
        <f t="shared" ca="1" si="48"/>
        <v>12.969487427317619</v>
      </c>
      <c r="L12">
        <f t="shared" ca="1" si="49"/>
        <v>13.100865723948768</v>
      </c>
      <c r="M12">
        <f t="shared" ca="1" si="50"/>
        <v>12.614198950375577</v>
      </c>
      <c r="N12">
        <f t="shared" ca="1" si="51"/>
        <v>10.151177744284194</v>
      </c>
      <c r="O12">
        <f t="shared" ca="1" si="52"/>
        <v>13.299460587964337</v>
      </c>
      <c r="P12">
        <f t="shared" ca="1" si="53"/>
        <v>11.820671864697539</v>
      </c>
      <c r="Q12">
        <f t="shared" ca="1" si="54"/>
        <v>11.60961159802269</v>
      </c>
      <c r="R12">
        <f t="shared" ca="1" si="55"/>
        <v>12.615772171156383</v>
      </c>
      <c r="S12">
        <f t="shared" ca="1" si="56"/>
        <v>13.006821082768122</v>
      </c>
      <c r="T12">
        <f t="shared" ca="1" si="9"/>
        <v>13.081150725063537</v>
      </c>
      <c r="U12">
        <f t="shared" ca="1" si="10"/>
        <v>13.723257574634617</v>
      </c>
      <c r="V12">
        <f t="shared" ca="1" si="11"/>
        <v>14.1562493961643</v>
      </c>
      <c r="W12">
        <f t="shared" ca="1" si="12"/>
        <v>13.018840241197378</v>
      </c>
      <c r="X12">
        <f t="shared" ca="1" si="13"/>
        <v>11.356651933219874</v>
      </c>
      <c r="Y12">
        <f t="shared" ca="1" si="14"/>
        <v>11.002462267512778</v>
      </c>
      <c r="Z12">
        <f t="shared" ca="1" si="15"/>
        <v>10.679653728182268</v>
      </c>
      <c r="AA12">
        <f t="shared" ca="1" si="16"/>
        <v>14.083618393221798</v>
      </c>
      <c r="AB12">
        <f t="shared" ca="1" si="17"/>
        <v>12.184863286097723</v>
      </c>
      <c r="AC12">
        <f t="shared" ca="1" si="18"/>
        <v>12.712916210580014</v>
      </c>
      <c r="AD12">
        <f t="shared" ca="1" si="19"/>
        <v>11.19467876108685</v>
      </c>
      <c r="AE12">
        <f t="shared" ca="1" si="20"/>
        <v>14.070164828816651</v>
      </c>
      <c r="AF12">
        <f t="shared" ca="1" si="21"/>
        <v>13.843649892690435</v>
      </c>
      <c r="AG12">
        <f t="shared" ca="1" si="22"/>
        <v>11.1294239932586</v>
      </c>
      <c r="AH12">
        <f t="shared" ca="1" si="23"/>
        <v>11.81434012815367</v>
      </c>
      <c r="AI12">
        <f t="shared" ca="1" si="24"/>
        <v>13.629300990456395</v>
      </c>
      <c r="AJ12">
        <f t="shared" ca="1" si="25"/>
        <v>11.921698907742067</v>
      </c>
      <c r="AK12">
        <f t="shared" ca="1" si="26"/>
        <v>13.044717759132986</v>
      </c>
      <c r="AL12">
        <f t="shared" ca="1" si="27"/>
        <v>11.039049704730441</v>
      </c>
      <c r="AM12">
        <f t="shared" ca="1" si="28"/>
        <v>12.482905097742297</v>
      </c>
      <c r="AN12">
        <f t="shared" ca="1" si="29"/>
        <v>12.346568619761273</v>
      </c>
      <c r="AO12">
        <f t="shared" ca="1" si="30"/>
        <v>11.09004754981167</v>
      </c>
      <c r="AP12">
        <f t="shared" ca="1" si="31"/>
        <v>13.45627711180363</v>
      </c>
      <c r="AQ12">
        <f t="shared" ca="1" si="32"/>
        <v>13.780272483252331</v>
      </c>
      <c r="AR12">
        <f t="shared" ca="1" si="33"/>
        <v>12.947752992844007</v>
      </c>
      <c r="AS12">
        <f t="shared" ca="1" si="34"/>
        <v>13.030165682360265</v>
      </c>
      <c r="AT12">
        <f t="shared" ca="1" si="35"/>
        <v>11.224448947110574</v>
      </c>
      <c r="AU12">
        <f t="shared" ca="1" si="36"/>
        <v>11.39761527284843</v>
      </c>
      <c r="AV12">
        <f t="shared" ca="1" si="37"/>
        <v>11.317264923189112</v>
      </c>
      <c r="AW12">
        <f t="shared" ca="1" si="38"/>
        <v>10.651381947509753</v>
      </c>
      <c r="AX12">
        <f t="shared" ca="1" si="39"/>
        <v>13.420898734240501</v>
      </c>
      <c r="AY12">
        <f t="shared" ca="1" si="40"/>
        <v>11.297770434574318</v>
      </c>
      <c r="AZ12">
        <f t="shared" ca="1" si="41"/>
        <v>10.525712758777795</v>
      </c>
      <c r="BB12">
        <f t="shared" ca="1" si="7"/>
        <v>10.151177744284194</v>
      </c>
      <c r="BC12">
        <f t="shared" ca="1" si="8"/>
        <v>14.083618393221798</v>
      </c>
    </row>
    <row r="13" spans="1:55" x14ac:dyDescent="0.25">
      <c r="A13">
        <v>11</v>
      </c>
      <c r="B13">
        <f t="shared" si="5"/>
        <v>9.0250134994341238</v>
      </c>
      <c r="C13">
        <f t="shared" ca="1" si="6"/>
        <v>14.667458723641746</v>
      </c>
      <c r="D13">
        <f t="shared" ca="1" si="6"/>
        <v>13.747112857472924</v>
      </c>
      <c r="E13">
        <f t="shared" ca="1" si="42"/>
        <v>14.168307436145939</v>
      </c>
      <c r="F13">
        <f t="shared" ca="1" si="43"/>
        <v>16.76039307726278</v>
      </c>
      <c r="G13">
        <f t="shared" ca="1" si="44"/>
        <v>13.81581096000034</v>
      </c>
      <c r="H13">
        <f t="shared" ca="1" si="45"/>
        <v>16.727957837342842</v>
      </c>
      <c r="I13">
        <f t="shared" ca="1" si="46"/>
        <v>14.143985421925501</v>
      </c>
      <c r="J13">
        <f t="shared" ca="1" si="47"/>
        <v>18.854015751134334</v>
      </c>
      <c r="K13">
        <f t="shared" ca="1" si="48"/>
        <v>16.811315554407738</v>
      </c>
      <c r="L13">
        <f t="shared" ca="1" si="49"/>
        <v>16.238391017991567</v>
      </c>
      <c r="M13">
        <f t="shared" ca="1" si="50"/>
        <v>15.423927292361887</v>
      </c>
      <c r="N13">
        <f t="shared" ca="1" si="51"/>
        <v>12.969738641077829</v>
      </c>
      <c r="O13">
        <f t="shared" ca="1" si="52"/>
        <v>16.249278816903619</v>
      </c>
      <c r="P13">
        <f t="shared" ca="1" si="53"/>
        <v>15.159779788118417</v>
      </c>
      <c r="Q13">
        <f t="shared" ca="1" si="54"/>
        <v>15.662421376177205</v>
      </c>
      <c r="R13">
        <f t="shared" ca="1" si="55"/>
        <v>16.902454261433501</v>
      </c>
      <c r="S13">
        <f t="shared" ca="1" si="56"/>
        <v>17.075865858354607</v>
      </c>
      <c r="T13">
        <f t="shared" ca="1" si="9"/>
        <v>16.520034000533187</v>
      </c>
      <c r="U13">
        <f t="shared" ca="1" si="10"/>
        <v>17.636261942997745</v>
      </c>
      <c r="V13">
        <f t="shared" ca="1" si="11"/>
        <v>19.02129756537984</v>
      </c>
      <c r="W13">
        <f t="shared" ca="1" si="12"/>
        <v>17.406218371665073</v>
      </c>
      <c r="X13">
        <f t="shared" ca="1" si="13"/>
        <v>15.034791027273737</v>
      </c>
      <c r="Y13">
        <f t="shared" ca="1" si="14"/>
        <v>13.70234961457113</v>
      </c>
      <c r="Z13">
        <f t="shared" ca="1" si="15"/>
        <v>14.403427055344489</v>
      </c>
      <c r="AA13">
        <f t="shared" ca="1" si="16"/>
        <v>18.949679730093877</v>
      </c>
      <c r="AB13">
        <f t="shared" ca="1" si="17"/>
        <v>15.447004192471029</v>
      </c>
      <c r="AC13">
        <f t="shared" ca="1" si="18"/>
        <v>17.085134845631586</v>
      </c>
      <c r="AD13">
        <f t="shared" ca="1" si="19"/>
        <v>14.777528066208378</v>
      </c>
      <c r="AE13">
        <f t="shared" ca="1" si="20"/>
        <v>18.874739725629041</v>
      </c>
      <c r="AF13">
        <f t="shared" ca="1" si="21"/>
        <v>18.608586562308673</v>
      </c>
      <c r="AG13">
        <f t="shared" ca="1" si="22"/>
        <v>13.801095323080274</v>
      </c>
      <c r="AH13">
        <f t="shared" ca="1" si="23"/>
        <v>15.643989680592231</v>
      </c>
      <c r="AI13">
        <f t="shared" ca="1" si="24"/>
        <v>17.216771599598761</v>
      </c>
      <c r="AJ13">
        <f t="shared" ca="1" si="25"/>
        <v>15.803377314721642</v>
      </c>
      <c r="AK13">
        <f t="shared" ca="1" si="26"/>
        <v>16.050092035743234</v>
      </c>
      <c r="AL13">
        <f t="shared" ca="1" si="27"/>
        <v>14.014592624579439</v>
      </c>
      <c r="AM13">
        <f t="shared" ca="1" si="28"/>
        <v>15.260789920021882</v>
      </c>
      <c r="AN13">
        <f t="shared" ca="1" si="29"/>
        <v>15.789605977468268</v>
      </c>
      <c r="AO13">
        <f t="shared" ca="1" si="30"/>
        <v>14.718629362094102</v>
      </c>
      <c r="AP13">
        <f t="shared" ca="1" si="31"/>
        <v>18.08392916317931</v>
      </c>
      <c r="AQ13">
        <f t="shared" ca="1" si="32"/>
        <v>18.377182986515454</v>
      </c>
      <c r="AR13">
        <f t="shared" ca="1" si="33"/>
        <v>17.151810178045988</v>
      </c>
      <c r="AS13">
        <f t="shared" ca="1" si="34"/>
        <v>16.68921133467159</v>
      </c>
      <c r="AT13">
        <f t="shared" ca="1" si="35"/>
        <v>14.506133192558073</v>
      </c>
      <c r="AU13">
        <f t="shared" ca="1" si="36"/>
        <v>14.258156115824431</v>
      </c>
      <c r="AV13">
        <f t="shared" ca="1" si="37"/>
        <v>13.949684310587244</v>
      </c>
      <c r="AW13">
        <f t="shared" ca="1" si="38"/>
        <v>13.308326893262038</v>
      </c>
      <c r="AX13">
        <f t="shared" ca="1" si="39"/>
        <v>16.988662533435143</v>
      </c>
      <c r="AY13">
        <f t="shared" ca="1" si="40"/>
        <v>13.927516538993373</v>
      </c>
      <c r="AZ13">
        <f t="shared" ca="1" si="41"/>
        <v>14.111215012943504</v>
      </c>
      <c r="BB13">
        <f t="shared" ca="1" si="7"/>
        <v>12.969738641077829</v>
      </c>
      <c r="BC13">
        <f t="shared" ca="1" si="8"/>
        <v>18.874739725629041</v>
      </c>
    </row>
    <row r="14" spans="1:55" x14ac:dyDescent="0.25">
      <c r="A14">
        <v>12</v>
      </c>
      <c r="B14">
        <f t="shared" si="5"/>
        <v>11.023176380641605</v>
      </c>
      <c r="C14">
        <f t="shared" ca="1" si="6"/>
        <v>19.550408734155553</v>
      </c>
      <c r="D14">
        <f t="shared" ca="1" si="6"/>
        <v>17.981481199839905</v>
      </c>
      <c r="E14">
        <f t="shared" ca="1" si="42"/>
        <v>17.461181165099223</v>
      </c>
      <c r="F14">
        <f t="shared" ca="1" si="43"/>
        <v>21.874075041325852</v>
      </c>
      <c r="G14">
        <f t="shared" ca="1" si="44"/>
        <v>18.449301650005612</v>
      </c>
      <c r="H14">
        <f t="shared" ca="1" si="45"/>
        <v>20.799450856798043</v>
      </c>
      <c r="I14">
        <f t="shared" ca="1" si="46"/>
        <v>18.544994492650215</v>
      </c>
      <c r="J14">
        <f t="shared" ca="1" si="47"/>
        <v>24.524884689597684</v>
      </c>
      <c r="K14">
        <f t="shared" ca="1" si="48"/>
        <v>20.903522424279149</v>
      </c>
      <c r="L14">
        <f t="shared" ca="1" si="49"/>
        <v>20.872285729208361</v>
      </c>
      <c r="M14">
        <f t="shared" ca="1" si="50"/>
        <v>20.287723650437425</v>
      </c>
      <c r="N14">
        <f t="shared" ca="1" si="51"/>
        <v>16.686897221317956</v>
      </c>
      <c r="O14">
        <f t="shared" ca="1" si="52"/>
        <v>20.055880497499896</v>
      </c>
      <c r="P14">
        <f t="shared" ca="1" si="53"/>
        <v>20.462265760600619</v>
      </c>
      <c r="Q14">
        <f t="shared" ca="1" si="54"/>
        <v>19.246932983471211</v>
      </c>
      <c r="R14">
        <f t="shared" ca="1" si="55"/>
        <v>22.215182645896885</v>
      </c>
      <c r="S14">
        <f t="shared" ca="1" si="56"/>
        <v>21.809753716591388</v>
      </c>
      <c r="T14">
        <f t="shared" ca="1" si="9"/>
        <v>20.51218024982547</v>
      </c>
      <c r="U14">
        <f t="shared" ca="1" si="10"/>
        <v>23.497083567575704</v>
      </c>
      <c r="V14">
        <f t="shared" ca="1" si="11"/>
        <v>25.11894235538918</v>
      </c>
      <c r="W14">
        <f t="shared" ca="1" si="12"/>
        <v>22.900887314778572</v>
      </c>
      <c r="X14">
        <f t="shared" ca="1" si="13"/>
        <v>19.593385685012027</v>
      </c>
      <c r="Y14">
        <f t="shared" ca="1" si="14"/>
        <v>18.234987278567058</v>
      </c>
      <c r="Z14">
        <f t="shared" ca="1" si="15"/>
        <v>17.599603645556368</v>
      </c>
      <c r="AA14">
        <f t="shared" ca="1" si="16"/>
        <v>25.538437000232069</v>
      </c>
      <c r="AB14">
        <f t="shared" ca="1" si="17"/>
        <v>20.354512427230539</v>
      </c>
      <c r="AC14">
        <f t="shared" ca="1" si="18"/>
        <v>21.899952815485541</v>
      </c>
      <c r="AD14">
        <f t="shared" ca="1" si="19"/>
        <v>18.160632630568028</v>
      </c>
      <c r="AE14">
        <f t="shared" ca="1" si="20"/>
        <v>25.136847457062366</v>
      </c>
      <c r="AF14">
        <f t="shared" ca="1" si="21"/>
        <v>22.780926250268564</v>
      </c>
      <c r="AG14">
        <f t="shared" ca="1" si="22"/>
        <v>16.872589603865158</v>
      </c>
      <c r="AH14">
        <f t="shared" ca="1" si="23"/>
        <v>19.631109234034799</v>
      </c>
      <c r="AI14">
        <f t="shared" ca="1" si="24"/>
        <v>22.591430282572283</v>
      </c>
      <c r="AJ14">
        <f t="shared" ca="1" si="25"/>
        <v>20.475483017188445</v>
      </c>
      <c r="AK14">
        <f t="shared" ca="1" si="26"/>
        <v>19.803681125234764</v>
      </c>
      <c r="AL14">
        <f t="shared" ca="1" si="27"/>
        <v>17.324933591910543</v>
      </c>
      <c r="AM14">
        <f t="shared" ca="1" si="28"/>
        <v>20.59494534030139</v>
      </c>
      <c r="AN14">
        <f t="shared" ca="1" si="29"/>
        <v>20.915185699698391</v>
      </c>
      <c r="AO14">
        <f t="shared" ca="1" si="30"/>
        <v>18.023982853197335</v>
      </c>
      <c r="AP14">
        <f t="shared" ca="1" si="31"/>
        <v>22.114894388636358</v>
      </c>
      <c r="AQ14">
        <f t="shared" ca="1" si="32"/>
        <v>23.337217578051249</v>
      </c>
      <c r="AR14">
        <f t="shared" ca="1" si="33"/>
        <v>21.641131743100843</v>
      </c>
      <c r="AS14">
        <f t="shared" ca="1" si="34"/>
        <v>21.559285292892181</v>
      </c>
      <c r="AT14">
        <f t="shared" ca="1" si="35"/>
        <v>18.681935760308626</v>
      </c>
      <c r="AU14">
        <f t="shared" ca="1" si="36"/>
        <v>18.730872289955208</v>
      </c>
      <c r="AV14">
        <f t="shared" ca="1" si="37"/>
        <v>18.058913390579747</v>
      </c>
      <c r="AW14">
        <f t="shared" ca="1" si="38"/>
        <v>17.781046224318494</v>
      </c>
      <c r="AX14">
        <f t="shared" ca="1" si="39"/>
        <v>22.823478113496495</v>
      </c>
      <c r="AY14">
        <f t="shared" ca="1" si="40"/>
        <v>17.496480794018051</v>
      </c>
      <c r="AZ14">
        <f t="shared" ca="1" si="41"/>
        <v>18.971816753755757</v>
      </c>
      <c r="BB14">
        <f t="shared" ca="1" si="7"/>
        <v>16.686897221317956</v>
      </c>
      <c r="BC14">
        <f t="shared" ca="1" si="8"/>
        <v>25.11894235538918</v>
      </c>
    </row>
    <row r="15" spans="1:55" x14ac:dyDescent="0.25">
      <c r="A15">
        <v>13</v>
      </c>
      <c r="B15">
        <f t="shared" si="5"/>
        <v>13.463738035001695</v>
      </c>
      <c r="C15">
        <f t="shared" ca="1" si="6"/>
        <v>26.301124344536685</v>
      </c>
      <c r="D15">
        <f t="shared" ca="1" si="6"/>
        <v>23.86542292519179</v>
      </c>
      <c r="E15">
        <f t="shared" ca="1" si="42"/>
        <v>21.788546353102639</v>
      </c>
      <c r="F15">
        <f t="shared" ca="1" si="43"/>
        <v>28.426621033181988</v>
      </c>
      <c r="G15">
        <f t="shared" ca="1" si="44"/>
        <v>23.324009263877478</v>
      </c>
      <c r="H15">
        <f t="shared" ca="1" si="45"/>
        <v>26.507976106610467</v>
      </c>
      <c r="I15">
        <f t="shared" ca="1" si="46"/>
        <v>24.093986096932532</v>
      </c>
      <c r="J15">
        <f t="shared" ca="1" si="47"/>
        <v>30.262775219578401</v>
      </c>
      <c r="K15">
        <f t="shared" ca="1" si="48"/>
        <v>26.339560460290485</v>
      </c>
      <c r="L15">
        <f t="shared" ca="1" si="49"/>
        <v>27.727272112404982</v>
      </c>
      <c r="M15">
        <f t="shared" ca="1" si="50"/>
        <v>26.936324832998832</v>
      </c>
      <c r="N15">
        <f t="shared" ca="1" si="51"/>
        <v>21.84169829539864</v>
      </c>
      <c r="O15">
        <f t="shared" ca="1" si="52"/>
        <v>26.859852786201653</v>
      </c>
      <c r="P15">
        <f t="shared" ca="1" si="53"/>
        <v>25.654050060981131</v>
      </c>
      <c r="Q15">
        <f t="shared" ca="1" si="54"/>
        <v>23.818131069875598</v>
      </c>
      <c r="R15">
        <f t="shared" ca="1" si="55"/>
        <v>29.375764407782935</v>
      </c>
      <c r="S15">
        <f t="shared" ca="1" si="56"/>
        <v>28.538565618319115</v>
      </c>
      <c r="T15">
        <f t="shared" ca="1" si="9"/>
        <v>26.12523250596956</v>
      </c>
      <c r="U15">
        <f t="shared" ca="1" si="10"/>
        <v>31.619898683486632</v>
      </c>
      <c r="V15">
        <f t="shared" ca="1" si="11"/>
        <v>32.31473786457709</v>
      </c>
      <c r="W15">
        <f t="shared" ca="1" si="12"/>
        <v>28.2693991318008</v>
      </c>
      <c r="X15">
        <f t="shared" ca="1" si="13"/>
        <v>25.870805123685436</v>
      </c>
      <c r="Y15">
        <f t="shared" ca="1" si="14"/>
        <v>22.793385593129901</v>
      </c>
      <c r="Z15">
        <f t="shared" ca="1" si="15"/>
        <v>23.331201638488835</v>
      </c>
      <c r="AA15">
        <f t="shared" ca="1" si="16"/>
        <v>33.480216811849857</v>
      </c>
      <c r="AB15">
        <f t="shared" ca="1" si="17"/>
        <v>27.38335692529748</v>
      </c>
      <c r="AC15">
        <f t="shared" ca="1" si="18"/>
        <v>28.367079558471119</v>
      </c>
      <c r="AD15">
        <f t="shared" ca="1" si="19"/>
        <v>22.274242609681721</v>
      </c>
      <c r="AE15">
        <f t="shared" ca="1" si="20"/>
        <v>32.965186426437278</v>
      </c>
      <c r="AF15">
        <f t="shared" ca="1" si="21"/>
        <v>27.850112245576717</v>
      </c>
      <c r="AG15">
        <f t="shared" ca="1" si="22"/>
        <v>22.613122526230139</v>
      </c>
      <c r="AH15">
        <f t="shared" ca="1" si="23"/>
        <v>25.01939186209264</v>
      </c>
      <c r="AI15">
        <f t="shared" ca="1" si="24"/>
        <v>27.859162469103214</v>
      </c>
      <c r="AJ15">
        <f t="shared" ca="1" si="25"/>
        <v>25.17413457684577</v>
      </c>
      <c r="AK15">
        <f t="shared" ca="1" si="26"/>
        <v>25.202742643125159</v>
      </c>
      <c r="AL15">
        <f t="shared" ca="1" si="27"/>
        <v>21.299433901916096</v>
      </c>
      <c r="AM15">
        <f t="shared" ca="1" si="28"/>
        <v>25.217190476331634</v>
      </c>
      <c r="AN15">
        <f t="shared" ca="1" si="29"/>
        <v>28.115418741857638</v>
      </c>
      <c r="AO15">
        <f t="shared" ca="1" si="30"/>
        <v>23.924693172071049</v>
      </c>
      <c r="AP15">
        <f t="shared" ca="1" si="31"/>
        <v>29.48274890374211</v>
      </c>
      <c r="AQ15">
        <f t="shared" ca="1" si="32"/>
        <v>31.380366726870449</v>
      </c>
      <c r="AR15">
        <f t="shared" ca="1" si="33"/>
        <v>28.828857043399921</v>
      </c>
      <c r="AS15">
        <f t="shared" ca="1" si="34"/>
        <v>28.870386479295984</v>
      </c>
      <c r="AT15">
        <f t="shared" ca="1" si="35"/>
        <v>24.088734312437836</v>
      </c>
      <c r="AU15">
        <f t="shared" ca="1" si="36"/>
        <v>22.907509525200773</v>
      </c>
      <c r="AV15">
        <f t="shared" ca="1" si="37"/>
        <v>24.35383811714393</v>
      </c>
      <c r="AW15">
        <f t="shared" ca="1" si="38"/>
        <v>21.765664298718132</v>
      </c>
      <c r="AX15">
        <f t="shared" ca="1" si="39"/>
        <v>29.603347394470713</v>
      </c>
      <c r="AY15">
        <f t="shared" ca="1" si="40"/>
        <v>21.914391899408415</v>
      </c>
      <c r="AZ15">
        <f t="shared" ca="1" si="41"/>
        <v>24.70475476484896</v>
      </c>
      <c r="BB15">
        <f t="shared" ca="1" si="7"/>
        <v>21.299433901916096</v>
      </c>
      <c r="BC15">
        <f t="shared" ca="1" si="8"/>
        <v>32.31473786457709</v>
      </c>
    </row>
    <row r="16" spans="1:55" x14ac:dyDescent="0.25">
      <c r="A16">
        <v>14</v>
      </c>
      <c r="B16">
        <f t="shared" si="5"/>
        <v>16.444646771097055</v>
      </c>
      <c r="C16">
        <f t="shared" ca="1" si="6"/>
        <v>32.954508646909851</v>
      </c>
      <c r="D16">
        <f t="shared" ca="1" si="6"/>
        <v>29.932992993255823</v>
      </c>
      <c r="E16">
        <f t="shared" ca="1" si="42"/>
        <v>28.413058308406313</v>
      </c>
      <c r="F16">
        <f t="shared" ca="1" si="43"/>
        <v>35.421859833824342</v>
      </c>
      <c r="G16">
        <f t="shared" ca="1" si="44"/>
        <v>29.93102425296588</v>
      </c>
      <c r="H16">
        <f t="shared" ca="1" si="45"/>
        <v>34.012628261481268</v>
      </c>
      <c r="I16">
        <f t="shared" ca="1" si="46"/>
        <v>29.702024108528516</v>
      </c>
      <c r="J16">
        <f t="shared" ca="1" si="47"/>
        <v>39.523563711367487</v>
      </c>
      <c r="K16">
        <f t="shared" ca="1" si="48"/>
        <v>32.495312488502655</v>
      </c>
      <c r="L16">
        <f t="shared" ca="1" si="49"/>
        <v>34.440881429186071</v>
      </c>
      <c r="M16">
        <f t="shared" ca="1" si="50"/>
        <v>33.356037647222365</v>
      </c>
      <c r="N16">
        <f t="shared" ca="1" si="51"/>
        <v>29.145551938630778</v>
      </c>
      <c r="O16">
        <f t="shared" ca="1" si="52"/>
        <v>35.594973183641081</v>
      </c>
      <c r="P16">
        <f t="shared" ca="1" si="53"/>
        <v>32.539858480502808</v>
      </c>
      <c r="Q16">
        <f t="shared" ca="1" si="54"/>
        <v>31.893843753618938</v>
      </c>
      <c r="R16">
        <f t="shared" ca="1" si="55"/>
        <v>37.161626218540491</v>
      </c>
      <c r="S16">
        <f t="shared" ca="1" si="56"/>
        <v>37.954930125020525</v>
      </c>
      <c r="T16">
        <f t="shared" ca="1" si="9"/>
        <v>35.117597213676653</v>
      </c>
      <c r="U16">
        <f t="shared" ca="1" si="10"/>
        <v>38.978109275195315</v>
      </c>
      <c r="V16">
        <f t="shared" ca="1" si="11"/>
        <v>40.603165619893296</v>
      </c>
      <c r="W16">
        <f t="shared" ca="1" si="12"/>
        <v>35.425167317475719</v>
      </c>
      <c r="X16">
        <f t="shared" ca="1" si="13"/>
        <v>33.903162092828651</v>
      </c>
      <c r="Y16">
        <f t="shared" ca="1" si="14"/>
        <v>28.44127724543749</v>
      </c>
      <c r="Z16">
        <f t="shared" ca="1" si="15"/>
        <v>31.404465448898129</v>
      </c>
      <c r="AA16">
        <f t="shared" ca="1" si="16"/>
        <v>41.692394765506251</v>
      </c>
      <c r="AB16">
        <f t="shared" ca="1" si="17"/>
        <v>36.504068110354027</v>
      </c>
      <c r="AC16">
        <f t="shared" ca="1" si="18"/>
        <v>35.565306116162873</v>
      </c>
      <c r="AD16">
        <f t="shared" ca="1" si="19"/>
        <v>27.460290159725037</v>
      </c>
      <c r="AE16">
        <f t="shared" ca="1" si="20"/>
        <v>40.912514679133906</v>
      </c>
      <c r="AF16">
        <f t="shared" ca="1" si="21"/>
        <v>36.45609714232075</v>
      </c>
      <c r="AG16">
        <f t="shared" ca="1" si="22"/>
        <v>28.595852263101563</v>
      </c>
      <c r="AH16">
        <f t="shared" ca="1" si="23"/>
        <v>31.307781260877707</v>
      </c>
      <c r="AI16">
        <f t="shared" ca="1" si="24"/>
        <v>35.493825238613688</v>
      </c>
      <c r="AJ16">
        <f t="shared" ca="1" si="25"/>
        <v>31.714521768811537</v>
      </c>
      <c r="AK16">
        <f t="shared" ca="1" si="26"/>
        <v>32.734964738810149</v>
      </c>
      <c r="AL16">
        <f t="shared" ca="1" si="27"/>
        <v>28.672862833081709</v>
      </c>
      <c r="AM16">
        <f t="shared" ca="1" si="28"/>
        <v>32.123609513691598</v>
      </c>
      <c r="AN16">
        <f t="shared" ca="1" si="29"/>
        <v>35.4798070162229</v>
      </c>
      <c r="AO16">
        <f t="shared" ca="1" si="30"/>
        <v>30.607187744531224</v>
      </c>
      <c r="AP16">
        <f t="shared" ca="1" si="31"/>
        <v>36.849446614043131</v>
      </c>
      <c r="AQ16">
        <f t="shared" ca="1" si="32"/>
        <v>41.111003756094405</v>
      </c>
      <c r="AR16">
        <f t="shared" ca="1" si="33"/>
        <v>36.499055052123573</v>
      </c>
      <c r="AS16">
        <f t="shared" ca="1" si="34"/>
        <v>38.780393935502552</v>
      </c>
      <c r="AT16">
        <f t="shared" ca="1" si="35"/>
        <v>30.090146065035828</v>
      </c>
      <c r="AU16">
        <f t="shared" ca="1" si="36"/>
        <v>30.147912626410221</v>
      </c>
      <c r="AV16">
        <f t="shared" ca="1" si="37"/>
        <v>32.429628517318065</v>
      </c>
      <c r="AW16">
        <f t="shared" ca="1" si="38"/>
        <v>28.137745255146342</v>
      </c>
      <c r="AX16">
        <f t="shared" ca="1" si="39"/>
        <v>38.941742443543177</v>
      </c>
      <c r="AY16">
        <f t="shared" ca="1" si="40"/>
        <v>28.830926505779036</v>
      </c>
      <c r="AZ16">
        <f t="shared" ca="1" si="41"/>
        <v>32.892897779620199</v>
      </c>
      <c r="BB16">
        <f t="shared" ca="1" si="7"/>
        <v>27.460290159725037</v>
      </c>
      <c r="BC16">
        <f t="shared" ca="1" si="8"/>
        <v>40.912514679133906</v>
      </c>
    </row>
    <row r="17" spans="1:55" x14ac:dyDescent="0.25">
      <c r="A17">
        <v>15</v>
      </c>
      <c r="B17">
        <f t="shared" si="5"/>
        <v>20.085536923187675</v>
      </c>
      <c r="C17">
        <f t="shared" ca="1" si="6"/>
        <v>43.730260048734415</v>
      </c>
      <c r="D17">
        <f t="shared" ca="1" si="6"/>
        <v>36.839439975586608</v>
      </c>
      <c r="E17">
        <f t="shared" ca="1" si="42"/>
        <v>37.517778259725951</v>
      </c>
      <c r="F17">
        <f t="shared" ca="1" si="43"/>
        <v>47.627405724798848</v>
      </c>
      <c r="G17">
        <f t="shared" ca="1" si="44"/>
        <v>40.25853815162526</v>
      </c>
      <c r="H17">
        <f t="shared" ca="1" si="45"/>
        <v>41.852591528943385</v>
      </c>
      <c r="I17">
        <f t="shared" ca="1" si="46"/>
        <v>36.333797331877008</v>
      </c>
      <c r="J17">
        <f t="shared" ca="1" si="47"/>
        <v>52.362442539759314</v>
      </c>
      <c r="K17">
        <f t="shared" ca="1" si="48"/>
        <v>39.738190120892071</v>
      </c>
      <c r="L17">
        <f t="shared" ca="1" si="49"/>
        <v>44.413830785677817</v>
      </c>
      <c r="M17">
        <f t="shared" ca="1" si="50"/>
        <v>42.289598653468154</v>
      </c>
      <c r="N17">
        <f t="shared" ca="1" si="51"/>
        <v>38.739013602218094</v>
      </c>
      <c r="O17">
        <f t="shared" ca="1" si="52"/>
        <v>43.717549293705105</v>
      </c>
      <c r="P17">
        <f t="shared" ca="1" si="53"/>
        <v>43.266124922657646</v>
      </c>
      <c r="Q17">
        <f t="shared" ca="1" si="54"/>
        <v>42.653414086063997</v>
      </c>
      <c r="R17">
        <f t="shared" ca="1" si="55"/>
        <v>46.528391778630606</v>
      </c>
      <c r="S17">
        <f t="shared" ca="1" si="56"/>
        <v>48.090533583328806</v>
      </c>
      <c r="T17">
        <f t="shared" ca="1" si="9"/>
        <v>46.015658647521093</v>
      </c>
      <c r="U17">
        <f t="shared" ca="1" si="10"/>
        <v>49.666379049159815</v>
      </c>
      <c r="V17">
        <f t="shared" ca="1" si="11"/>
        <v>49.711951274699295</v>
      </c>
      <c r="W17">
        <f t="shared" ca="1" si="12"/>
        <v>44.372423188373972</v>
      </c>
      <c r="X17">
        <f t="shared" ca="1" si="13"/>
        <v>45.243125726848795</v>
      </c>
      <c r="Y17">
        <f t="shared" ca="1" si="14"/>
        <v>36.781201432065032</v>
      </c>
      <c r="Z17">
        <f t="shared" ca="1" si="15"/>
        <v>39.802023961459142</v>
      </c>
      <c r="AA17">
        <f t="shared" ca="1" si="16"/>
        <v>51.97525695915585</v>
      </c>
      <c r="AB17">
        <f t="shared" ca="1" si="17"/>
        <v>49.263757400726078</v>
      </c>
      <c r="AC17">
        <f t="shared" ca="1" si="18"/>
        <v>44.986012090371347</v>
      </c>
      <c r="AD17">
        <f t="shared" ca="1" si="19"/>
        <v>36.647352301066832</v>
      </c>
      <c r="AE17">
        <f t="shared" ca="1" si="20"/>
        <v>52.402660169701413</v>
      </c>
      <c r="AF17">
        <f t="shared" ca="1" si="21"/>
        <v>48.278518214780632</v>
      </c>
      <c r="AG17">
        <f t="shared" ca="1" si="22"/>
        <v>37.383496511742848</v>
      </c>
      <c r="AH17">
        <f t="shared" ca="1" si="23"/>
        <v>40.445159608785168</v>
      </c>
      <c r="AI17">
        <f t="shared" ca="1" si="24"/>
        <v>46.041889971108212</v>
      </c>
      <c r="AJ17">
        <f t="shared" ca="1" si="25"/>
        <v>40.523255807990637</v>
      </c>
      <c r="AK17">
        <f t="shared" ca="1" si="26"/>
        <v>40.32853270383567</v>
      </c>
      <c r="AL17">
        <f t="shared" ca="1" si="27"/>
        <v>37.288241350110845</v>
      </c>
      <c r="AM17">
        <f t="shared" ca="1" si="28"/>
        <v>41.727299392932963</v>
      </c>
      <c r="AN17">
        <f t="shared" ca="1" si="29"/>
        <v>46.505911633965688</v>
      </c>
      <c r="AO17">
        <f t="shared" ca="1" si="30"/>
        <v>41.185918598511101</v>
      </c>
      <c r="AP17">
        <f t="shared" ca="1" si="31"/>
        <v>47.829258258113093</v>
      </c>
      <c r="AQ17">
        <f t="shared" ca="1" si="32"/>
        <v>52.874430956242371</v>
      </c>
      <c r="AR17">
        <f t="shared" ca="1" si="33"/>
        <v>44.701311206728683</v>
      </c>
      <c r="AS17">
        <f t="shared" ca="1" si="34"/>
        <v>48.944658532868942</v>
      </c>
      <c r="AT17">
        <f t="shared" ca="1" si="35"/>
        <v>38.522221488753353</v>
      </c>
      <c r="AU17">
        <f t="shared" ca="1" si="36"/>
        <v>38.134330270957818</v>
      </c>
      <c r="AV17">
        <f t="shared" ca="1" si="37"/>
        <v>40.448839350384439</v>
      </c>
      <c r="AW17">
        <f t="shared" ca="1" si="38"/>
        <v>36.231233513749594</v>
      </c>
      <c r="AX17">
        <f t="shared" ca="1" si="39"/>
        <v>49.320436767105527</v>
      </c>
      <c r="AY17">
        <f t="shared" ca="1" si="40"/>
        <v>37.015681523945837</v>
      </c>
      <c r="AZ17">
        <f t="shared" ca="1" si="41"/>
        <v>44.150040250714333</v>
      </c>
      <c r="BB17">
        <f t="shared" ca="1" si="7"/>
        <v>36.231233513749594</v>
      </c>
      <c r="BC17">
        <f t="shared" ca="1" si="8"/>
        <v>52.362442539759314</v>
      </c>
    </row>
    <row r="18" spans="1:55" x14ac:dyDescent="0.25">
      <c r="A18">
        <v>16</v>
      </c>
      <c r="B18">
        <f t="shared" si="5"/>
        <v>24.532530197109359</v>
      </c>
      <c r="C18">
        <f t="shared" ca="1" si="6"/>
        <v>57.731148625969055</v>
      </c>
      <c r="D18">
        <f t="shared" ca="1" si="6"/>
        <v>49.074105650137874</v>
      </c>
      <c r="E18">
        <f t="shared" ca="1" si="42"/>
        <v>47.517467279551667</v>
      </c>
      <c r="F18">
        <f t="shared" ca="1" si="43"/>
        <v>61.75750079168175</v>
      </c>
      <c r="G18">
        <f t="shared" ca="1" si="44"/>
        <v>53.833009691038178</v>
      </c>
      <c r="H18">
        <f t="shared" ca="1" si="45"/>
        <v>51.67828257024415</v>
      </c>
      <c r="I18">
        <f t="shared" ca="1" si="46"/>
        <v>46.966026184128452</v>
      </c>
      <c r="J18">
        <f t="shared" ca="1" si="47"/>
        <v>65.595768351663324</v>
      </c>
      <c r="K18">
        <f t="shared" ca="1" si="48"/>
        <v>52.644073669588671</v>
      </c>
      <c r="L18">
        <f t="shared" ca="1" si="49"/>
        <v>56.790904047334422</v>
      </c>
      <c r="M18">
        <f t="shared" ca="1" si="50"/>
        <v>53.69082075736933</v>
      </c>
      <c r="N18">
        <f t="shared" ca="1" si="51"/>
        <v>51.812271973201078</v>
      </c>
      <c r="O18">
        <f t="shared" ca="1" si="52"/>
        <v>58.086122464472574</v>
      </c>
      <c r="P18">
        <f t="shared" ca="1" si="53"/>
        <v>57.586986991111544</v>
      </c>
      <c r="Q18">
        <f t="shared" ca="1" si="54"/>
        <v>54.019155180949646</v>
      </c>
      <c r="R18">
        <f t="shared" ca="1" si="55"/>
        <v>62.167474346866577</v>
      </c>
      <c r="S18">
        <f t="shared" ca="1" si="56"/>
        <v>64.744217950494814</v>
      </c>
      <c r="T18">
        <f t="shared" ca="1" si="9"/>
        <v>59.683048708583549</v>
      </c>
      <c r="U18">
        <f t="shared" ca="1" si="10"/>
        <v>60.829394563972443</v>
      </c>
      <c r="V18">
        <f t="shared" ca="1" si="11"/>
        <v>65.328195267815275</v>
      </c>
      <c r="W18">
        <f t="shared" ca="1" si="12"/>
        <v>54.310843993723168</v>
      </c>
      <c r="X18">
        <f t="shared" ca="1" si="13"/>
        <v>58.894214631210644</v>
      </c>
      <c r="Y18">
        <f t="shared" ca="1" si="14"/>
        <v>49.03157509687226</v>
      </c>
      <c r="Z18">
        <f t="shared" ca="1" si="15"/>
        <v>50.738283742614591</v>
      </c>
      <c r="AA18">
        <f t="shared" ca="1" si="16"/>
        <v>65.976430494400361</v>
      </c>
      <c r="AB18">
        <f t="shared" ca="1" si="17"/>
        <v>63.972458274420902</v>
      </c>
      <c r="AC18">
        <f t="shared" ca="1" si="18"/>
        <v>56.665239378102207</v>
      </c>
      <c r="AD18">
        <f t="shared" ca="1" si="19"/>
        <v>49.24661556709296</v>
      </c>
      <c r="AE18">
        <f t="shared" ca="1" si="20"/>
        <v>66.051848842092525</v>
      </c>
      <c r="AF18">
        <f t="shared" ca="1" si="21"/>
        <v>59.393234334292522</v>
      </c>
      <c r="AG18">
        <f t="shared" ca="1" si="22"/>
        <v>48.302559468420952</v>
      </c>
      <c r="AH18">
        <f t="shared" ca="1" si="23"/>
        <v>52.52027367029396</v>
      </c>
      <c r="AI18">
        <f t="shared" ca="1" si="24"/>
        <v>58.669522134502962</v>
      </c>
      <c r="AJ18">
        <f t="shared" ca="1" si="25"/>
        <v>50.656718854753443</v>
      </c>
      <c r="AK18">
        <f t="shared" ca="1" si="26"/>
        <v>53.599143207164012</v>
      </c>
      <c r="AL18">
        <f t="shared" ca="1" si="27"/>
        <v>49.330248384947588</v>
      </c>
      <c r="AM18">
        <f t="shared" ca="1" si="28"/>
        <v>52.387346542852889</v>
      </c>
      <c r="AN18">
        <f t="shared" ca="1" si="29"/>
        <v>56.80359731583917</v>
      </c>
      <c r="AO18">
        <f t="shared" ca="1" si="30"/>
        <v>51.679682689189931</v>
      </c>
      <c r="AP18">
        <f t="shared" ca="1" si="31"/>
        <v>63.506645583689583</v>
      </c>
      <c r="AQ18">
        <f t="shared" ca="1" si="32"/>
        <v>65.986759504143976</v>
      </c>
      <c r="AR18">
        <f t="shared" ca="1" si="33"/>
        <v>55.940649587091919</v>
      </c>
      <c r="AS18">
        <f t="shared" ca="1" si="34"/>
        <v>65.452056995248753</v>
      </c>
      <c r="AT18">
        <f t="shared" ca="1" si="35"/>
        <v>49.381245343983537</v>
      </c>
      <c r="AU18">
        <f t="shared" ca="1" si="36"/>
        <v>50.709944683868265</v>
      </c>
      <c r="AV18">
        <f t="shared" ca="1" si="37"/>
        <v>53.471101078905676</v>
      </c>
      <c r="AW18">
        <f t="shared" ca="1" si="38"/>
        <v>44.885285012762189</v>
      </c>
      <c r="AX18">
        <f t="shared" ca="1" si="39"/>
        <v>65.13716321296161</v>
      </c>
      <c r="AY18">
        <f t="shared" ca="1" si="40"/>
        <v>45.933645107644899</v>
      </c>
      <c r="AZ18">
        <f t="shared" ca="1" si="41"/>
        <v>55.062250989016384</v>
      </c>
      <c r="BB18">
        <f t="shared" ca="1" si="7"/>
        <v>44.885285012762189</v>
      </c>
      <c r="BC18">
        <f t="shared" ca="1" si="8"/>
        <v>65.976430494400361</v>
      </c>
    </row>
    <row r="19" spans="1:55" x14ac:dyDescent="0.25">
      <c r="A19">
        <v>17</v>
      </c>
      <c r="B19">
        <f t="shared" si="5"/>
        <v>29.964100047397029</v>
      </c>
      <c r="C19">
        <f t="shared" ca="1" si="6"/>
        <v>70.529426870627503</v>
      </c>
      <c r="D19">
        <f t="shared" ca="1" si="6"/>
        <v>65.898713240843136</v>
      </c>
      <c r="E19">
        <f t="shared" ca="1" si="42"/>
        <v>58.353281065192007</v>
      </c>
      <c r="F19">
        <f t="shared" ca="1" si="43"/>
        <v>80.835362440200058</v>
      </c>
      <c r="G19">
        <f t="shared" ca="1" si="44"/>
        <v>71.838167284617384</v>
      </c>
      <c r="H19">
        <f t="shared" ca="1" si="45"/>
        <v>64.171935415768075</v>
      </c>
      <c r="I19">
        <f t="shared" ca="1" si="46"/>
        <v>59.623856397872665</v>
      </c>
      <c r="J19">
        <f t="shared" ca="1" si="47"/>
        <v>85.896795514958214</v>
      </c>
      <c r="K19">
        <f t="shared" ca="1" si="48"/>
        <v>66.890512180665567</v>
      </c>
      <c r="L19">
        <f t="shared" ca="1" si="49"/>
        <v>71.84944017336349</v>
      </c>
      <c r="M19">
        <f t="shared" ca="1" si="50"/>
        <v>70.513168802071718</v>
      </c>
      <c r="N19">
        <f t="shared" ca="1" si="51"/>
        <v>63.452978750963119</v>
      </c>
      <c r="O19">
        <f t="shared" ca="1" si="52"/>
        <v>73.585652783476974</v>
      </c>
      <c r="P19">
        <f t="shared" ca="1" si="53"/>
        <v>72.51750988872702</v>
      </c>
      <c r="Q19">
        <f t="shared" ca="1" si="54"/>
        <v>68.651100406343929</v>
      </c>
      <c r="R19">
        <f t="shared" ca="1" si="55"/>
        <v>76.604843940070168</v>
      </c>
      <c r="S19">
        <f t="shared" ca="1" si="56"/>
        <v>82.474390892543596</v>
      </c>
      <c r="T19">
        <f t="shared" ca="1" si="9"/>
        <v>78.730386980191327</v>
      </c>
      <c r="U19">
        <f t="shared" ca="1" si="10"/>
        <v>77.751571832534665</v>
      </c>
      <c r="V19">
        <f t="shared" ca="1" si="11"/>
        <v>87.484702180097955</v>
      </c>
      <c r="W19">
        <f t="shared" ca="1" si="12"/>
        <v>67.04246755422686</v>
      </c>
      <c r="X19">
        <f t="shared" ca="1" si="13"/>
        <v>77.104064766806616</v>
      </c>
      <c r="Y19">
        <f t="shared" ca="1" si="14"/>
        <v>60.578269202983023</v>
      </c>
      <c r="Z19">
        <f t="shared" ca="1" si="15"/>
        <v>64.079058902803524</v>
      </c>
      <c r="AA19">
        <f t="shared" ca="1" si="16"/>
        <v>82.219699522291364</v>
      </c>
      <c r="AB19">
        <f t="shared" ca="1" si="17"/>
        <v>85.64989450956999</v>
      </c>
      <c r="AC19">
        <f t="shared" ca="1" si="18"/>
        <v>71.209055886740458</v>
      </c>
      <c r="AD19">
        <f t="shared" ca="1" si="19"/>
        <v>62.106199762817482</v>
      </c>
      <c r="AE19">
        <f t="shared" ca="1" si="20"/>
        <v>88.735326855267473</v>
      </c>
      <c r="AF19">
        <f t="shared" ca="1" si="21"/>
        <v>74.617168192061712</v>
      </c>
      <c r="AG19">
        <f t="shared" ca="1" si="22"/>
        <v>62.768599975996914</v>
      </c>
      <c r="AH19">
        <f t="shared" ca="1" si="23"/>
        <v>64.639244524486216</v>
      </c>
      <c r="AI19">
        <f t="shared" ca="1" si="24"/>
        <v>78.827396430758711</v>
      </c>
      <c r="AJ19">
        <f t="shared" ca="1" si="25"/>
        <v>65.727131725103362</v>
      </c>
      <c r="AK19">
        <f t="shared" ca="1" si="26"/>
        <v>66.954323578383054</v>
      </c>
      <c r="AL19">
        <f t="shared" ca="1" si="27"/>
        <v>65.539857833836351</v>
      </c>
      <c r="AM19">
        <f t="shared" ca="1" si="28"/>
        <v>66.278275715370711</v>
      </c>
      <c r="AN19">
        <f t="shared" ca="1" si="29"/>
        <v>72.80722839661901</v>
      </c>
      <c r="AO19">
        <f t="shared" ca="1" si="30"/>
        <v>63.752537390814517</v>
      </c>
      <c r="AP19">
        <f t="shared" ca="1" si="31"/>
        <v>81.584523151833821</v>
      </c>
      <c r="AQ19">
        <f t="shared" ca="1" si="32"/>
        <v>85.780025474137005</v>
      </c>
      <c r="AR19">
        <f t="shared" ca="1" si="33"/>
        <v>75.391798108986109</v>
      </c>
      <c r="AS19">
        <f t="shared" ca="1" si="34"/>
        <v>83.669041246468666</v>
      </c>
      <c r="AT19">
        <f t="shared" ca="1" si="35"/>
        <v>63.393235691556583</v>
      </c>
      <c r="AU19">
        <f t="shared" ca="1" si="36"/>
        <v>68.310309704980583</v>
      </c>
      <c r="AV19">
        <f t="shared" ca="1" si="37"/>
        <v>67.548501300701787</v>
      </c>
      <c r="AW19">
        <f t="shared" ca="1" si="38"/>
        <v>58.29105964074747</v>
      </c>
      <c r="AX19">
        <f t="shared" ca="1" si="39"/>
        <v>79.768638767784182</v>
      </c>
      <c r="AY19">
        <f t="shared" ca="1" si="40"/>
        <v>56.266513180686502</v>
      </c>
      <c r="AZ19">
        <f t="shared" ca="1" si="41"/>
        <v>69.065419697603744</v>
      </c>
      <c r="BB19">
        <f t="shared" ca="1" si="7"/>
        <v>56.266513180686502</v>
      </c>
      <c r="BC19">
        <f t="shared" ca="1" si="8"/>
        <v>85.896795514958214</v>
      </c>
    </row>
    <row r="20" spans="1:55" x14ac:dyDescent="0.25">
      <c r="A20">
        <v>18</v>
      </c>
      <c r="B20">
        <f t="shared" si="5"/>
        <v>36.59823444367801</v>
      </c>
      <c r="C20">
        <f t="shared" ca="1" si="6"/>
        <v>89.345820013919322</v>
      </c>
      <c r="D20">
        <f t="shared" ca="1" si="6"/>
        <v>85.926166904145163</v>
      </c>
      <c r="E20">
        <f t="shared" ca="1" si="42"/>
        <v>74.380049218648452</v>
      </c>
      <c r="F20">
        <f t="shared" ca="1" si="43"/>
        <v>108.88081659639226</v>
      </c>
      <c r="G20">
        <f t="shared" ca="1" si="44"/>
        <v>89.919578893254879</v>
      </c>
      <c r="H20">
        <f t="shared" ca="1" si="45"/>
        <v>81.145987639445025</v>
      </c>
      <c r="I20">
        <f t="shared" ca="1" si="46"/>
        <v>73.33589519320735</v>
      </c>
      <c r="J20">
        <f t="shared" ca="1" si="47"/>
        <v>114.76434960563488</v>
      </c>
      <c r="K20">
        <f t="shared" ca="1" si="48"/>
        <v>89.234350305818523</v>
      </c>
      <c r="L20">
        <f t="shared" ca="1" si="49"/>
        <v>92.327740885777303</v>
      </c>
      <c r="M20">
        <f t="shared" ca="1" si="50"/>
        <v>88.296773363841268</v>
      </c>
      <c r="N20">
        <f t="shared" ca="1" si="51"/>
        <v>78.755923498823961</v>
      </c>
      <c r="O20">
        <f t="shared" ca="1" si="52"/>
        <v>90.863569293377907</v>
      </c>
      <c r="P20">
        <f t="shared" ca="1" si="53"/>
        <v>96.539149026814442</v>
      </c>
      <c r="Q20">
        <f t="shared" ca="1" si="54"/>
        <v>89.609197290039887</v>
      </c>
      <c r="R20">
        <f t="shared" ca="1" si="55"/>
        <v>103.03394717983082</v>
      </c>
      <c r="S20">
        <f t="shared" ca="1" si="56"/>
        <v>104.84996270050374</v>
      </c>
      <c r="T20">
        <f t="shared" ca="1" si="9"/>
        <v>103.14827637444942</v>
      </c>
      <c r="U20">
        <f t="shared" ca="1" si="10"/>
        <v>99.414538607272235</v>
      </c>
      <c r="V20">
        <f t="shared" ca="1" si="11"/>
        <v>117.57152561268994</v>
      </c>
      <c r="W20">
        <f t="shared" ca="1" si="12"/>
        <v>85.637447459188706</v>
      </c>
      <c r="X20">
        <f t="shared" ca="1" si="13"/>
        <v>99.845985223120621</v>
      </c>
      <c r="Y20">
        <f t="shared" ca="1" si="14"/>
        <v>75.792315312640454</v>
      </c>
      <c r="Z20">
        <f t="shared" ca="1" si="15"/>
        <v>80.598800706966017</v>
      </c>
      <c r="AA20">
        <f t="shared" ca="1" si="16"/>
        <v>107.27632248814997</v>
      </c>
      <c r="AB20">
        <f t="shared" ca="1" si="17"/>
        <v>111.32561930010195</v>
      </c>
      <c r="AC20">
        <f t="shared" ca="1" si="18"/>
        <v>88.209815194121106</v>
      </c>
      <c r="AD20">
        <f t="shared" ca="1" si="19"/>
        <v>76.907252449430814</v>
      </c>
      <c r="AE20">
        <f t="shared" ca="1" si="20"/>
        <v>112.17500692515739</v>
      </c>
      <c r="AF20">
        <f t="shared" ca="1" si="21"/>
        <v>95.575897042465357</v>
      </c>
      <c r="AG20">
        <f t="shared" ca="1" si="22"/>
        <v>79.198723504099945</v>
      </c>
      <c r="AH20">
        <f t="shared" ca="1" si="23"/>
        <v>84.068838590382754</v>
      </c>
      <c r="AI20">
        <f t="shared" ca="1" si="24"/>
        <v>102.39525523400049</v>
      </c>
      <c r="AJ20">
        <f t="shared" ca="1" si="25"/>
        <v>83.598293238918259</v>
      </c>
      <c r="AK20">
        <f t="shared" ca="1" si="26"/>
        <v>86.29743204047621</v>
      </c>
      <c r="AL20">
        <f t="shared" ca="1" si="27"/>
        <v>82.16011892792892</v>
      </c>
      <c r="AM20">
        <f t="shared" ca="1" si="28"/>
        <v>81.797974370753863</v>
      </c>
      <c r="AN20">
        <f t="shared" ca="1" si="29"/>
        <v>93.935441448771485</v>
      </c>
      <c r="AO20">
        <f t="shared" ca="1" si="30"/>
        <v>85.238380433253084</v>
      </c>
      <c r="AP20">
        <f t="shared" ca="1" si="31"/>
        <v>104.58643456262631</v>
      </c>
      <c r="AQ20">
        <f t="shared" ca="1" si="32"/>
        <v>113.83755014811425</v>
      </c>
      <c r="AR20">
        <f t="shared" ca="1" si="33"/>
        <v>95.597801986126257</v>
      </c>
      <c r="AS20">
        <f t="shared" ca="1" si="34"/>
        <v>104.63646170771676</v>
      </c>
      <c r="AT20">
        <f t="shared" ca="1" si="35"/>
        <v>78.816606238122262</v>
      </c>
      <c r="AU20">
        <f t="shared" ca="1" si="36"/>
        <v>84.072932582942727</v>
      </c>
      <c r="AV20">
        <f t="shared" ca="1" si="37"/>
        <v>89.240038724384547</v>
      </c>
      <c r="AW20">
        <f t="shared" ca="1" si="38"/>
        <v>74.571039668312011</v>
      </c>
      <c r="AX20">
        <f t="shared" ca="1" si="39"/>
        <v>101.0089676134436</v>
      </c>
      <c r="AY20">
        <f t="shared" ca="1" si="40"/>
        <v>74.952035928744564</v>
      </c>
      <c r="AZ20">
        <f t="shared" ca="1" si="41"/>
        <v>84.585906770753908</v>
      </c>
      <c r="BB20">
        <f t="shared" ca="1" si="7"/>
        <v>73.33589519320735</v>
      </c>
      <c r="BC20">
        <f t="shared" ca="1" si="8"/>
        <v>113.83755014811425</v>
      </c>
    </row>
    <row r="21" spans="1:55" x14ac:dyDescent="0.25">
      <c r="A21">
        <v>19</v>
      </c>
      <c r="B21">
        <f t="shared" si="5"/>
        <v>44.70118449330085</v>
      </c>
      <c r="C21">
        <f t="shared" ca="1" si="6"/>
        <v>112.06086899639014</v>
      </c>
      <c r="D21">
        <f t="shared" ca="1" si="6"/>
        <v>111.5155822656441</v>
      </c>
      <c r="E21">
        <f t="shared" ca="1" si="42"/>
        <v>99.573456678080547</v>
      </c>
      <c r="F21">
        <f t="shared" ca="1" si="43"/>
        <v>139.11934308094303</v>
      </c>
      <c r="G21">
        <f t="shared" ca="1" si="44"/>
        <v>110.45809115426022</v>
      </c>
      <c r="H21">
        <f t="shared" ca="1" si="45"/>
        <v>104.45346419854678</v>
      </c>
      <c r="I21">
        <f t="shared" ca="1" si="46"/>
        <v>98.568606950841414</v>
      </c>
      <c r="J21">
        <f t="shared" ca="1" si="47"/>
        <v>151.25047821438864</v>
      </c>
      <c r="K21">
        <f t="shared" ca="1" si="48"/>
        <v>118.48617987639454</v>
      </c>
      <c r="L21">
        <f t="shared" ca="1" si="49"/>
        <v>115.94907369460903</v>
      </c>
      <c r="M21">
        <f t="shared" ca="1" si="50"/>
        <v>113.53621773034506</v>
      </c>
      <c r="N21">
        <f t="shared" ca="1" si="51"/>
        <v>97.600057577206229</v>
      </c>
      <c r="O21">
        <f t="shared" ca="1" si="52"/>
        <v>112.74670588656615</v>
      </c>
      <c r="P21">
        <f t="shared" ca="1" si="53"/>
        <v>125.4236182570275</v>
      </c>
      <c r="Q21">
        <f t="shared" ca="1" si="54"/>
        <v>118.47037454299549</v>
      </c>
      <c r="R21">
        <f t="shared" ca="1" si="55"/>
        <v>126.96806880693363</v>
      </c>
      <c r="S21">
        <f t="shared" ca="1" si="56"/>
        <v>131.93629335728394</v>
      </c>
      <c r="T21">
        <f t="shared" ca="1" si="9"/>
        <v>130.80185145987028</v>
      </c>
      <c r="U21">
        <f t="shared" ca="1" si="10"/>
        <v>121.69854829343294</v>
      </c>
      <c r="V21">
        <f t="shared" ca="1" si="11"/>
        <v>146.3506800687083</v>
      </c>
      <c r="W21">
        <f t="shared" ca="1" si="12"/>
        <v>107.30305647894509</v>
      </c>
      <c r="X21">
        <f t="shared" ca="1" si="13"/>
        <v>134.10668676834086</v>
      </c>
      <c r="Y21">
        <f t="shared" ca="1" si="14"/>
        <v>95.101916728180527</v>
      </c>
      <c r="Z21">
        <f t="shared" ca="1" si="15"/>
        <v>100.37830096349731</v>
      </c>
      <c r="AA21">
        <f t="shared" ca="1" si="16"/>
        <v>138.04700805767433</v>
      </c>
      <c r="AB21">
        <f t="shared" ca="1" si="17"/>
        <v>144.25275213287551</v>
      </c>
      <c r="AC21">
        <f t="shared" ca="1" si="18"/>
        <v>112.52271129831608</v>
      </c>
      <c r="AD21">
        <f t="shared" ca="1" si="19"/>
        <v>96.535054697034539</v>
      </c>
      <c r="AE21">
        <f t="shared" ca="1" si="20"/>
        <v>147.18566751754955</v>
      </c>
      <c r="AF21">
        <f t="shared" ca="1" si="21"/>
        <v>117.51624221865877</v>
      </c>
      <c r="AG21">
        <f t="shared" ca="1" si="22"/>
        <v>103.66180832075744</v>
      </c>
      <c r="AH21">
        <f t="shared" ca="1" si="23"/>
        <v>107.43416069714746</v>
      </c>
      <c r="AI21">
        <f t="shared" ca="1" si="24"/>
        <v>132.5631650919687</v>
      </c>
      <c r="AJ21">
        <f t="shared" ca="1" si="25"/>
        <v>103.53856541717654</v>
      </c>
      <c r="AK21">
        <f t="shared" ca="1" si="26"/>
        <v>105.87383738334482</v>
      </c>
      <c r="AL21">
        <f t="shared" ca="1" si="27"/>
        <v>102.70231120876096</v>
      </c>
      <c r="AM21">
        <f t="shared" ca="1" si="28"/>
        <v>100.99352199684326</v>
      </c>
      <c r="AN21">
        <f t="shared" ca="1" si="29"/>
        <v>120.24527678980093</v>
      </c>
      <c r="AO21">
        <f t="shared" ca="1" si="30"/>
        <v>105.34835186607579</v>
      </c>
      <c r="AP21">
        <f t="shared" ca="1" si="31"/>
        <v>135.4071819155383</v>
      </c>
      <c r="AQ21">
        <f t="shared" ca="1" si="32"/>
        <v>147.22501909164635</v>
      </c>
      <c r="AR21">
        <f t="shared" ca="1" si="33"/>
        <v>123.69863063946488</v>
      </c>
      <c r="AS21">
        <f t="shared" ca="1" si="34"/>
        <v>134.1719543987407</v>
      </c>
      <c r="AT21">
        <f t="shared" ca="1" si="35"/>
        <v>101.23951730522931</v>
      </c>
      <c r="AU21">
        <f t="shared" ca="1" si="36"/>
        <v>113.29535101977915</v>
      </c>
      <c r="AV21">
        <f t="shared" ca="1" si="37"/>
        <v>116.25517221375841</v>
      </c>
      <c r="AW21">
        <f t="shared" ca="1" si="38"/>
        <v>93.387328584188111</v>
      </c>
      <c r="AX21">
        <f t="shared" ca="1" si="39"/>
        <v>133.79936694334097</v>
      </c>
      <c r="AY21">
        <f t="shared" ca="1" si="40"/>
        <v>101.12016886664229</v>
      </c>
      <c r="AZ21">
        <f t="shared" ca="1" si="41"/>
        <v>107.03462970166922</v>
      </c>
      <c r="BB21">
        <f t="shared" ca="1" si="7"/>
        <v>93.387328584188111</v>
      </c>
      <c r="BC21">
        <f t="shared" ca="1" si="8"/>
        <v>147.18566751754955</v>
      </c>
    </row>
    <row r="22" spans="1:55" x14ac:dyDescent="0.25">
      <c r="A22">
        <v>20</v>
      </c>
      <c r="B22">
        <f t="shared" si="5"/>
        <v>54.598150033144272</v>
      </c>
      <c r="C22">
        <f t="shared" ca="1" si="6"/>
        <v>150.34049287405756</v>
      </c>
      <c r="D22">
        <f t="shared" ca="1" si="6"/>
        <v>148.37702092078069</v>
      </c>
      <c r="E22">
        <f t="shared" ca="1" si="42"/>
        <v>130.0885672541595</v>
      </c>
      <c r="F22">
        <f t="shared" ca="1" si="43"/>
        <v>172.63220400881042</v>
      </c>
      <c r="G22">
        <f t="shared" ca="1" si="44"/>
        <v>146.07303774478586</v>
      </c>
      <c r="H22">
        <f t="shared" ca="1" si="45"/>
        <v>136.97499358237127</v>
      </c>
      <c r="I22">
        <f t="shared" ca="1" si="46"/>
        <v>131.08710836688067</v>
      </c>
      <c r="J22">
        <f t="shared" ca="1" si="47"/>
        <v>192.05138522195449</v>
      </c>
      <c r="K22">
        <f t="shared" ca="1" si="48"/>
        <v>147.84176020050381</v>
      </c>
      <c r="L22">
        <f t="shared" ca="1" si="49"/>
        <v>150.55313883644286</v>
      </c>
      <c r="M22">
        <f t="shared" ca="1" si="50"/>
        <v>150.90884821573079</v>
      </c>
      <c r="N22">
        <f t="shared" ca="1" si="51"/>
        <v>128.08174389090695</v>
      </c>
      <c r="O22">
        <f t="shared" ca="1" si="52"/>
        <v>149.53592528487914</v>
      </c>
      <c r="P22">
        <f t="shared" ca="1" si="53"/>
        <v>168.111828207195</v>
      </c>
      <c r="Q22">
        <f t="shared" ca="1" si="54"/>
        <v>152.42258511700615</v>
      </c>
      <c r="R22">
        <f t="shared" ca="1" si="55"/>
        <v>171.35760359461244</v>
      </c>
      <c r="S22">
        <f t="shared" ca="1" si="56"/>
        <v>169.63344959118271</v>
      </c>
      <c r="T22">
        <f t="shared" ca="1" si="9"/>
        <v>166.11004424742362</v>
      </c>
      <c r="U22">
        <f t="shared" ca="1" si="10"/>
        <v>157.83439532262202</v>
      </c>
      <c r="V22">
        <f t="shared" ca="1" si="11"/>
        <v>185.88069867455081</v>
      </c>
      <c r="W22">
        <f t="shared" ca="1" si="12"/>
        <v>134.2638232981611</v>
      </c>
      <c r="X22">
        <f t="shared" ca="1" si="13"/>
        <v>169.29220934334165</v>
      </c>
      <c r="Y22">
        <f t="shared" ca="1" si="14"/>
        <v>119.98254581410278</v>
      </c>
      <c r="Z22">
        <f t="shared" ca="1" si="15"/>
        <v>134.6031182598509</v>
      </c>
      <c r="AA22">
        <f t="shared" ca="1" si="16"/>
        <v>177.13698481736608</v>
      </c>
      <c r="AB22">
        <f t="shared" ca="1" si="17"/>
        <v>179.66574057141702</v>
      </c>
      <c r="AC22">
        <f t="shared" ca="1" si="18"/>
        <v>143.31866250037123</v>
      </c>
      <c r="AD22">
        <f t="shared" ca="1" si="19"/>
        <v>128.99114074171456</v>
      </c>
      <c r="AE22">
        <f t="shared" ca="1" si="20"/>
        <v>184.09343187609616</v>
      </c>
      <c r="AF22">
        <f t="shared" ca="1" si="21"/>
        <v>156.37701664712571</v>
      </c>
      <c r="AG22">
        <f t="shared" ca="1" si="22"/>
        <v>136.05148532628706</v>
      </c>
      <c r="AH22">
        <f t="shared" ca="1" si="23"/>
        <v>139.4886745519504</v>
      </c>
      <c r="AI22">
        <f t="shared" ca="1" si="24"/>
        <v>168.82233875863426</v>
      </c>
      <c r="AJ22">
        <f t="shared" ca="1" si="25"/>
        <v>129.62615045531422</v>
      </c>
      <c r="AK22">
        <f t="shared" ca="1" si="26"/>
        <v>139.38694770388764</v>
      </c>
      <c r="AL22">
        <f t="shared" ca="1" si="27"/>
        <v>134.48452907316533</v>
      </c>
      <c r="AM22">
        <f t="shared" ca="1" si="28"/>
        <v>133.69568307480085</v>
      </c>
      <c r="AN22">
        <f t="shared" ca="1" si="29"/>
        <v>154.62765358678448</v>
      </c>
      <c r="AO22">
        <f t="shared" ca="1" si="30"/>
        <v>133.62931428647624</v>
      </c>
      <c r="AP22">
        <f t="shared" ca="1" si="31"/>
        <v>170.62844292099152</v>
      </c>
      <c r="AQ22">
        <f t="shared" ca="1" si="32"/>
        <v>184.455031426734</v>
      </c>
      <c r="AR22">
        <f t="shared" ca="1" si="33"/>
        <v>164.59499244113792</v>
      </c>
      <c r="AS22">
        <f t="shared" ca="1" si="34"/>
        <v>175.91158701707315</v>
      </c>
      <c r="AT22">
        <f t="shared" ca="1" si="35"/>
        <v>133.82711508367828</v>
      </c>
      <c r="AU22">
        <f t="shared" ca="1" si="36"/>
        <v>142.28622040382612</v>
      </c>
      <c r="AV22">
        <f t="shared" ca="1" si="37"/>
        <v>149.61579434475729</v>
      </c>
      <c r="AW22">
        <f t="shared" ca="1" si="38"/>
        <v>121.04853728629233</v>
      </c>
      <c r="AX22">
        <f t="shared" ca="1" si="39"/>
        <v>164.82394305814921</v>
      </c>
      <c r="AY22">
        <f t="shared" ca="1" si="40"/>
        <v>128.77209534562158</v>
      </c>
      <c r="AZ22">
        <f t="shared" ca="1" si="41"/>
        <v>144.24206949182988</v>
      </c>
      <c r="BB22">
        <f t="shared" ca="1" si="7"/>
        <v>119.98254581410278</v>
      </c>
      <c r="BC22">
        <f t="shared" ca="1" si="8"/>
        <v>184.455031426734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Z23"/>
  <sheetViews>
    <sheetView workbookViewId="0">
      <selection activeCell="S25" sqref="S25"/>
    </sheetView>
  </sheetViews>
  <sheetFormatPr defaultRowHeight="15" x14ac:dyDescent="0.25"/>
  <sheetData>
    <row r="2" spans="1:52" x14ac:dyDescent="0.25">
      <c r="C2" t="s">
        <v>0</v>
      </c>
      <c r="D2" t="s">
        <v>6</v>
      </c>
      <c r="E2" t="s">
        <v>1</v>
      </c>
      <c r="F2" t="s">
        <v>2</v>
      </c>
      <c r="G2" t="s">
        <v>3</v>
      </c>
      <c r="H2" t="s">
        <v>6</v>
      </c>
      <c r="I2" t="s">
        <v>4</v>
      </c>
      <c r="L2" t="s">
        <v>5</v>
      </c>
    </row>
    <row r="3" spans="1:52" x14ac:dyDescent="0.25">
      <c r="A3">
        <v>0</v>
      </c>
      <c r="C3">
        <f>MIN(Dados!C2:AZ2)</f>
        <v>1</v>
      </c>
      <c r="D3">
        <f t="array" ref="D3">MAX(MAX(IF(Dados!C2:AZ2&lt;(E3-1.5*L3),Dados!C2:AZ2,-10000)),C3)</f>
        <v>1</v>
      </c>
      <c r="E3">
        <f>_xlfn.QUARTILE.INC(Dados!C2:AZ2,1)</f>
        <v>1</v>
      </c>
      <c r="F3">
        <f>MEDIAN(Dados!C2:AZ2)</f>
        <v>1</v>
      </c>
      <c r="G3">
        <f>_xlfn.QUARTILE.INC(Dados!C2:AZ2,3)</f>
        <v>1</v>
      </c>
      <c r="H3">
        <f t="array" ref="H3">MIN(MIN(IF(Dados!C2:AZ2&gt;(G3+1.5*L3),Dados!C2:AZ2,10000)),I3)</f>
        <v>1</v>
      </c>
      <c r="I3">
        <f>MAX(Dados!C2:AZ2)</f>
        <v>1</v>
      </c>
      <c r="L3">
        <f>G3-E3</f>
        <v>0</v>
      </c>
      <c r="N3">
        <f>P3-0.5</f>
        <v>0.5</v>
      </c>
      <c r="O3">
        <f>P3+0.5</f>
        <v>1.5</v>
      </c>
      <c r="P3">
        <v>1</v>
      </c>
      <c r="Q3">
        <f>P3</f>
        <v>1</v>
      </c>
      <c r="R3">
        <f>N3</f>
        <v>0.5</v>
      </c>
      <c r="S3">
        <f>N3</f>
        <v>0.5</v>
      </c>
      <c r="T3">
        <f>O3</f>
        <v>1.5</v>
      </c>
      <c r="U3">
        <f>O3</f>
        <v>1.5</v>
      </c>
      <c r="V3">
        <f>P3</f>
        <v>1</v>
      </c>
      <c r="W3">
        <f>P3</f>
        <v>1</v>
      </c>
      <c r="X3">
        <f>N3</f>
        <v>0.5</v>
      </c>
      <c r="Y3">
        <f>O3</f>
        <v>1.5</v>
      </c>
      <c r="Z3">
        <f>P3</f>
        <v>1</v>
      </c>
      <c r="AA3">
        <f>P3</f>
        <v>1</v>
      </c>
      <c r="AB3">
        <f>N3</f>
        <v>0.5</v>
      </c>
      <c r="AC3">
        <f>N3</f>
        <v>0.5</v>
      </c>
      <c r="AD3">
        <f>O3</f>
        <v>1.5</v>
      </c>
      <c r="AE3">
        <f>O3</f>
        <v>1.5</v>
      </c>
      <c r="AF3">
        <f>P3</f>
        <v>1</v>
      </c>
    </row>
    <row r="4" spans="1:52" x14ac:dyDescent="0.25">
      <c r="A4">
        <v>1</v>
      </c>
      <c r="C4">
        <f ca="1">MIN(Dados!C3:AZ3)</f>
        <v>1.2217841981120738</v>
      </c>
      <c r="D4">
        <f t="array" aca="1" ref="D4" ca="1">MAX(MAX(IF(Dados!C3:AZ3&lt;(E4-1.5*L4),Dados!C3:AZ3,-10000)),C4)</f>
        <v>1.2217841981120738</v>
      </c>
      <c r="E4">
        <f ca="1">QUARTILE(Dados!C3:AZ3,1)</f>
        <v>1.245490930388133</v>
      </c>
      <c r="F4">
        <f ca="1">MEDIAN(Dados!C3:AZ3)</f>
        <v>1.277867088291853</v>
      </c>
      <c r="G4">
        <f ca="1">QUARTILE(Dados!C3:AZ3,3)</f>
        <v>1.3114693146032947</v>
      </c>
      <c r="H4">
        <f t="array" aca="1" ref="H4" ca="1">MIN(MIN(IF(Dados!C3:AZ3&gt;(G4+1.5*L4),Dados!C3:AZ3,10000)),I4)</f>
        <v>1.3467911548142624</v>
      </c>
      <c r="I4">
        <f ca="1">MAX(Dados!C3:AZ3)</f>
        <v>1.3467911548142624</v>
      </c>
      <c r="K4">
        <f ca="1">G4+1.5*L4</f>
        <v>1.4104368909260374</v>
      </c>
      <c r="L4">
        <f ca="1">G4-E4</f>
        <v>6.5978384215161778E-2</v>
      </c>
      <c r="N4">
        <f ca="1">D4</f>
        <v>1.2217841981120738</v>
      </c>
      <c r="O4">
        <f ca="1">N4</f>
        <v>1.2217841981120738</v>
      </c>
      <c r="P4">
        <f ca="1">O4</f>
        <v>1.2217841981120738</v>
      </c>
      <c r="Q4">
        <f ca="1">E4</f>
        <v>1.245490930388133</v>
      </c>
      <c r="R4">
        <f ca="1">Q4</f>
        <v>1.245490930388133</v>
      </c>
      <c r="S4">
        <f ca="1">F4</f>
        <v>1.277867088291853</v>
      </c>
      <c r="T4">
        <f ca="1">S4</f>
        <v>1.277867088291853</v>
      </c>
      <c r="U4">
        <f ca="1">G4</f>
        <v>1.3114693146032947</v>
      </c>
      <c r="V4">
        <f ca="1">U4</f>
        <v>1.3114693146032947</v>
      </c>
      <c r="W4">
        <f ca="1">H4</f>
        <v>1.3467911548142624</v>
      </c>
      <c r="X4">
        <f ca="1">W4</f>
        <v>1.3467911548142624</v>
      </c>
      <c r="Y4">
        <f ca="1">X4</f>
        <v>1.3467911548142624</v>
      </c>
      <c r="Z4">
        <f ca="1">Y4</f>
        <v>1.3467911548142624</v>
      </c>
      <c r="AA4">
        <f ca="1">V4</f>
        <v>1.3114693146032947</v>
      </c>
      <c r="AB4">
        <f ca="1">AA4</f>
        <v>1.3114693146032947</v>
      </c>
      <c r="AC4">
        <f ca="1">T4</f>
        <v>1.277867088291853</v>
      </c>
      <c r="AD4">
        <f ca="1">AC4</f>
        <v>1.277867088291853</v>
      </c>
      <c r="AE4">
        <f ca="1">R4</f>
        <v>1.245490930388133</v>
      </c>
      <c r="AF4">
        <f ca="1">AE4</f>
        <v>1.245490930388133</v>
      </c>
      <c r="AH4">
        <f>AJ4-0.4</f>
        <v>0.6</v>
      </c>
      <c r="AI4">
        <f>AJ4+0.4</f>
        <v>1.4</v>
      </c>
      <c r="AJ4">
        <v>1</v>
      </c>
      <c r="AK4">
        <f>AJ4</f>
        <v>1</v>
      </c>
      <c r="AL4">
        <f>AH4</f>
        <v>0.6</v>
      </c>
      <c r="AM4">
        <f>AH4</f>
        <v>0.6</v>
      </c>
      <c r="AN4">
        <f>AI4</f>
        <v>1.4</v>
      </c>
      <c r="AO4">
        <f>AI4</f>
        <v>1.4</v>
      </c>
      <c r="AP4">
        <f>AJ4</f>
        <v>1</v>
      </c>
      <c r="AQ4">
        <f>AJ4</f>
        <v>1</v>
      </c>
      <c r="AR4">
        <f>AH4</f>
        <v>0.6</v>
      </c>
      <c r="AS4">
        <f>AI4</f>
        <v>1.4</v>
      </c>
      <c r="AT4">
        <f>AJ4</f>
        <v>1</v>
      </c>
      <c r="AU4">
        <f>AJ4</f>
        <v>1</v>
      </c>
      <c r="AV4">
        <f>AH4</f>
        <v>0.6</v>
      </c>
      <c r="AW4">
        <f>AH4</f>
        <v>0.6</v>
      </c>
      <c r="AX4">
        <f>AI4</f>
        <v>1.4</v>
      </c>
      <c r="AY4">
        <f>AI4</f>
        <v>1.4</v>
      </c>
      <c r="AZ4">
        <f>AJ4</f>
        <v>1</v>
      </c>
    </row>
    <row r="5" spans="1:52" x14ac:dyDescent="0.25">
      <c r="A5">
        <v>2</v>
      </c>
      <c r="C5">
        <f ca="1">MIN(Dados!C4:AZ4)</f>
        <v>1.5034064951321267</v>
      </c>
      <c r="D5">
        <f t="array" aca="1" ref="D5" ca="1">MAX(MAX(IF(Dados!C4:AZ4&lt;(E5-1.5*L5),Dados!C4:AZ4,-10000)),C5)</f>
        <v>1.5034064951321267</v>
      </c>
      <c r="E5">
        <f ca="1">QUARTILE(Dados!C4:AZ4,1)</f>
        <v>1.5860796164128266</v>
      </c>
      <c r="F5">
        <f ca="1">MEDIAN(Dados!C4:AZ4)</f>
        <v>1.6529325684986347</v>
      </c>
      <c r="G5">
        <f ca="1">QUARTILE(Dados!C4:AZ4,3)</f>
        <v>1.6901225027238862</v>
      </c>
      <c r="H5">
        <f t="array" aca="1" ref="H5" ca="1">MIN(MIN(IF(Dados!C4:AZ4&gt;(G5+1.5*L5),Dados!C4:AZ4,10000)),I5)</f>
        <v>1.7761529582844457</v>
      </c>
      <c r="I5">
        <f ca="1">MAX(Dados!C4:AZ4)</f>
        <v>1.7761529582844457</v>
      </c>
      <c r="K5">
        <f t="shared" ref="K5:K23" ca="1" si="0">G5+1.5*L5</f>
        <v>1.8461868321904755</v>
      </c>
      <c r="L5">
        <f t="shared" ref="L5:L23" ca="1" si="1">G5-E5</f>
        <v>0.10404288631105962</v>
      </c>
      <c r="N5">
        <f t="shared" ref="N5:N23" ca="1" si="2">D5</f>
        <v>1.5034064951321267</v>
      </c>
      <c r="O5">
        <f t="shared" ref="O5:P5" ca="1" si="3">N5</f>
        <v>1.5034064951321267</v>
      </c>
      <c r="P5">
        <f t="shared" ca="1" si="3"/>
        <v>1.5034064951321267</v>
      </c>
      <c r="Q5">
        <f t="shared" ref="Q5:Q23" ca="1" si="4">E5</f>
        <v>1.5860796164128266</v>
      </c>
      <c r="R5">
        <f t="shared" ref="R5:R23" ca="1" si="5">Q5</f>
        <v>1.5860796164128266</v>
      </c>
      <c r="S5">
        <f t="shared" ref="S5:S23" ca="1" si="6">F5</f>
        <v>1.6529325684986347</v>
      </c>
      <c r="T5">
        <f t="shared" ref="T5:T23" ca="1" si="7">S5</f>
        <v>1.6529325684986347</v>
      </c>
      <c r="U5">
        <f t="shared" ref="U5:U23" ca="1" si="8">G5</f>
        <v>1.6901225027238862</v>
      </c>
      <c r="V5">
        <f t="shared" ref="V5:V23" ca="1" si="9">U5</f>
        <v>1.6901225027238862</v>
      </c>
      <c r="W5">
        <f t="shared" ref="W5:W23" ca="1" si="10">H5</f>
        <v>1.7761529582844457</v>
      </c>
      <c r="X5">
        <f t="shared" ref="X5:Z5" ca="1" si="11">W5</f>
        <v>1.7761529582844457</v>
      </c>
      <c r="Y5">
        <f t="shared" ca="1" si="11"/>
        <v>1.7761529582844457</v>
      </c>
      <c r="Z5">
        <f t="shared" ca="1" si="11"/>
        <v>1.7761529582844457</v>
      </c>
      <c r="AA5">
        <f t="shared" ref="AA5:AA23" ca="1" si="12">V5</f>
        <v>1.6901225027238862</v>
      </c>
      <c r="AB5">
        <f t="shared" ref="AB5:AB23" ca="1" si="13">AA5</f>
        <v>1.6901225027238862</v>
      </c>
      <c r="AC5">
        <f t="shared" ref="AC5:AC23" ca="1" si="14">T5</f>
        <v>1.6529325684986347</v>
      </c>
      <c r="AD5">
        <f t="shared" ref="AD5:AD23" ca="1" si="15">AC5</f>
        <v>1.6529325684986347</v>
      </c>
      <c r="AE5">
        <f t="shared" ref="AE5:AE23" ca="1" si="16">R5</f>
        <v>1.5860796164128266</v>
      </c>
      <c r="AF5">
        <f t="shared" ref="AF5:AF23" ca="1" si="17">AE5</f>
        <v>1.5860796164128266</v>
      </c>
      <c r="AH5">
        <f t="shared" ref="AH5:AH23" si="18">AJ5-0.4</f>
        <v>1.6</v>
      </c>
      <c r="AI5">
        <f t="shared" ref="AI5:AI23" si="19">AJ5+0.4</f>
        <v>2.4</v>
      </c>
      <c r="AJ5">
        <f>AJ4+1</f>
        <v>2</v>
      </c>
      <c r="AK5">
        <f t="shared" ref="AK5:AK23" si="20">AJ5</f>
        <v>2</v>
      </c>
      <c r="AL5">
        <f t="shared" ref="AL5:AL23" si="21">AH5</f>
        <v>1.6</v>
      </c>
      <c r="AM5">
        <f t="shared" ref="AM5:AM23" si="22">AH5</f>
        <v>1.6</v>
      </c>
      <c r="AN5">
        <f t="shared" ref="AN5:AN23" si="23">AI5</f>
        <v>2.4</v>
      </c>
      <c r="AO5">
        <f t="shared" ref="AO5:AO23" si="24">AI5</f>
        <v>2.4</v>
      </c>
      <c r="AP5">
        <f t="shared" ref="AP5:AP23" si="25">AJ5</f>
        <v>2</v>
      </c>
      <c r="AQ5">
        <f t="shared" ref="AQ5:AQ23" si="26">AJ5</f>
        <v>2</v>
      </c>
      <c r="AR5">
        <f t="shared" ref="AR5:AR23" si="27">AH5</f>
        <v>1.6</v>
      </c>
      <c r="AS5">
        <f t="shared" ref="AS5:AS23" si="28">AI5</f>
        <v>2.4</v>
      </c>
      <c r="AT5">
        <f t="shared" ref="AT5:AT23" si="29">AJ5</f>
        <v>2</v>
      </c>
      <c r="AU5">
        <f t="shared" ref="AU5:AU23" si="30">AJ5</f>
        <v>2</v>
      </c>
      <c r="AV5">
        <f t="shared" ref="AV5:AV23" si="31">AH5</f>
        <v>1.6</v>
      </c>
      <c r="AW5">
        <f t="shared" ref="AW5:AW23" si="32">AH5</f>
        <v>1.6</v>
      </c>
      <c r="AX5">
        <f t="shared" ref="AX5:AX23" si="33">AI5</f>
        <v>2.4</v>
      </c>
      <c r="AY5">
        <f t="shared" ref="AY5:AY23" si="34">AI5</f>
        <v>2.4</v>
      </c>
      <c r="AZ5">
        <f t="shared" ref="AZ5:AZ23" si="35">AJ5</f>
        <v>2</v>
      </c>
    </row>
    <row r="6" spans="1:52" x14ac:dyDescent="0.25">
      <c r="A6">
        <v>3</v>
      </c>
      <c r="C6">
        <f ca="1">MIN(Dados!C5:AZ5)</f>
        <v>1.9257909774998603</v>
      </c>
      <c r="D6">
        <f t="array" aca="1" ref="D6" ca="1">MAX(MAX(IF(Dados!C5:AZ5&lt;(E6-1.5*L6),Dados!C5:AZ5,-10000)),C6)</f>
        <v>1.9257909774998603</v>
      </c>
      <c r="E6">
        <f ca="1">QUARTILE(Dados!C5:AZ5,1)</f>
        <v>2.0316657815696262</v>
      </c>
      <c r="F6">
        <f ca="1">MEDIAN(Dados!C5:AZ5)</f>
        <v>2.1460411616256101</v>
      </c>
      <c r="G6">
        <f ca="1">QUARTILE(Dados!C5:AZ5,3)</f>
        <v>2.2002887237109605</v>
      </c>
      <c r="H6">
        <f t="array" aca="1" ref="H6" ca="1">MIN(MIN(IF(Dados!C5:AZ5&gt;(G6+1.5*L6),Dados!C5:AZ5,10000)),I6)</f>
        <v>2.353974720560664</v>
      </c>
      <c r="I6">
        <f ca="1">MAX(Dados!C5:AZ5)</f>
        <v>2.353974720560664</v>
      </c>
      <c r="K6">
        <f t="shared" ca="1" si="0"/>
        <v>2.4532231369229622</v>
      </c>
      <c r="L6">
        <f t="shared" ca="1" si="1"/>
        <v>0.16862294214133433</v>
      </c>
      <c r="N6">
        <f t="shared" ca="1" si="2"/>
        <v>1.9257909774998603</v>
      </c>
      <c r="O6">
        <f t="shared" ref="O6:P6" ca="1" si="36">N6</f>
        <v>1.9257909774998603</v>
      </c>
      <c r="P6">
        <f t="shared" ca="1" si="36"/>
        <v>1.9257909774998603</v>
      </c>
      <c r="Q6">
        <f t="shared" ca="1" si="4"/>
        <v>2.0316657815696262</v>
      </c>
      <c r="R6">
        <f t="shared" ca="1" si="5"/>
        <v>2.0316657815696262</v>
      </c>
      <c r="S6">
        <f t="shared" ca="1" si="6"/>
        <v>2.1460411616256101</v>
      </c>
      <c r="T6">
        <f t="shared" ca="1" si="7"/>
        <v>2.1460411616256101</v>
      </c>
      <c r="U6">
        <f t="shared" ca="1" si="8"/>
        <v>2.2002887237109605</v>
      </c>
      <c r="V6">
        <f t="shared" ca="1" si="9"/>
        <v>2.2002887237109605</v>
      </c>
      <c r="W6">
        <f t="shared" ca="1" si="10"/>
        <v>2.353974720560664</v>
      </c>
      <c r="X6">
        <f t="shared" ref="X6:Z6" ca="1" si="37">W6</f>
        <v>2.353974720560664</v>
      </c>
      <c r="Y6">
        <f t="shared" ca="1" si="37"/>
        <v>2.353974720560664</v>
      </c>
      <c r="Z6">
        <f t="shared" ca="1" si="37"/>
        <v>2.353974720560664</v>
      </c>
      <c r="AA6">
        <f t="shared" ca="1" si="12"/>
        <v>2.2002887237109605</v>
      </c>
      <c r="AB6">
        <f t="shared" ca="1" si="13"/>
        <v>2.2002887237109605</v>
      </c>
      <c r="AC6">
        <f t="shared" ca="1" si="14"/>
        <v>2.1460411616256101</v>
      </c>
      <c r="AD6">
        <f t="shared" ca="1" si="15"/>
        <v>2.1460411616256101</v>
      </c>
      <c r="AE6">
        <f t="shared" ca="1" si="16"/>
        <v>2.0316657815696262</v>
      </c>
      <c r="AF6">
        <f t="shared" ca="1" si="17"/>
        <v>2.0316657815696262</v>
      </c>
      <c r="AH6">
        <f t="shared" si="18"/>
        <v>2.6</v>
      </c>
      <c r="AI6">
        <f t="shared" si="19"/>
        <v>3.4</v>
      </c>
      <c r="AJ6">
        <f t="shared" ref="AJ6:AJ23" si="38">AJ5+1</f>
        <v>3</v>
      </c>
      <c r="AK6">
        <f t="shared" si="20"/>
        <v>3</v>
      </c>
      <c r="AL6">
        <f t="shared" si="21"/>
        <v>2.6</v>
      </c>
      <c r="AM6">
        <f t="shared" si="22"/>
        <v>2.6</v>
      </c>
      <c r="AN6">
        <f t="shared" si="23"/>
        <v>3.4</v>
      </c>
      <c r="AO6">
        <f t="shared" si="24"/>
        <v>3.4</v>
      </c>
      <c r="AP6">
        <f t="shared" si="25"/>
        <v>3</v>
      </c>
      <c r="AQ6">
        <f t="shared" si="26"/>
        <v>3</v>
      </c>
      <c r="AR6">
        <f t="shared" si="27"/>
        <v>2.6</v>
      </c>
      <c r="AS6">
        <f t="shared" si="28"/>
        <v>3.4</v>
      </c>
      <c r="AT6">
        <f t="shared" si="29"/>
        <v>3</v>
      </c>
      <c r="AU6">
        <f t="shared" si="30"/>
        <v>3</v>
      </c>
      <c r="AV6">
        <f t="shared" si="31"/>
        <v>2.6</v>
      </c>
      <c r="AW6">
        <f t="shared" si="32"/>
        <v>2.6</v>
      </c>
      <c r="AX6">
        <f t="shared" si="33"/>
        <v>3.4</v>
      </c>
      <c r="AY6">
        <f t="shared" si="34"/>
        <v>3.4</v>
      </c>
      <c r="AZ6">
        <f t="shared" si="35"/>
        <v>3</v>
      </c>
    </row>
    <row r="7" spans="1:52" x14ac:dyDescent="0.25">
      <c r="A7">
        <v>4</v>
      </c>
      <c r="C7">
        <f ca="1">MIN(Dados!C6:AZ6)</f>
        <v>2.3618663112508647</v>
      </c>
      <c r="D7">
        <f t="array" aca="1" ref="D7" ca="1">MAX(MAX(IF(Dados!C6:AZ6&lt;(E7-1.5*L7),Dados!C6:AZ6,-10000)),C7)</f>
        <v>2.3618663112508647</v>
      </c>
      <c r="E7">
        <f ca="1">QUARTILE(Dados!C6:AZ6,1)</f>
        <v>2.6244548027767181</v>
      </c>
      <c r="F7">
        <f ca="1">MEDIAN(Dados!C6:AZ6)</f>
        <v>2.7357393340059577</v>
      </c>
      <c r="G7">
        <f ca="1">QUARTILE(Dados!C6:AZ6,3)</f>
        <v>2.8449397962567478</v>
      </c>
      <c r="H7">
        <f t="array" aca="1" ref="H7" ca="1">MIN(MIN(IF(Dados!C6:AZ6&gt;(G7+1.5*L7),Dados!C6:AZ6,10000)),I7)</f>
        <v>3.1407517072227695</v>
      </c>
      <c r="I7">
        <f ca="1">MAX(Dados!C6:AZ6)</f>
        <v>3.1407517072227695</v>
      </c>
      <c r="K7">
        <f t="shared" ca="1" si="0"/>
        <v>3.1756672864767923</v>
      </c>
      <c r="L7">
        <f t="shared" ca="1" si="1"/>
        <v>0.2204849934800297</v>
      </c>
      <c r="N7">
        <f t="shared" ca="1" si="2"/>
        <v>2.3618663112508647</v>
      </c>
      <c r="O7">
        <f t="shared" ref="O7:P7" ca="1" si="39">N7</f>
        <v>2.3618663112508647</v>
      </c>
      <c r="P7">
        <f t="shared" ca="1" si="39"/>
        <v>2.3618663112508647</v>
      </c>
      <c r="Q7">
        <f t="shared" ca="1" si="4"/>
        <v>2.6244548027767181</v>
      </c>
      <c r="R7">
        <f t="shared" ca="1" si="5"/>
        <v>2.6244548027767181</v>
      </c>
      <c r="S7">
        <f t="shared" ca="1" si="6"/>
        <v>2.7357393340059577</v>
      </c>
      <c r="T7">
        <f t="shared" ca="1" si="7"/>
        <v>2.7357393340059577</v>
      </c>
      <c r="U7">
        <f t="shared" ca="1" si="8"/>
        <v>2.8449397962567478</v>
      </c>
      <c r="V7">
        <f t="shared" ca="1" si="9"/>
        <v>2.8449397962567478</v>
      </c>
      <c r="W7">
        <f t="shared" ca="1" si="10"/>
        <v>3.1407517072227695</v>
      </c>
      <c r="X7">
        <f t="shared" ref="X7:Z7" ca="1" si="40">W7</f>
        <v>3.1407517072227695</v>
      </c>
      <c r="Y7">
        <f t="shared" ca="1" si="40"/>
        <v>3.1407517072227695</v>
      </c>
      <c r="Z7">
        <f t="shared" ca="1" si="40"/>
        <v>3.1407517072227695</v>
      </c>
      <c r="AA7">
        <f t="shared" ca="1" si="12"/>
        <v>2.8449397962567478</v>
      </c>
      <c r="AB7">
        <f t="shared" ca="1" si="13"/>
        <v>2.8449397962567478</v>
      </c>
      <c r="AC7">
        <f t="shared" ca="1" si="14"/>
        <v>2.7357393340059577</v>
      </c>
      <c r="AD7">
        <f t="shared" ca="1" si="15"/>
        <v>2.7357393340059577</v>
      </c>
      <c r="AE7">
        <f t="shared" ca="1" si="16"/>
        <v>2.6244548027767181</v>
      </c>
      <c r="AF7">
        <f t="shared" ca="1" si="17"/>
        <v>2.6244548027767181</v>
      </c>
      <c r="AH7">
        <f t="shared" si="18"/>
        <v>3.6</v>
      </c>
      <c r="AI7">
        <f t="shared" si="19"/>
        <v>4.4000000000000004</v>
      </c>
      <c r="AJ7">
        <f t="shared" si="38"/>
        <v>4</v>
      </c>
      <c r="AK7">
        <f t="shared" si="20"/>
        <v>4</v>
      </c>
      <c r="AL7">
        <f t="shared" si="21"/>
        <v>3.6</v>
      </c>
      <c r="AM7">
        <f t="shared" si="22"/>
        <v>3.6</v>
      </c>
      <c r="AN7">
        <f t="shared" si="23"/>
        <v>4.4000000000000004</v>
      </c>
      <c r="AO7">
        <f t="shared" si="24"/>
        <v>4.4000000000000004</v>
      </c>
      <c r="AP7">
        <f t="shared" si="25"/>
        <v>4</v>
      </c>
      <c r="AQ7">
        <f t="shared" si="26"/>
        <v>4</v>
      </c>
      <c r="AR7">
        <f t="shared" si="27"/>
        <v>3.6</v>
      </c>
      <c r="AS7">
        <f t="shared" si="28"/>
        <v>4.4000000000000004</v>
      </c>
      <c r="AT7">
        <f t="shared" si="29"/>
        <v>4</v>
      </c>
      <c r="AU7">
        <f t="shared" si="30"/>
        <v>4</v>
      </c>
      <c r="AV7">
        <f t="shared" si="31"/>
        <v>3.6</v>
      </c>
      <c r="AW7">
        <f t="shared" si="32"/>
        <v>3.6</v>
      </c>
      <c r="AX7">
        <f t="shared" si="33"/>
        <v>4.4000000000000004</v>
      </c>
      <c r="AY7">
        <f t="shared" si="34"/>
        <v>4.4000000000000004</v>
      </c>
      <c r="AZ7">
        <f t="shared" si="35"/>
        <v>4</v>
      </c>
    </row>
    <row r="8" spans="1:52" x14ac:dyDescent="0.25">
      <c r="A8">
        <v>5</v>
      </c>
      <c r="C8">
        <f ca="1">MIN(Dados!C7:AZ7)</f>
        <v>3.0591515372868932</v>
      </c>
      <c r="D8">
        <f t="array" aca="1" ref="D8" ca="1">MAX(MAX(IF(Dados!C7:AZ7&lt;(E8-1.5*L8),Dados!C7:AZ7,-10000)),C8)</f>
        <v>3.0591515372868932</v>
      </c>
      <c r="E8">
        <f ca="1">QUARTILE(Dados!C7:AZ7,1)</f>
        <v>3.3329719341888628</v>
      </c>
      <c r="F8">
        <f ca="1">MEDIAN(Dados!C7:AZ7)</f>
        <v>3.5100673024086504</v>
      </c>
      <c r="G8">
        <f ca="1">QUARTILE(Dados!C7:AZ7,3)</f>
        <v>3.6197114208163428</v>
      </c>
      <c r="H8">
        <f t="array" aca="1" ref="H8" ca="1">MIN(MIN(IF(Dados!C7:AZ7&gt;(G8+1.5*L8),Dados!C7:AZ7,10000)),I8)</f>
        <v>3.9926057827521588</v>
      </c>
      <c r="I8">
        <f ca="1">MAX(Dados!C7:AZ7)</f>
        <v>3.9926057827521588</v>
      </c>
      <c r="K8">
        <f t="shared" ca="1" si="0"/>
        <v>4.0498206507575629</v>
      </c>
      <c r="L8">
        <f t="shared" ca="1" si="1"/>
        <v>0.28673948662747994</v>
      </c>
      <c r="N8">
        <f t="shared" ca="1" si="2"/>
        <v>3.0591515372868932</v>
      </c>
      <c r="O8">
        <f t="shared" ref="O8:P8" ca="1" si="41">N8</f>
        <v>3.0591515372868932</v>
      </c>
      <c r="P8">
        <f t="shared" ca="1" si="41"/>
        <v>3.0591515372868932</v>
      </c>
      <c r="Q8">
        <f t="shared" ca="1" si="4"/>
        <v>3.3329719341888628</v>
      </c>
      <c r="R8">
        <f t="shared" ca="1" si="5"/>
        <v>3.3329719341888628</v>
      </c>
      <c r="S8">
        <f t="shared" ca="1" si="6"/>
        <v>3.5100673024086504</v>
      </c>
      <c r="T8">
        <f t="shared" ca="1" si="7"/>
        <v>3.5100673024086504</v>
      </c>
      <c r="U8">
        <f t="shared" ca="1" si="8"/>
        <v>3.6197114208163428</v>
      </c>
      <c r="V8">
        <f t="shared" ca="1" si="9"/>
        <v>3.6197114208163428</v>
      </c>
      <c r="W8">
        <f t="shared" ca="1" si="10"/>
        <v>3.9926057827521588</v>
      </c>
      <c r="X8">
        <f t="shared" ref="X8:Z8" ca="1" si="42">W8</f>
        <v>3.9926057827521588</v>
      </c>
      <c r="Y8">
        <f t="shared" ca="1" si="42"/>
        <v>3.9926057827521588</v>
      </c>
      <c r="Z8">
        <f t="shared" ca="1" si="42"/>
        <v>3.9926057827521588</v>
      </c>
      <c r="AA8">
        <f t="shared" ca="1" si="12"/>
        <v>3.6197114208163428</v>
      </c>
      <c r="AB8">
        <f t="shared" ca="1" si="13"/>
        <v>3.6197114208163428</v>
      </c>
      <c r="AC8">
        <f t="shared" ca="1" si="14"/>
        <v>3.5100673024086504</v>
      </c>
      <c r="AD8">
        <f t="shared" ca="1" si="15"/>
        <v>3.5100673024086504</v>
      </c>
      <c r="AE8">
        <f t="shared" ca="1" si="16"/>
        <v>3.3329719341888628</v>
      </c>
      <c r="AF8">
        <f t="shared" ca="1" si="17"/>
        <v>3.3329719341888628</v>
      </c>
      <c r="AH8">
        <f t="shared" si="18"/>
        <v>4.5999999999999996</v>
      </c>
      <c r="AI8">
        <f t="shared" si="19"/>
        <v>5.4</v>
      </c>
      <c r="AJ8">
        <f t="shared" si="38"/>
        <v>5</v>
      </c>
      <c r="AK8">
        <f t="shared" si="20"/>
        <v>5</v>
      </c>
      <c r="AL8">
        <f t="shared" si="21"/>
        <v>4.5999999999999996</v>
      </c>
      <c r="AM8">
        <f t="shared" si="22"/>
        <v>4.5999999999999996</v>
      </c>
      <c r="AN8">
        <f t="shared" si="23"/>
        <v>5.4</v>
      </c>
      <c r="AO8">
        <f t="shared" si="24"/>
        <v>5.4</v>
      </c>
      <c r="AP8">
        <f t="shared" si="25"/>
        <v>5</v>
      </c>
      <c r="AQ8">
        <f t="shared" si="26"/>
        <v>5</v>
      </c>
      <c r="AR8">
        <f t="shared" si="27"/>
        <v>4.5999999999999996</v>
      </c>
      <c r="AS8">
        <f t="shared" si="28"/>
        <v>5.4</v>
      </c>
      <c r="AT8">
        <f t="shared" si="29"/>
        <v>5</v>
      </c>
      <c r="AU8">
        <f t="shared" si="30"/>
        <v>5</v>
      </c>
      <c r="AV8">
        <f t="shared" si="31"/>
        <v>4.5999999999999996</v>
      </c>
      <c r="AW8">
        <f t="shared" si="32"/>
        <v>4.5999999999999996</v>
      </c>
      <c r="AX8">
        <f t="shared" si="33"/>
        <v>5.4</v>
      </c>
      <c r="AY8">
        <f t="shared" si="34"/>
        <v>5.4</v>
      </c>
      <c r="AZ8">
        <f t="shared" si="35"/>
        <v>5</v>
      </c>
    </row>
    <row r="9" spans="1:52" x14ac:dyDescent="0.25">
      <c r="A9">
        <v>6</v>
      </c>
      <c r="C9">
        <f ca="1">MIN(Dados!C8:AZ8)</f>
        <v>3.9658897659386221</v>
      </c>
      <c r="D9">
        <f t="array" aca="1" ref="D9" ca="1">MAX(MAX(IF(Dados!C8:AZ8&lt;(E9-1.5*L9),Dados!C8:AZ8,-10000)),C9)</f>
        <v>3.9658897659386221</v>
      </c>
      <c r="E9">
        <f ca="1">QUARTILE(Dados!C8:AZ8,1)</f>
        <v>4.3266869968361261</v>
      </c>
      <c r="F9">
        <f ca="1">MEDIAN(Dados!C8:AZ8)</f>
        <v>4.4326476024163135</v>
      </c>
      <c r="G9">
        <f ca="1">QUARTILE(Dados!C8:AZ8,3)</f>
        <v>4.7165789095643271</v>
      </c>
      <c r="H9">
        <f t="array" aca="1" ref="H9" ca="1">MIN(MIN(IF(Dados!C8:AZ8&gt;(G9+1.5*L9),Dados!C8:AZ8,10000)),I9)</f>
        <v>5.2002390331871986</v>
      </c>
      <c r="I9">
        <f ca="1">MAX(Dados!C8:AZ8)</f>
        <v>5.2002390331871986</v>
      </c>
      <c r="K9">
        <f t="shared" ca="1" si="0"/>
        <v>5.3014167786566286</v>
      </c>
      <c r="L9">
        <f t="shared" ca="1" si="1"/>
        <v>0.38989191272820101</v>
      </c>
      <c r="N9">
        <f t="shared" ca="1" si="2"/>
        <v>3.9658897659386221</v>
      </c>
      <c r="O9">
        <f t="shared" ref="O9:P9" ca="1" si="43">N9</f>
        <v>3.9658897659386221</v>
      </c>
      <c r="P9">
        <f t="shared" ca="1" si="43"/>
        <v>3.9658897659386221</v>
      </c>
      <c r="Q9">
        <f t="shared" ca="1" si="4"/>
        <v>4.3266869968361261</v>
      </c>
      <c r="R9">
        <f t="shared" ca="1" si="5"/>
        <v>4.3266869968361261</v>
      </c>
      <c r="S9">
        <f t="shared" ca="1" si="6"/>
        <v>4.4326476024163135</v>
      </c>
      <c r="T9">
        <f t="shared" ca="1" si="7"/>
        <v>4.4326476024163135</v>
      </c>
      <c r="U9">
        <f t="shared" ca="1" si="8"/>
        <v>4.7165789095643271</v>
      </c>
      <c r="V9">
        <f t="shared" ca="1" si="9"/>
        <v>4.7165789095643271</v>
      </c>
      <c r="W9">
        <f t="shared" ca="1" si="10"/>
        <v>5.2002390331871986</v>
      </c>
      <c r="X9">
        <f t="shared" ref="X9:Z9" ca="1" si="44">W9</f>
        <v>5.2002390331871986</v>
      </c>
      <c r="Y9">
        <f t="shared" ca="1" si="44"/>
        <v>5.2002390331871986</v>
      </c>
      <c r="Z9">
        <f t="shared" ca="1" si="44"/>
        <v>5.2002390331871986</v>
      </c>
      <c r="AA9">
        <f t="shared" ca="1" si="12"/>
        <v>4.7165789095643271</v>
      </c>
      <c r="AB9">
        <f t="shared" ca="1" si="13"/>
        <v>4.7165789095643271</v>
      </c>
      <c r="AC9">
        <f t="shared" ca="1" si="14"/>
        <v>4.4326476024163135</v>
      </c>
      <c r="AD9">
        <f t="shared" ca="1" si="15"/>
        <v>4.4326476024163135</v>
      </c>
      <c r="AE9">
        <f t="shared" ca="1" si="16"/>
        <v>4.3266869968361261</v>
      </c>
      <c r="AF9">
        <f t="shared" ca="1" si="17"/>
        <v>4.3266869968361261</v>
      </c>
      <c r="AH9">
        <f t="shared" si="18"/>
        <v>5.6</v>
      </c>
      <c r="AI9">
        <f t="shared" si="19"/>
        <v>6.4</v>
      </c>
      <c r="AJ9">
        <f t="shared" si="38"/>
        <v>6</v>
      </c>
      <c r="AK9">
        <f t="shared" si="20"/>
        <v>6</v>
      </c>
      <c r="AL9">
        <f t="shared" si="21"/>
        <v>5.6</v>
      </c>
      <c r="AM9">
        <f t="shared" si="22"/>
        <v>5.6</v>
      </c>
      <c r="AN9">
        <f t="shared" si="23"/>
        <v>6.4</v>
      </c>
      <c r="AO9">
        <f t="shared" si="24"/>
        <v>6.4</v>
      </c>
      <c r="AP9">
        <f t="shared" si="25"/>
        <v>6</v>
      </c>
      <c r="AQ9">
        <f t="shared" si="26"/>
        <v>6</v>
      </c>
      <c r="AR9">
        <f t="shared" si="27"/>
        <v>5.6</v>
      </c>
      <c r="AS9">
        <f t="shared" si="28"/>
        <v>6.4</v>
      </c>
      <c r="AT9">
        <f t="shared" si="29"/>
        <v>6</v>
      </c>
      <c r="AU9">
        <f t="shared" si="30"/>
        <v>6</v>
      </c>
      <c r="AV9">
        <f t="shared" si="31"/>
        <v>5.6</v>
      </c>
      <c r="AW9">
        <f t="shared" si="32"/>
        <v>5.6</v>
      </c>
      <c r="AX9">
        <f t="shared" si="33"/>
        <v>6.4</v>
      </c>
      <c r="AY9">
        <f t="shared" si="34"/>
        <v>6.4</v>
      </c>
      <c r="AZ9">
        <f t="shared" si="35"/>
        <v>6</v>
      </c>
    </row>
    <row r="10" spans="1:52" x14ac:dyDescent="0.25">
      <c r="A10">
        <v>7</v>
      </c>
      <c r="C10">
        <f ca="1">MIN(Dados!C9:AZ9)</f>
        <v>4.9020850229573298</v>
      </c>
      <c r="D10">
        <f t="array" aca="1" ref="D10" ca="1">MAX(MAX(IF(Dados!C9:AZ9&lt;(E10-1.5*L10),Dados!C9:AZ9,-10000)),C10)</f>
        <v>4.9020850229573298</v>
      </c>
      <c r="E10">
        <f ca="1">QUARTILE(Dados!C9:AZ9,1)</f>
        <v>5.5062163173334921</v>
      </c>
      <c r="F10">
        <f ca="1">MEDIAN(Dados!C9:AZ9)</f>
        <v>5.7677695754215517</v>
      </c>
      <c r="G10">
        <f ca="1">QUARTILE(Dados!C9:AZ9,3)</f>
        <v>6.0715291742640165</v>
      </c>
      <c r="H10">
        <f t="array" aca="1" ref="H10" ca="1">MIN(MIN(IF(Dados!C9:AZ9&gt;(G10+1.5*L10),Dados!C9:AZ9,10000)),I10)</f>
        <v>6.6098170284030928</v>
      </c>
      <c r="I10">
        <f ca="1">MAX(Dados!C9:AZ9)</f>
        <v>6.6098170284030928</v>
      </c>
      <c r="K10">
        <f t="shared" ca="1" si="0"/>
        <v>6.9194984596598026</v>
      </c>
      <c r="L10">
        <f t="shared" ca="1" si="1"/>
        <v>0.56531285693052435</v>
      </c>
      <c r="N10">
        <f t="shared" ca="1" si="2"/>
        <v>4.9020850229573298</v>
      </c>
      <c r="O10">
        <f t="shared" ref="O10:P10" ca="1" si="45">N10</f>
        <v>4.9020850229573298</v>
      </c>
      <c r="P10">
        <f t="shared" ca="1" si="45"/>
        <v>4.9020850229573298</v>
      </c>
      <c r="Q10">
        <f t="shared" ca="1" si="4"/>
        <v>5.5062163173334921</v>
      </c>
      <c r="R10">
        <f t="shared" ca="1" si="5"/>
        <v>5.5062163173334921</v>
      </c>
      <c r="S10">
        <f t="shared" ca="1" si="6"/>
        <v>5.7677695754215517</v>
      </c>
      <c r="T10">
        <f t="shared" ca="1" si="7"/>
        <v>5.7677695754215517</v>
      </c>
      <c r="U10">
        <f t="shared" ca="1" si="8"/>
        <v>6.0715291742640165</v>
      </c>
      <c r="V10">
        <f t="shared" ca="1" si="9"/>
        <v>6.0715291742640165</v>
      </c>
      <c r="W10">
        <f t="shared" ca="1" si="10"/>
        <v>6.6098170284030928</v>
      </c>
      <c r="X10">
        <f t="shared" ref="X10:Z10" ca="1" si="46">W10</f>
        <v>6.6098170284030928</v>
      </c>
      <c r="Y10">
        <f t="shared" ca="1" si="46"/>
        <v>6.6098170284030928</v>
      </c>
      <c r="Z10">
        <f t="shared" ca="1" si="46"/>
        <v>6.6098170284030928</v>
      </c>
      <c r="AA10">
        <f t="shared" ca="1" si="12"/>
        <v>6.0715291742640165</v>
      </c>
      <c r="AB10">
        <f t="shared" ca="1" si="13"/>
        <v>6.0715291742640165</v>
      </c>
      <c r="AC10">
        <f t="shared" ca="1" si="14"/>
        <v>5.7677695754215517</v>
      </c>
      <c r="AD10">
        <f t="shared" ca="1" si="15"/>
        <v>5.7677695754215517</v>
      </c>
      <c r="AE10">
        <f t="shared" ca="1" si="16"/>
        <v>5.5062163173334921</v>
      </c>
      <c r="AF10">
        <f t="shared" ca="1" si="17"/>
        <v>5.5062163173334921</v>
      </c>
      <c r="AH10">
        <f t="shared" si="18"/>
        <v>6.6</v>
      </c>
      <c r="AI10">
        <f t="shared" si="19"/>
        <v>7.4</v>
      </c>
      <c r="AJ10">
        <f t="shared" si="38"/>
        <v>7</v>
      </c>
      <c r="AK10">
        <f t="shared" si="20"/>
        <v>7</v>
      </c>
      <c r="AL10">
        <f t="shared" si="21"/>
        <v>6.6</v>
      </c>
      <c r="AM10">
        <f t="shared" si="22"/>
        <v>6.6</v>
      </c>
      <c r="AN10">
        <f t="shared" si="23"/>
        <v>7.4</v>
      </c>
      <c r="AO10">
        <f t="shared" si="24"/>
        <v>7.4</v>
      </c>
      <c r="AP10">
        <f t="shared" si="25"/>
        <v>7</v>
      </c>
      <c r="AQ10">
        <f t="shared" si="26"/>
        <v>7</v>
      </c>
      <c r="AR10">
        <f t="shared" si="27"/>
        <v>6.6</v>
      </c>
      <c r="AS10">
        <f t="shared" si="28"/>
        <v>7.4</v>
      </c>
      <c r="AT10">
        <f t="shared" si="29"/>
        <v>7</v>
      </c>
      <c r="AU10">
        <f t="shared" si="30"/>
        <v>7</v>
      </c>
      <c r="AV10">
        <f t="shared" si="31"/>
        <v>6.6</v>
      </c>
      <c r="AW10">
        <f t="shared" si="32"/>
        <v>6.6</v>
      </c>
      <c r="AX10">
        <f t="shared" si="33"/>
        <v>7.4</v>
      </c>
      <c r="AY10">
        <f t="shared" si="34"/>
        <v>7.4</v>
      </c>
      <c r="AZ10">
        <f t="shared" si="35"/>
        <v>7</v>
      </c>
    </row>
    <row r="11" spans="1:52" x14ac:dyDescent="0.25">
      <c r="A11">
        <v>8</v>
      </c>
      <c r="C11">
        <f ca="1">MIN(Dados!C10:AZ10)</f>
        <v>6.3193253919068306</v>
      </c>
      <c r="D11">
        <f t="array" aca="1" ref="D11" ca="1">MAX(MAX(IF(Dados!C10:AZ10&lt;(E11-1.5*L11),Dados!C10:AZ10,-10000)),C11)</f>
        <v>6.3193253919068306</v>
      </c>
      <c r="E11">
        <f ca="1">QUARTILE(Dados!C10:AZ10,1)</f>
        <v>6.9100301458886033</v>
      </c>
      <c r="F11">
        <f ca="1">MEDIAN(Dados!C10:AZ10)</f>
        <v>7.4052062665068963</v>
      </c>
      <c r="G11">
        <f ca="1">QUARTILE(Dados!C10:AZ10,3)</f>
        <v>7.8264930491999536</v>
      </c>
      <c r="H11">
        <f t="array" aca="1" ref="H11" ca="1">MIN(MIN(IF(Dados!C10:AZ10&gt;(G11+1.5*L11),Dados!C10:AZ10,10000)),I11)</f>
        <v>8.8520560390281098</v>
      </c>
      <c r="I11">
        <f ca="1">MAX(Dados!C10:AZ10)</f>
        <v>8.8520560390281098</v>
      </c>
      <c r="K11">
        <f t="shared" ca="1" si="0"/>
        <v>9.2011874041669799</v>
      </c>
      <c r="L11">
        <f t="shared" ca="1" si="1"/>
        <v>0.91646290331135027</v>
      </c>
      <c r="N11">
        <f t="shared" ca="1" si="2"/>
        <v>6.3193253919068306</v>
      </c>
      <c r="O11">
        <f t="shared" ref="O11:P11" ca="1" si="47">N11</f>
        <v>6.3193253919068306</v>
      </c>
      <c r="P11">
        <f t="shared" ca="1" si="47"/>
        <v>6.3193253919068306</v>
      </c>
      <c r="Q11">
        <f t="shared" ca="1" si="4"/>
        <v>6.9100301458886033</v>
      </c>
      <c r="R11">
        <f t="shared" ca="1" si="5"/>
        <v>6.9100301458886033</v>
      </c>
      <c r="S11">
        <f t="shared" ca="1" si="6"/>
        <v>7.4052062665068963</v>
      </c>
      <c r="T11">
        <f t="shared" ca="1" si="7"/>
        <v>7.4052062665068963</v>
      </c>
      <c r="U11">
        <f t="shared" ca="1" si="8"/>
        <v>7.8264930491999536</v>
      </c>
      <c r="V11">
        <f t="shared" ca="1" si="9"/>
        <v>7.8264930491999536</v>
      </c>
      <c r="W11">
        <f t="shared" ca="1" si="10"/>
        <v>8.8520560390281098</v>
      </c>
      <c r="X11">
        <f t="shared" ref="X11:Z11" ca="1" si="48">W11</f>
        <v>8.8520560390281098</v>
      </c>
      <c r="Y11">
        <f t="shared" ca="1" si="48"/>
        <v>8.8520560390281098</v>
      </c>
      <c r="Z11">
        <f t="shared" ca="1" si="48"/>
        <v>8.8520560390281098</v>
      </c>
      <c r="AA11">
        <f t="shared" ca="1" si="12"/>
        <v>7.8264930491999536</v>
      </c>
      <c r="AB11">
        <f t="shared" ca="1" si="13"/>
        <v>7.8264930491999536</v>
      </c>
      <c r="AC11">
        <f t="shared" ca="1" si="14"/>
        <v>7.4052062665068963</v>
      </c>
      <c r="AD11">
        <f t="shared" ca="1" si="15"/>
        <v>7.4052062665068963</v>
      </c>
      <c r="AE11">
        <f t="shared" ca="1" si="16"/>
        <v>6.9100301458886033</v>
      </c>
      <c r="AF11">
        <f t="shared" ca="1" si="17"/>
        <v>6.9100301458886033</v>
      </c>
      <c r="AH11">
        <f t="shared" si="18"/>
        <v>7.6</v>
      </c>
      <c r="AI11">
        <f t="shared" si="19"/>
        <v>8.4</v>
      </c>
      <c r="AJ11">
        <f t="shared" si="38"/>
        <v>8</v>
      </c>
      <c r="AK11">
        <f t="shared" si="20"/>
        <v>8</v>
      </c>
      <c r="AL11">
        <f t="shared" si="21"/>
        <v>7.6</v>
      </c>
      <c r="AM11">
        <f t="shared" si="22"/>
        <v>7.6</v>
      </c>
      <c r="AN11">
        <f t="shared" si="23"/>
        <v>8.4</v>
      </c>
      <c r="AO11">
        <f t="shared" si="24"/>
        <v>8.4</v>
      </c>
      <c r="AP11">
        <f t="shared" si="25"/>
        <v>8</v>
      </c>
      <c r="AQ11">
        <f t="shared" si="26"/>
        <v>8</v>
      </c>
      <c r="AR11">
        <f t="shared" si="27"/>
        <v>7.6</v>
      </c>
      <c r="AS11">
        <f t="shared" si="28"/>
        <v>8.4</v>
      </c>
      <c r="AT11">
        <f t="shared" si="29"/>
        <v>8</v>
      </c>
      <c r="AU11">
        <f t="shared" si="30"/>
        <v>8</v>
      </c>
      <c r="AV11">
        <f t="shared" si="31"/>
        <v>7.6</v>
      </c>
      <c r="AW11">
        <f t="shared" si="32"/>
        <v>7.6</v>
      </c>
      <c r="AX11">
        <f t="shared" si="33"/>
        <v>8.4</v>
      </c>
      <c r="AY11">
        <f t="shared" si="34"/>
        <v>8.4</v>
      </c>
      <c r="AZ11">
        <f t="shared" si="35"/>
        <v>8</v>
      </c>
    </row>
    <row r="12" spans="1:52" x14ac:dyDescent="0.25">
      <c r="A12">
        <v>9</v>
      </c>
      <c r="C12">
        <f ca="1">MIN(Dados!C11:AZ11)</f>
        <v>8.0914924554513679</v>
      </c>
      <c r="D12">
        <f t="array" aca="1" ref="D12" ca="1">MAX(MAX(IF(Dados!C11:AZ11&lt;(E12-1.5*L12),Dados!C11:AZ11,-10000)),C12)</f>
        <v>8.0914924554513679</v>
      </c>
      <c r="E12">
        <f ca="1">QUARTILE(Dados!C11:AZ11,1)</f>
        <v>8.8563515723455879</v>
      </c>
      <c r="F12">
        <f ca="1">MEDIAN(Dados!C11:AZ11)</f>
        <v>9.6023749942071515</v>
      </c>
      <c r="G12">
        <f ca="1">QUARTILE(Dados!C11:AZ11,3)</f>
        <v>10.236385709022315</v>
      </c>
      <c r="H12">
        <f t="array" aca="1" ref="H12" ca="1">MIN(MIN(IF(Dados!C11:AZ11&gt;(G12+1.5*L12),Dados!C11:AZ11,10000)),I12)</f>
        <v>11.191315936654252</v>
      </c>
      <c r="I12">
        <f ca="1">MAX(Dados!C11:AZ11)</f>
        <v>11.191315936654252</v>
      </c>
      <c r="K12">
        <f t="shared" ca="1" si="0"/>
        <v>12.306436914037405</v>
      </c>
      <c r="L12">
        <f t="shared" ca="1" si="1"/>
        <v>1.380034136676727</v>
      </c>
      <c r="N12">
        <f t="shared" ca="1" si="2"/>
        <v>8.0914924554513679</v>
      </c>
      <c r="O12">
        <f t="shared" ref="O12:P12" ca="1" si="49">N12</f>
        <v>8.0914924554513679</v>
      </c>
      <c r="P12">
        <f t="shared" ca="1" si="49"/>
        <v>8.0914924554513679</v>
      </c>
      <c r="Q12">
        <f t="shared" ca="1" si="4"/>
        <v>8.8563515723455879</v>
      </c>
      <c r="R12">
        <f t="shared" ca="1" si="5"/>
        <v>8.8563515723455879</v>
      </c>
      <c r="S12">
        <f t="shared" ca="1" si="6"/>
        <v>9.6023749942071515</v>
      </c>
      <c r="T12">
        <f t="shared" ca="1" si="7"/>
        <v>9.6023749942071515</v>
      </c>
      <c r="U12">
        <f t="shared" ca="1" si="8"/>
        <v>10.236385709022315</v>
      </c>
      <c r="V12">
        <f t="shared" ca="1" si="9"/>
        <v>10.236385709022315</v>
      </c>
      <c r="W12">
        <f t="shared" ca="1" si="10"/>
        <v>11.191315936654252</v>
      </c>
      <c r="X12">
        <f t="shared" ref="X12:Z12" ca="1" si="50">W12</f>
        <v>11.191315936654252</v>
      </c>
      <c r="Y12">
        <f t="shared" ca="1" si="50"/>
        <v>11.191315936654252</v>
      </c>
      <c r="Z12">
        <f t="shared" ca="1" si="50"/>
        <v>11.191315936654252</v>
      </c>
      <c r="AA12">
        <f t="shared" ca="1" si="12"/>
        <v>10.236385709022315</v>
      </c>
      <c r="AB12">
        <f t="shared" ca="1" si="13"/>
        <v>10.236385709022315</v>
      </c>
      <c r="AC12">
        <f t="shared" ca="1" si="14"/>
        <v>9.6023749942071515</v>
      </c>
      <c r="AD12">
        <f t="shared" ca="1" si="15"/>
        <v>9.6023749942071515</v>
      </c>
      <c r="AE12">
        <f t="shared" ca="1" si="16"/>
        <v>8.8563515723455879</v>
      </c>
      <c r="AF12">
        <f t="shared" ca="1" si="17"/>
        <v>8.8563515723455879</v>
      </c>
      <c r="AH12">
        <f t="shared" si="18"/>
        <v>8.6</v>
      </c>
      <c r="AI12">
        <f t="shared" si="19"/>
        <v>9.4</v>
      </c>
      <c r="AJ12">
        <f t="shared" si="38"/>
        <v>9</v>
      </c>
      <c r="AK12">
        <f t="shared" si="20"/>
        <v>9</v>
      </c>
      <c r="AL12">
        <f t="shared" si="21"/>
        <v>8.6</v>
      </c>
      <c r="AM12">
        <f t="shared" si="22"/>
        <v>8.6</v>
      </c>
      <c r="AN12">
        <f t="shared" si="23"/>
        <v>9.4</v>
      </c>
      <c r="AO12">
        <f t="shared" si="24"/>
        <v>9.4</v>
      </c>
      <c r="AP12">
        <f t="shared" si="25"/>
        <v>9</v>
      </c>
      <c r="AQ12">
        <f t="shared" si="26"/>
        <v>9</v>
      </c>
      <c r="AR12">
        <f t="shared" si="27"/>
        <v>8.6</v>
      </c>
      <c r="AS12">
        <f t="shared" si="28"/>
        <v>9.4</v>
      </c>
      <c r="AT12">
        <f t="shared" si="29"/>
        <v>9</v>
      </c>
      <c r="AU12">
        <f t="shared" si="30"/>
        <v>9</v>
      </c>
      <c r="AV12">
        <f t="shared" si="31"/>
        <v>8.6</v>
      </c>
      <c r="AW12">
        <f t="shared" si="32"/>
        <v>8.6</v>
      </c>
      <c r="AX12">
        <f t="shared" si="33"/>
        <v>9.4</v>
      </c>
      <c r="AY12">
        <f t="shared" si="34"/>
        <v>9.4</v>
      </c>
      <c r="AZ12">
        <f t="shared" si="35"/>
        <v>9</v>
      </c>
    </row>
    <row r="13" spans="1:52" x14ac:dyDescent="0.25">
      <c r="A13">
        <v>10</v>
      </c>
      <c r="C13">
        <f ca="1">MIN(Dados!C12:AZ12)</f>
        <v>10.151177744284194</v>
      </c>
      <c r="D13">
        <f t="array" aca="1" ref="D13" ca="1">MAX(MAX(IF(Dados!C12:AZ12&lt;(E13-1.5*L13),Dados!C12:AZ12,-10000)),C13)</f>
        <v>10.151177744284194</v>
      </c>
      <c r="E13">
        <f ca="1">QUARTILE(Dados!C12:AZ12,1)</f>
        <v>11.202121307592781</v>
      </c>
      <c r="F13">
        <f ca="1">MEDIAN(Dados!C12:AZ12)</f>
        <v>12.414736858751784</v>
      </c>
      <c r="G13">
        <f ca="1">QUARTILE(Dados!C12:AZ12,3)</f>
        <v>13.072042483580899</v>
      </c>
      <c r="H13">
        <f t="array" aca="1" ref="H13" ca="1">MIN(MIN(IF(Dados!C12:AZ12&gt;(G13+1.5*L13),Dados!C12:AZ12,10000)),I13)</f>
        <v>14.707670832058746</v>
      </c>
      <c r="I13">
        <f ca="1">MAX(Dados!C12:AZ12)</f>
        <v>14.707670832058746</v>
      </c>
      <c r="K13">
        <f t="shared" ca="1" si="0"/>
        <v>15.876924247563077</v>
      </c>
      <c r="L13">
        <f t="shared" ca="1" si="1"/>
        <v>1.869921175988118</v>
      </c>
      <c r="N13">
        <f t="shared" ca="1" si="2"/>
        <v>10.151177744284194</v>
      </c>
      <c r="O13">
        <f t="shared" ref="O13:P13" ca="1" si="51">N13</f>
        <v>10.151177744284194</v>
      </c>
      <c r="P13">
        <f t="shared" ca="1" si="51"/>
        <v>10.151177744284194</v>
      </c>
      <c r="Q13">
        <f t="shared" ca="1" si="4"/>
        <v>11.202121307592781</v>
      </c>
      <c r="R13">
        <f t="shared" ca="1" si="5"/>
        <v>11.202121307592781</v>
      </c>
      <c r="S13">
        <f t="shared" ca="1" si="6"/>
        <v>12.414736858751784</v>
      </c>
      <c r="T13">
        <f t="shared" ca="1" si="7"/>
        <v>12.414736858751784</v>
      </c>
      <c r="U13">
        <f t="shared" ca="1" si="8"/>
        <v>13.072042483580899</v>
      </c>
      <c r="V13">
        <f t="shared" ca="1" si="9"/>
        <v>13.072042483580899</v>
      </c>
      <c r="W13">
        <f t="shared" ca="1" si="10"/>
        <v>14.707670832058746</v>
      </c>
      <c r="X13">
        <f t="shared" ref="X13:Z13" ca="1" si="52">W13</f>
        <v>14.707670832058746</v>
      </c>
      <c r="Y13">
        <f t="shared" ca="1" si="52"/>
        <v>14.707670832058746</v>
      </c>
      <c r="Z13">
        <f t="shared" ca="1" si="52"/>
        <v>14.707670832058746</v>
      </c>
      <c r="AA13">
        <f t="shared" ca="1" si="12"/>
        <v>13.072042483580899</v>
      </c>
      <c r="AB13">
        <f t="shared" ca="1" si="13"/>
        <v>13.072042483580899</v>
      </c>
      <c r="AC13">
        <f t="shared" ca="1" si="14"/>
        <v>12.414736858751784</v>
      </c>
      <c r="AD13">
        <f t="shared" ca="1" si="15"/>
        <v>12.414736858751784</v>
      </c>
      <c r="AE13">
        <f t="shared" ca="1" si="16"/>
        <v>11.202121307592781</v>
      </c>
      <c r="AF13">
        <f t="shared" ca="1" si="17"/>
        <v>11.202121307592781</v>
      </c>
      <c r="AH13">
        <f t="shared" si="18"/>
        <v>9.6</v>
      </c>
      <c r="AI13">
        <f t="shared" si="19"/>
        <v>10.4</v>
      </c>
      <c r="AJ13">
        <f t="shared" si="38"/>
        <v>10</v>
      </c>
      <c r="AK13">
        <f t="shared" si="20"/>
        <v>10</v>
      </c>
      <c r="AL13">
        <f t="shared" si="21"/>
        <v>9.6</v>
      </c>
      <c r="AM13">
        <f t="shared" si="22"/>
        <v>9.6</v>
      </c>
      <c r="AN13">
        <f t="shared" si="23"/>
        <v>10.4</v>
      </c>
      <c r="AO13">
        <f t="shared" si="24"/>
        <v>10.4</v>
      </c>
      <c r="AP13">
        <f t="shared" si="25"/>
        <v>10</v>
      </c>
      <c r="AQ13">
        <f t="shared" si="26"/>
        <v>10</v>
      </c>
      <c r="AR13">
        <f t="shared" si="27"/>
        <v>9.6</v>
      </c>
      <c r="AS13">
        <f t="shared" si="28"/>
        <v>10.4</v>
      </c>
      <c r="AT13">
        <f t="shared" si="29"/>
        <v>10</v>
      </c>
      <c r="AU13">
        <f t="shared" si="30"/>
        <v>10</v>
      </c>
      <c r="AV13">
        <f t="shared" si="31"/>
        <v>9.6</v>
      </c>
      <c r="AW13">
        <f t="shared" si="32"/>
        <v>9.6</v>
      </c>
      <c r="AX13">
        <f t="shared" si="33"/>
        <v>10.4</v>
      </c>
      <c r="AY13">
        <f t="shared" si="34"/>
        <v>10.4</v>
      </c>
      <c r="AZ13">
        <f t="shared" si="35"/>
        <v>10</v>
      </c>
    </row>
    <row r="14" spans="1:52" x14ac:dyDescent="0.25">
      <c r="A14">
        <v>11</v>
      </c>
      <c r="C14">
        <f ca="1">MIN(Dados!C13:AZ13)</f>
        <v>12.969738641077829</v>
      </c>
      <c r="D14">
        <f t="array" aca="1" ref="D14" ca="1">MAX(MAX(IF(Dados!C13:AZ13&lt;(E14-1.5*L14),Dados!C13:AZ13,-10000)),C14)</f>
        <v>12.969738641077829</v>
      </c>
      <c r="E14">
        <f ca="1">QUARTILE(Dados!C13:AZ13,1)</f>
        <v>14.294473850704446</v>
      </c>
      <c r="F14">
        <f ca="1">MEDIAN(Dados!C13:AZ13)</f>
        <v>15.726013676822737</v>
      </c>
      <c r="G14">
        <f ca="1">QUARTILE(Dados!C13:AZ13,3)</f>
        <v>17.054065027124743</v>
      </c>
      <c r="H14">
        <f t="array" aca="1" ref="H14" ca="1">MIN(MIN(IF(Dados!C13:AZ13&gt;(G14+1.5*L14),Dados!C13:AZ13,10000)),I14)</f>
        <v>19.02129756537984</v>
      </c>
      <c r="I14">
        <f ca="1">MAX(Dados!C13:AZ13)</f>
        <v>19.02129756537984</v>
      </c>
      <c r="K14">
        <f t="shared" ca="1" si="0"/>
        <v>21.193451791755187</v>
      </c>
      <c r="L14">
        <f t="shared" ca="1" si="1"/>
        <v>2.7595911764202974</v>
      </c>
      <c r="N14">
        <f t="shared" ca="1" si="2"/>
        <v>12.969738641077829</v>
      </c>
      <c r="O14">
        <f t="shared" ref="O14:P14" ca="1" si="53">N14</f>
        <v>12.969738641077829</v>
      </c>
      <c r="P14">
        <f t="shared" ca="1" si="53"/>
        <v>12.969738641077829</v>
      </c>
      <c r="Q14">
        <f t="shared" ca="1" si="4"/>
        <v>14.294473850704446</v>
      </c>
      <c r="R14">
        <f t="shared" ca="1" si="5"/>
        <v>14.294473850704446</v>
      </c>
      <c r="S14">
        <f t="shared" ca="1" si="6"/>
        <v>15.726013676822737</v>
      </c>
      <c r="T14">
        <f t="shared" ca="1" si="7"/>
        <v>15.726013676822737</v>
      </c>
      <c r="U14">
        <f t="shared" ca="1" si="8"/>
        <v>17.054065027124743</v>
      </c>
      <c r="V14">
        <f t="shared" ca="1" si="9"/>
        <v>17.054065027124743</v>
      </c>
      <c r="W14">
        <f t="shared" ca="1" si="10"/>
        <v>19.02129756537984</v>
      </c>
      <c r="X14">
        <f t="shared" ref="X14:Z14" ca="1" si="54">W14</f>
        <v>19.02129756537984</v>
      </c>
      <c r="Y14">
        <f t="shared" ca="1" si="54"/>
        <v>19.02129756537984</v>
      </c>
      <c r="Z14">
        <f t="shared" ca="1" si="54"/>
        <v>19.02129756537984</v>
      </c>
      <c r="AA14">
        <f t="shared" ca="1" si="12"/>
        <v>17.054065027124743</v>
      </c>
      <c r="AB14">
        <f t="shared" ca="1" si="13"/>
        <v>17.054065027124743</v>
      </c>
      <c r="AC14">
        <f t="shared" ca="1" si="14"/>
        <v>15.726013676822737</v>
      </c>
      <c r="AD14">
        <f t="shared" ca="1" si="15"/>
        <v>15.726013676822737</v>
      </c>
      <c r="AE14">
        <f t="shared" ca="1" si="16"/>
        <v>14.294473850704446</v>
      </c>
      <c r="AF14">
        <f t="shared" ca="1" si="17"/>
        <v>14.294473850704446</v>
      </c>
      <c r="AH14">
        <f t="shared" si="18"/>
        <v>10.6</v>
      </c>
      <c r="AI14">
        <f t="shared" si="19"/>
        <v>11.4</v>
      </c>
      <c r="AJ14">
        <f t="shared" si="38"/>
        <v>11</v>
      </c>
      <c r="AK14">
        <f t="shared" si="20"/>
        <v>11</v>
      </c>
      <c r="AL14">
        <f t="shared" si="21"/>
        <v>10.6</v>
      </c>
      <c r="AM14">
        <f t="shared" si="22"/>
        <v>10.6</v>
      </c>
      <c r="AN14">
        <f t="shared" si="23"/>
        <v>11.4</v>
      </c>
      <c r="AO14">
        <f t="shared" si="24"/>
        <v>11.4</v>
      </c>
      <c r="AP14">
        <f t="shared" si="25"/>
        <v>11</v>
      </c>
      <c r="AQ14">
        <f t="shared" si="26"/>
        <v>11</v>
      </c>
      <c r="AR14">
        <f t="shared" si="27"/>
        <v>10.6</v>
      </c>
      <c r="AS14">
        <f t="shared" si="28"/>
        <v>11.4</v>
      </c>
      <c r="AT14">
        <f t="shared" si="29"/>
        <v>11</v>
      </c>
      <c r="AU14">
        <f t="shared" si="30"/>
        <v>11</v>
      </c>
      <c r="AV14">
        <f t="shared" si="31"/>
        <v>10.6</v>
      </c>
      <c r="AW14">
        <f t="shared" si="32"/>
        <v>10.6</v>
      </c>
      <c r="AX14">
        <f t="shared" si="33"/>
        <v>11.4</v>
      </c>
      <c r="AY14">
        <f t="shared" si="34"/>
        <v>11.4</v>
      </c>
      <c r="AZ14">
        <f t="shared" si="35"/>
        <v>11</v>
      </c>
    </row>
    <row r="15" spans="1:52" x14ac:dyDescent="0.25">
      <c r="A15">
        <v>12</v>
      </c>
      <c r="C15">
        <f ca="1">MIN(Dados!C14:AZ14)</f>
        <v>16.686897221317956</v>
      </c>
      <c r="D15">
        <f t="array" aca="1" ref="D15" ca="1">MAX(MAX(IF(Dados!C14:AZ14&lt;(E15-1.5*L15),Dados!C14:AZ14,-10000)),C15)</f>
        <v>16.686897221317956</v>
      </c>
      <c r="E15">
        <f ca="1">QUARTILE(Dados!C14:AZ14,1)</f>
        <v>18.473224860666761</v>
      </c>
      <c r="F15">
        <f ca="1">MEDIAN(Dados!C14:AZ14)</f>
        <v>20.408389093915581</v>
      </c>
      <c r="G15">
        <f ca="1">QUARTILE(Dados!C14:AZ14,3)</f>
        <v>21.893483371945621</v>
      </c>
      <c r="H15">
        <f t="array" aca="1" ref="H15" ca="1">MIN(MIN(IF(Dados!C14:AZ14&gt;(G15+1.5*L15),Dados!C14:AZ14,10000)),I15)</f>
        <v>25.538437000232069</v>
      </c>
      <c r="I15">
        <f ca="1">MAX(Dados!C14:AZ14)</f>
        <v>25.538437000232069</v>
      </c>
      <c r="K15">
        <f t="shared" ca="1" si="0"/>
        <v>27.02387113886391</v>
      </c>
      <c r="L15">
        <f t="shared" ca="1" si="1"/>
        <v>3.4202585112788597</v>
      </c>
      <c r="N15">
        <f t="shared" ca="1" si="2"/>
        <v>16.686897221317956</v>
      </c>
      <c r="O15">
        <f t="shared" ref="O15:P15" ca="1" si="55">N15</f>
        <v>16.686897221317956</v>
      </c>
      <c r="P15">
        <f t="shared" ca="1" si="55"/>
        <v>16.686897221317956</v>
      </c>
      <c r="Q15">
        <f t="shared" ca="1" si="4"/>
        <v>18.473224860666761</v>
      </c>
      <c r="R15">
        <f t="shared" ca="1" si="5"/>
        <v>18.473224860666761</v>
      </c>
      <c r="S15">
        <f t="shared" ca="1" si="6"/>
        <v>20.408389093915581</v>
      </c>
      <c r="T15">
        <f t="shared" ca="1" si="7"/>
        <v>20.408389093915581</v>
      </c>
      <c r="U15">
        <f t="shared" ca="1" si="8"/>
        <v>21.893483371945621</v>
      </c>
      <c r="V15">
        <f t="shared" ca="1" si="9"/>
        <v>21.893483371945621</v>
      </c>
      <c r="W15">
        <f t="shared" ca="1" si="10"/>
        <v>25.538437000232069</v>
      </c>
      <c r="X15">
        <f t="shared" ref="X15:Z15" ca="1" si="56">W15</f>
        <v>25.538437000232069</v>
      </c>
      <c r="Y15">
        <f t="shared" ca="1" si="56"/>
        <v>25.538437000232069</v>
      </c>
      <c r="Z15">
        <f t="shared" ca="1" si="56"/>
        <v>25.538437000232069</v>
      </c>
      <c r="AA15">
        <f t="shared" ca="1" si="12"/>
        <v>21.893483371945621</v>
      </c>
      <c r="AB15">
        <f t="shared" ca="1" si="13"/>
        <v>21.893483371945621</v>
      </c>
      <c r="AC15">
        <f t="shared" ca="1" si="14"/>
        <v>20.408389093915581</v>
      </c>
      <c r="AD15">
        <f t="shared" ca="1" si="15"/>
        <v>20.408389093915581</v>
      </c>
      <c r="AE15">
        <f t="shared" ca="1" si="16"/>
        <v>18.473224860666761</v>
      </c>
      <c r="AF15">
        <f t="shared" ca="1" si="17"/>
        <v>18.473224860666761</v>
      </c>
      <c r="AH15">
        <f t="shared" si="18"/>
        <v>11.6</v>
      </c>
      <c r="AI15">
        <f t="shared" si="19"/>
        <v>12.4</v>
      </c>
      <c r="AJ15">
        <f t="shared" si="38"/>
        <v>12</v>
      </c>
      <c r="AK15">
        <f t="shared" si="20"/>
        <v>12</v>
      </c>
      <c r="AL15">
        <f t="shared" si="21"/>
        <v>11.6</v>
      </c>
      <c r="AM15">
        <f t="shared" si="22"/>
        <v>11.6</v>
      </c>
      <c r="AN15">
        <f t="shared" si="23"/>
        <v>12.4</v>
      </c>
      <c r="AO15">
        <f t="shared" si="24"/>
        <v>12.4</v>
      </c>
      <c r="AP15">
        <f t="shared" si="25"/>
        <v>12</v>
      </c>
      <c r="AQ15">
        <f t="shared" si="26"/>
        <v>12</v>
      </c>
      <c r="AR15">
        <f t="shared" si="27"/>
        <v>11.6</v>
      </c>
      <c r="AS15">
        <f t="shared" si="28"/>
        <v>12.4</v>
      </c>
      <c r="AT15">
        <f t="shared" si="29"/>
        <v>12</v>
      </c>
      <c r="AU15">
        <f t="shared" si="30"/>
        <v>12</v>
      </c>
      <c r="AV15">
        <f t="shared" si="31"/>
        <v>11.6</v>
      </c>
      <c r="AW15">
        <f t="shared" si="32"/>
        <v>11.6</v>
      </c>
      <c r="AX15">
        <f t="shared" si="33"/>
        <v>12.4</v>
      </c>
      <c r="AY15">
        <f t="shared" si="34"/>
        <v>12.4</v>
      </c>
      <c r="AZ15">
        <f t="shared" si="35"/>
        <v>12</v>
      </c>
    </row>
    <row r="16" spans="1:52" x14ac:dyDescent="0.25">
      <c r="A16">
        <v>13</v>
      </c>
      <c r="C16">
        <f ca="1">MIN(Dados!C15:AZ15)</f>
        <v>21.299433901916096</v>
      </c>
      <c r="D16">
        <f t="array" aca="1" ref="D16" ca="1">MAX(MAX(IF(Dados!C15:AZ15&lt;(E16-1.5*L16),Dados!C15:AZ15,-10000)),C16)</f>
        <v>21.299433901916096</v>
      </c>
      <c r="E16">
        <f ca="1">QUARTILE(Dados!C15:AZ15,1)</f>
        <v>23.880240486911603</v>
      </c>
      <c r="F16">
        <f ca="1">MEDIAN(Dados!C15:AZ15)</f>
        <v>26.213178425253123</v>
      </c>
      <c r="G16">
        <f ca="1">QUARTILE(Dados!C15:AZ15,3)</f>
        <v>28.41173566450427</v>
      </c>
      <c r="H16">
        <f t="array" aca="1" ref="H16" ca="1">MIN(MIN(IF(Dados!C15:AZ15&gt;(G16+1.5*L16),Dados!C15:AZ15,10000)),I16)</f>
        <v>33.480216811849857</v>
      </c>
      <c r="I16">
        <f ca="1">MAX(Dados!C15:AZ15)</f>
        <v>33.480216811849857</v>
      </c>
      <c r="K16">
        <f t="shared" ca="1" si="0"/>
        <v>35.208978430893268</v>
      </c>
      <c r="L16">
        <f t="shared" ca="1" si="1"/>
        <v>4.5314951775926673</v>
      </c>
      <c r="N16">
        <f t="shared" ca="1" si="2"/>
        <v>21.299433901916096</v>
      </c>
      <c r="O16">
        <f t="shared" ref="O16:P16" ca="1" si="57">N16</f>
        <v>21.299433901916096</v>
      </c>
      <c r="P16">
        <f t="shared" ca="1" si="57"/>
        <v>21.299433901916096</v>
      </c>
      <c r="Q16">
        <f t="shared" ca="1" si="4"/>
        <v>23.880240486911603</v>
      </c>
      <c r="R16">
        <f t="shared" ca="1" si="5"/>
        <v>23.880240486911603</v>
      </c>
      <c r="S16">
        <f t="shared" ca="1" si="6"/>
        <v>26.213178425253123</v>
      </c>
      <c r="T16">
        <f t="shared" ca="1" si="7"/>
        <v>26.213178425253123</v>
      </c>
      <c r="U16">
        <f t="shared" ca="1" si="8"/>
        <v>28.41173566450427</v>
      </c>
      <c r="V16">
        <f t="shared" ca="1" si="9"/>
        <v>28.41173566450427</v>
      </c>
      <c r="W16">
        <f t="shared" ca="1" si="10"/>
        <v>33.480216811849857</v>
      </c>
      <c r="X16">
        <f t="shared" ref="X16:Z16" ca="1" si="58">W16</f>
        <v>33.480216811849857</v>
      </c>
      <c r="Y16">
        <f t="shared" ca="1" si="58"/>
        <v>33.480216811849857</v>
      </c>
      <c r="Z16">
        <f t="shared" ca="1" si="58"/>
        <v>33.480216811849857</v>
      </c>
      <c r="AA16">
        <f t="shared" ca="1" si="12"/>
        <v>28.41173566450427</v>
      </c>
      <c r="AB16">
        <f t="shared" ca="1" si="13"/>
        <v>28.41173566450427</v>
      </c>
      <c r="AC16">
        <f t="shared" ca="1" si="14"/>
        <v>26.213178425253123</v>
      </c>
      <c r="AD16">
        <f t="shared" ca="1" si="15"/>
        <v>26.213178425253123</v>
      </c>
      <c r="AE16">
        <f t="shared" ca="1" si="16"/>
        <v>23.880240486911603</v>
      </c>
      <c r="AF16">
        <f t="shared" ca="1" si="17"/>
        <v>23.880240486911603</v>
      </c>
      <c r="AH16">
        <f t="shared" si="18"/>
        <v>12.6</v>
      </c>
      <c r="AI16">
        <f t="shared" si="19"/>
        <v>13.4</v>
      </c>
      <c r="AJ16">
        <f t="shared" si="38"/>
        <v>13</v>
      </c>
      <c r="AK16">
        <f t="shared" si="20"/>
        <v>13</v>
      </c>
      <c r="AL16">
        <f t="shared" si="21"/>
        <v>12.6</v>
      </c>
      <c r="AM16">
        <f t="shared" si="22"/>
        <v>12.6</v>
      </c>
      <c r="AN16">
        <f t="shared" si="23"/>
        <v>13.4</v>
      </c>
      <c r="AO16">
        <f t="shared" si="24"/>
        <v>13.4</v>
      </c>
      <c r="AP16">
        <f t="shared" si="25"/>
        <v>13</v>
      </c>
      <c r="AQ16">
        <f t="shared" si="26"/>
        <v>13</v>
      </c>
      <c r="AR16">
        <f t="shared" si="27"/>
        <v>12.6</v>
      </c>
      <c r="AS16">
        <f t="shared" si="28"/>
        <v>13.4</v>
      </c>
      <c r="AT16">
        <f t="shared" si="29"/>
        <v>13</v>
      </c>
      <c r="AU16">
        <f t="shared" si="30"/>
        <v>13</v>
      </c>
      <c r="AV16">
        <f t="shared" si="31"/>
        <v>12.6</v>
      </c>
      <c r="AW16">
        <f t="shared" si="32"/>
        <v>12.6</v>
      </c>
      <c r="AX16">
        <f t="shared" si="33"/>
        <v>13.4</v>
      </c>
      <c r="AY16">
        <f t="shared" si="34"/>
        <v>13.4</v>
      </c>
      <c r="AZ16">
        <f t="shared" si="35"/>
        <v>13</v>
      </c>
    </row>
    <row r="17" spans="1:52" x14ac:dyDescent="0.25">
      <c r="A17">
        <v>14</v>
      </c>
      <c r="C17">
        <f ca="1">MIN(Dados!C16:AZ16)</f>
        <v>27.460290159725037</v>
      </c>
      <c r="D17">
        <f t="array" aca="1" ref="D17" ca="1">MAX(MAX(IF(Dados!C16:AZ16&lt;(E17-1.5*L17),Dados!C16:AZ16,-10000)),C17)</f>
        <v>27.460290159725037</v>
      </c>
      <c r="E17">
        <f ca="1">QUARTILE(Dados!C16:AZ16,1)</f>
        <v>30.262731405940471</v>
      </c>
      <c r="F17">
        <f ca="1">MEDIAN(Dados!C16:AZ16)</f>
        <v>33.155273147066112</v>
      </c>
      <c r="G17">
        <f ca="1">QUARTILE(Dados!C16:AZ16,3)</f>
        <v>36.488315574672868</v>
      </c>
      <c r="H17">
        <f t="array" aca="1" ref="H17" ca="1">MIN(MIN(IF(Dados!C16:AZ16&gt;(G17+1.5*L17),Dados!C16:AZ16,10000)),I17)</f>
        <v>41.692394765506251</v>
      </c>
      <c r="I17">
        <f ca="1">MAX(Dados!C16:AZ16)</f>
        <v>41.692394765506251</v>
      </c>
      <c r="K17">
        <f t="shared" ca="1" si="0"/>
        <v>45.826691827771462</v>
      </c>
      <c r="L17">
        <f t="shared" ca="1" si="1"/>
        <v>6.2255841687323965</v>
      </c>
      <c r="N17">
        <f t="shared" ca="1" si="2"/>
        <v>27.460290159725037</v>
      </c>
      <c r="O17">
        <f t="shared" ref="O17:P17" ca="1" si="59">N17</f>
        <v>27.460290159725037</v>
      </c>
      <c r="P17">
        <f t="shared" ca="1" si="59"/>
        <v>27.460290159725037</v>
      </c>
      <c r="Q17">
        <f t="shared" ca="1" si="4"/>
        <v>30.262731405940471</v>
      </c>
      <c r="R17">
        <f t="shared" ca="1" si="5"/>
        <v>30.262731405940471</v>
      </c>
      <c r="S17">
        <f t="shared" ca="1" si="6"/>
        <v>33.155273147066112</v>
      </c>
      <c r="T17">
        <f t="shared" ca="1" si="7"/>
        <v>33.155273147066112</v>
      </c>
      <c r="U17">
        <f t="shared" ca="1" si="8"/>
        <v>36.488315574672868</v>
      </c>
      <c r="V17">
        <f t="shared" ca="1" si="9"/>
        <v>36.488315574672868</v>
      </c>
      <c r="W17">
        <f t="shared" ca="1" si="10"/>
        <v>41.692394765506251</v>
      </c>
      <c r="X17">
        <f t="shared" ref="X17:Z17" ca="1" si="60">W17</f>
        <v>41.692394765506251</v>
      </c>
      <c r="Y17">
        <f t="shared" ca="1" si="60"/>
        <v>41.692394765506251</v>
      </c>
      <c r="Z17">
        <f t="shared" ca="1" si="60"/>
        <v>41.692394765506251</v>
      </c>
      <c r="AA17">
        <f t="shared" ca="1" si="12"/>
        <v>36.488315574672868</v>
      </c>
      <c r="AB17">
        <f t="shared" ca="1" si="13"/>
        <v>36.488315574672868</v>
      </c>
      <c r="AC17">
        <f t="shared" ca="1" si="14"/>
        <v>33.155273147066112</v>
      </c>
      <c r="AD17">
        <f t="shared" ca="1" si="15"/>
        <v>33.155273147066112</v>
      </c>
      <c r="AE17">
        <f t="shared" ca="1" si="16"/>
        <v>30.262731405940471</v>
      </c>
      <c r="AF17">
        <f t="shared" ca="1" si="17"/>
        <v>30.262731405940471</v>
      </c>
      <c r="AH17">
        <f t="shared" si="18"/>
        <v>13.6</v>
      </c>
      <c r="AI17">
        <f t="shared" si="19"/>
        <v>14.4</v>
      </c>
      <c r="AJ17">
        <f t="shared" si="38"/>
        <v>14</v>
      </c>
      <c r="AK17">
        <f t="shared" si="20"/>
        <v>14</v>
      </c>
      <c r="AL17">
        <f t="shared" si="21"/>
        <v>13.6</v>
      </c>
      <c r="AM17">
        <f t="shared" si="22"/>
        <v>13.6</v>
      </c>
      <c r="AN17">
        <f t="shared" si="23"/>
        <v>14.4</v>
      </c>
      <c r="AO17">
        <f t="shared" si="24"/>
        <v>14.4</v>
      </c>
      <c r="AP17">
        <f t="shared" si="25"/>
        <v>14</v>
      </c>
      <c r="AQ17">
        <f t="shared" si="26"/>
        <v>14</v>
      </c>
      <c r="AR17">
        <f t="shared" si="27"/>
        <v>13.6</v>
      </c>
      <c r="AS17">
        <f t="shared" si="28"/>
        <v>14.4</v>
      </c>
      <c r="AT17">
        <f t="shared" si="29"/>
        <v>14</v>
      </c>
      <c r="AU17">
        <f t="shared" si="30"/>
        <v>14</v>
      </c>
      <c r="AV17">
        <f t="shared" si="31"/>
        <v>13.6</v>
      </c>
      <c r="AW17">
        <f t="shared" si="32"/>
        <v>13.6</v>
      </c>
      <c r="AX17">
        <f t="shared" si="33"/>
        <v>14.4</v>
      </c>
      <c r="AY17">
        <f t="shared" si="34"/>
        <v>14.4</v>
      </c>
      <c r="AZ17">
        <f t="shared" si="35"/>
        <v>14</v>
      </c>
    </row>
    <row r="18" spans="1:52" x14ac:dyDescent="0.25">
      <c r="A18">
        <v>15</v>
      </c>
      <c r="C18">
        <f ca="1">MIN(Dados!C17:AZ17)</f>
        <v>36.231233513749594</v>
      </c>
      <c r="D18">
        <f t="array" aca="1" ref="D18" ca="1">MAX(MAX(IF(Dados!C17:AZ17&lt;(E18-1.5*L18),Dados!C17:AZ17,-10000)),C18)</f>
        <v>36.231233513749594</v>
      </c>
      <c r="E18">
        <f ca="1">QUARTILE(Dados!C17:AZ17,1)</f>
        <v>39.754148581033839</v>
      </c>
      <c r="F18">
        <f ca="1">MEDIAN(Dados!C17:AZ17)</f>
        <v>43.491837108181372</v>
      </c>
      <c r="G18">
        <f ca="1">QUARTILE(Dados!C17:AZ17,3)</f>
        <v>47.352652238256788</v>
      </c>
      <c r="H18">
        <f t="array" aca="1" ref="H18" ca="1">MIN(MIN(IF(Dados!C17:AZ17&gt;(G18+1.5*L18),Dados!C17:AZ17,10000)),I18)</f>
        <v>52.874430956242371</v>
      </c>
      <c r="I18">
        <f ca="1">MAX(Dados!C17:AZ17)</f>
        <v>52.874430956242371</v>
      </c>
      <c r="K18">
        <f t="shared" ca="1" si="0"/>
        <v>58.750407724091211</v>
      </c>
      <c r="L18">
        <f t="shared" ca="1" si="1"/>
        <v>7.598503657222949</v>
      </c>
      <c r="N18">
        <f t="shared" ca="1" si="2"/>
        <v>36.231233513749594</v>
      </c>
      <c r="O18">
        <f t="shared" ref="O18:P18" ca="1" si="61">N18</f>
        <v>36.231233513749594</v>
      </c>
      <c r="P18">
        <f t="shared" ca="1" si="61"/>
        <v>36.231233513749594</v>
      </c>
      <c r="Q18">
        <f t="shared" ca="1" si="4"/>
        <v>39.754148581033839</v>
      </c>
      <c r="R18">
        <f t="shared" ca="1" si="5"/>
        <v>39.754148581033839</v>
      </c>
      <c r="S18">
        <f t="shared" ca="1" si="6"/>
        <v>43.491837108181372</v>
      </c>
      <c r="T18">
        <f t="shared" ca="1" si="7"/>
        <v>43.491837108181372</v>
      </c>
      <c r="U18">
        <f t="shared" ca="1" si="8"/>
        <v>47.352652238256788</v>
      </c>
      <c r="V18">
        <f t="shared" ca="1" si="9"/>
        <v>47.352652238256788</v>
      </c>
      <c r="W18">
        <f t="shared" ca="1" si="10"/>
        <v>52.874430956242371</v>
      </c>
      <c r="X18">
        <f t="shared" ref="X18:Z18" ca="1" si="62">W18</f>
        <v>52.874430956242371</v>
      </c>
      <c r="Y18">
        <f t="shared" ca="1" si="62"/>
        <v>52.874430956242371</v>
      </c>
      <c r="Z18">
        <f t="shared" ca="1" si="62"/>
        <v>52.874430956242371</v>
      </c>
      <c r="AA18">
        <f t="shared" ca="1" si="12"/>
        <v>47.352652238256788</v>
      </c>
      <c r="AB18">
        <f t="shared" ca="1" si="13"/>
        <v>47.352652238256788</v>
      </c>
      <c r="AC18">
        <f t="shared" ca="1" si="14"/>
        <v>43.491837108181372</v>
      </c>
      <c r="AD18">
        <f t="shared" ca="1" si="15"/>
        <v>43.491837108181372</v>
      </c>
      <c r="AE18">
        <f t="shared" ca="1" si="16"/>
        <v>39.754148581033839</v>
      </c>
      <c r="AF18">
        <f t="shared" ca="1" si="17"/>
        <v>39.754148581033839</v>
      </c>
      <c r="AH18">
        <f t="shared" si="18"/>
        <v>14.6</v>
      </c>
      <c r="AI18">
        <f t="shared" si="19"/>
        <v>15.4</v>
      </c>
      <c r="AJ18">
        <f t="shared" si="38"/>
        <v>15</v>
      </c>
      <c r="AK18">
        <f t="shared" si="20"/>
        <v>15</v>
      </c>
      <c r="AL18">
        <f t="shared" si="21"/>
        <v>14.6</v>
      </c>
      <c r="AM18">
        <f t="shared" si="22"/>
        <v>14.6</v>
      </c>
      <c r="AN18">
        <f t="shared" si="23"/>
        <v>15.4</v>
      </c>
      <c r="AO18">
        <f t="shared" si="24"/>
        <v>15.4</v>
      </c>
      <c r="AP18">
        <f t="shared" si="25"/>
        <v>15</v>
      </c>
      <c r="AQ18">
        <f t="shared" si="26"/>
        <v>15</v>
      </c>
      <c r="AR18">
        <f t="shared" si="27"/>
        <v>14.6</v>
      </c>
      <c r="AS18">
        <f t="shared" si="28"/>
        <v>15.4</v>
      </c>
      <c r="AT18">
        <f t="shared" si="29"/>
        <v>15</v>
      </c>
      <c r="AU18">
        <f t="shared" si="30"/>
        <v>15</v>
      </c>
      <c r="AV18">
        <f t="shared" si="31"/>
        <v>14.6</v>
      </c>
      <c r="AW18">
        <f t="shared" si="32"/>
        <v>14.6</v>
      </c>
      <c r="AX18">
        <f t="shared" si="33"/>
        <v>15.4</v>
      </c>
      <c r="AY18">
        <f t="shared" si="34"/>
        <v>15.4</v>
      </c>
      <c r="AZ18">
        <f t="shared" si="35"/>
        <v>15</v>
      </c>
    </row>
    <row r="19" spans="1:52" x14ac:dyDescent="0.25">
      <c r="A19">
        <v>16</v>
      </c>
      <c r="C19">
        <f ca="1">MIN(Dados!C18:AZ18)</f>
        <v>44.885285012762189</v>
      </c>
      <c r="D19">
        <f t="array" aca="1" ref="D19" ca="1">MAX(MAX(IF(Dados!C18:AZ18&lt;(E19-1.5*L19),Dados!C18:AZ18,-10000)),C19)</f>
        <v>44.885285012762189</v>
      </c>
      <c r="E19">
        <f ca="1">QUARTILE(Dados!C18:AZ18,1)</f>
        <v>50.973283449521979</v>
      </c>
      <c r="F19">
        <f ca="1">MEDIAN(Dados!C18:AZ18)</f>
        <v>54.68654749136978</v>
      </c>
      <c r="G19">
        <f ca="1">QUARTILE(Dados!C18:AZ18,3)</f>
        <v>60.542808100125221</v>
      </c>
      <c r="H19">
        <f t="array" aca="1" ref="H19" ca="1">MIN(MIN(IF(Dados!C18:AZ18&gt;(G19+1.5*L19),Dados!C18:AZ18,10000)),I19)</f>
        <v>66.051848842092525</v>
      </c>
      <c r="I19">
        <f ca="1">MAX(Dados!C18:AZ18)</f>
        <v>66.051848842092525</v>
      </c>
      <c r="K19">
        <f t="shared" ca="1" si="0"/>
        <v>74.897095076030084</v>
      </c>
      <c r="L19">
        <f t="shared" ca="1" si="1"/>
        <v>9.5695246506032419</v>
      </c>
      <c r="N19">
        <f t="shared" ca="1" si="2"/>
        <v>44.885285012762189</v>
      </c>
      <c r="O19">
        <f t="shared" ref="O19:P19" ca="1" si="63">N19</f>
        <v>44.885285012762189</v>
      </c>
      <c r="P19">
        <f t="shared" ca="1" si="63"/>
        <v>44.885285012762189</v>
      </c>
      <c r="Q19">
        <f t="shared" ca="1" si="4"/>
        <v>50.973283449521979</v>
      </c>
      <c r="R19">
        <f t="shared" ca="1" si="5"/>
        <v>50.973283449521979</v>
      </c>
      <c r="S19">
        <f t="shared" ca="1" si="6"/>
        <v>54.68654749136978</v>
      </c>
      <c r="T19">
        <f t="shared" ca="1" si="7"/>
        <v>54.68654749136978</v>
      </c>
      <c r="U19">
        <f t="shared" ca="1" si="8"/>
        <v>60.542808100125221</v>
      </c>
      <c r="V19">
        <f t="shared" ca="1" si="9"/>
        <v>60.542808100125221</v>
      </c>
      <c r="W19">
        <f t="shared" ca="1" si="10"/>
        <v>66.051848842092525</v>
      </c>
      <c r="X19">
        <f t="shared" ref="X19:Z19" ca="1" si="64">W19</f>
        <v>66.051848842092525</v>
      </c>
      <c r="Y19">
        <f t="shared" ca="1" si="64"/>
        <v>66.051848842092525</v>
      </c>
      <c r="Z19">
        <f t="shared" ca="1" si="64"/>
        <v>66.051848842092525</v>
      </c>
      <c r="AA19">
        <f t="shared" ca="1" si="12"/>
        <v>60.542808100125221</v>
      </c>
      <c r="AB19">
        <f t="shared" ca="1" si="13"/>
        <v>60.542808100125221</v>
      </c>
      <c r="AC19">
        <f t="shared" ca="1" si="14"/>
        <v>54.68654749136978</v>
      </c>
      <c r="AD19">
        <f t="shared" ca="1" si="15"/>
        <v>54.68654749136978</v>
      </c>
      <c r="AE19">
        <f t="shared" ca="1" si="16"/>
        <v>50.973283449521979</v>
      </c>
      <c r="AF19">
        <f t="shared" ca="1" si="17"/>
        <v>50.973283449521979</v>
      </c>
      <c r="AH19">
        <f t="shared" si="18"/>
        <v>15.6</v>
      </c>
      <c r="AI19">
        <f t="shared" si="19"/>
        <v>16.399999999999999</v>
      </c>
      <c r="AJ19">
        <f t="shared" si="38"/>
        <v>16</v>
      </c>
      <c r="AK19">
        <f t="shared" si="20"/>
        <v>16</v>
      </c>
      <c r="AL19">
        <f t="shared" si="21"/>
        <v>15.6</v>
      </c>
      <c r="AM19">
        <f t="shared" si="22"/>
        <v>15.6</v>
      </c>
      <c r="AN19">
        <f t="shared" si="23"/>
        <v>16.399999999999999</v>
      </c>
      <c r="AO19">
        <f t="shared" si="24"/>
        <v>16.399999999999999</v>
      </c>
      <c r="AP19">
        <f t="shared" si="25"/>
        <v>16</v>
      </c>
      <c r="AQ19">
        <f t="shared" si="26"/>
        <v>16</v>
      </c>
      <c r="AR19">
        <f t="shared" si="27"/>
        <v>15.6</v>
      </c>
      <c r="AS19">
        <f t="shared" si="28"/>
        <v>16.399999999999999</v>
      </c>
      <c r="AT19">
        <f t="shared" si="29"/>
        <v>16</v>
      </c>
      <c r="AU19">
        <f t="shared" si="30"/>
        <v>16</v>
      </c>
      <c r="AV19">
        <f t="shared" si="31"/>
        <v>15.6</v>
      </c>
      <c r="AW19">
        <f t="shared" si="32"/>
        <v>15.6</v>
      </c>
      <c r="AX19">
        <f t="shared" si="33"/>
        <v>16.399999999999999</v>
      </c>
      <c r="AY19">
        <f t="shared" si="34"/>
        <v>16.399999999999999</v>
      </c>
      <c r="AZ19">
        <f t="shared" si="35"/>
        <v>16</v>
      </c>
    </row>
    <row r="20" spans="1:52" x14ac:dyDescent="0.25">
      <c r="A20">
        <v>17</v>
      </c>
      <c r="C20">
        <f ca="1">MIN(Dados!C19:AZ19)</f>
        <v>56.266513180686502</v>
      </c>
      <c r="D20">
        <f t="array" aca="1" ref="D20" ca="1">MAX(MAX(IF(Dados!C19:AZ19&lt;(E20-1.5*L20),Dados!C19:AZ19,-10000)),C20)</f>
        <v>56.266513180686502</v>
      </c>
      <c r="E20">
        <f ca="1">QUARTILE(Dados!C19:AZ19,1)</f>
        <v>64.864397851823753</v>
      </c>
      <c r="F20">
        <f ca="1">MEDIAN(Dados!C19:AZ19)</f>
        <v>70.521297836349618</v>
      </c>
      <c r="G20">
        <f ca="1">QUARTILE(Dados!C19:AZ19,3)</f>
        <v>78.485683193277168</v>
      </c>
      <c r="H20">
        <f t="array" aca="1" ref="H20" ca="1">MIN(MIN(IF(Dados!C19:AZ19&gt;(G20+1.5*L20),Dados!C19:AZ19,10000)),I20)</f>
        <v>88.735326855267473</v>
      </c>
      <c r="I20">
        <f ca="1">MAX(Dados!C19:AZ19)</f>
        <v>88.735326855267473</v>
      </c>
      <c r="K20">
        <f t="shared" ca="1" si="0"/>
        <v>98.917611205457291</v>
      </c>
      <c r="L20">
        <f t="shared" ca="1" si="1"/>
        <v>13.621285341453415</v>
      </c>
      <c r="N20">
        <f t="shared" ca="1" si="2"/>
        <v>56.266513180686502</v>
      </c>
      <c r="O20">
        <f t="shared" ref="O20:P20" ca="1" si="65">N20</f>
        <v>56.266513180686502</v>
      </c>
      <c r="P20">
        <f t="shared" ca="1" si="65"/>
        <v>56.266513180686502</v>
      </c>
      <c r="Q20">
        <f t="shared" ca="1" si="4"/>
        <v>64.864397851823753</v>
      </c>
      <c r="R20">
        <f t="shared" ca="1" si="5"/>
        <v>64.864397851823753</v>
      </c>
      <c r="S20">
        <f t="shared" ca="1" si="6"/>
        <v>70.521297836349618</v>
      </c>
      <c r="T20">
        <f t="shared" ca="1" si="7"/>
        <v>70.521297836349618</v>
      </c>
      <c r="U20">
        <f t="shared" ca="1" si="8"/>
        <v>78.485683193277168</v>
      </c>
      <c r="V20">
        <f t="shared" ca="1" si="9"/>
        <v>78.485683193277168</v>
      </c>
      <c r="W20">
        <f t="shared" ca="1" si="10"/>
        <v>88.735326855267473</v>
      </c>
      <c r="X20">
        <f t="shared" ref="X20:Z20" ca="1" si="66">W20</f>
        <v>88.735326855267473</v>
      </c>
      <c r="Y20">
        <f t="shared" ca="1" si="66"/>
        <v>88.735326855267473</v>
      </c>
      <c r="Z20">
        <f t="shared" ca="1" si="66"/>
        <v>88.735326855267473</v>
      </c>
      <c r="AA20">
        <f t="shared" ca="1" si="12"/>
        <v>78.485683193277168</v>
      </c>
      <c r="AB20">
        <f t="shared" ca="1" si="13"/>
        <v>78.485683193277168</v>
      </c>
      <c r="AC20">
        <f t="shared" ca="1" si="14"/>
        <v>70.521297836349618</v>
      </c>
      <c r="AD20">
        <f t="shared" ca="1" si="15"/>
        <v>70.521297836349618</v>
      </c>
      <c r="AE20">
        <f t="shared" ca="1" si="16"/>
        <v>64.864397851823753</v>
      </c>
      <c r="AF20">
        <f t="shared" ca="1" si="17"/>
        <v>64.864397851823753</v>
      </c>
      <c r="AH20">
        <f t="shared" si="18"/>
        <v>16.600000000000001</v>
      </c>
      <c r="AI20">
        <f t="shared" si="19"/>
        <v>17.399999999999999</v>
      </c>
      <c r="AJ20">
        <f t="shared" si="38"/>
        <v>17</v>
      </c>
      <c r="AK20">
        <f t="shared" si="20"/>
        <v>17</v>
      </c>
      <c r="AL20">
        <f t="shared" si="21"/>
        <v>16.600000000000001</v>
      </c>
      <c r="AM20">
        <f t="shared" si="22"/>
        <v>16.600000000000001</v>
      </c>
      <c r="AN20">
        <f t="shared" si="23"/>
        <v>17.399999999999999</v>
      </c>
      <c r="AO20">
        <f t="shared" si="24"/>
        <v>17.399999999999999</v>
      </c>
      <c r="AP20">
        <f t="shared" si="25"/>
        <v>17</v>
      </c>
      <c r="AQ20">
        <f t="shared" si="26"/>
        <v>17</v>
      </c>
      <c r="AR20">
        <f t="shared" si="27"/>
        <v>16.600000000000001</v>
      </c>
      <c r="AS20">
        <f t="shared" si="28"/>
        <v>17.399999999999999</v>
      </c>
      <c r="AT20">
        <f t="shared" si="29"/>
        <v>17</v>
      </c>
      <c r="AU20">
        <f t="shared" si="30"/>
        <v>17</v>
      </c>
      <c r="AV20">
        <f t="shared" si="31"/>
        <v>16.600000000000001</v>
      </c>
      <c r="AW20">
        <f t="shared" si="32"/>
        <v>16.600000000000001</v>
      </c>
      <c r="AX20">
        <f t="shared" si="33"/>
        <v>17.399999999999999</v>
      </c>
      <c r="AY20">
        <f t="shared" si="34"/>
        <v>17.399999999999999</v>
      </c>
      <c r="AZ20">
        <f t="shared" si="35"/>
        <v>17</v>
      </c>
    </row>
    <row r="21" spans="1:52" x14ac:dyDescent="0.25">
      <c r="A21">
        <v>18</v>
      </c>
      <c r="C21">
        <f ca="1">MIN(Dados!C20:AZ20)</f>
        <v>73.33589519320735</v>
      </c>
      <c r="D21">
        <f t="array" aca="1" ref="D21" ca="1">MAX(MAX(IF(Dados!C20:AZ20&lt;(E21-1.5*L21),Dados!C20:AZ20,-10000)),C21)</f>
        <v>73.33589519320735</v>
      </c>
      <c r="E21">
        <f ca="1">QUARTILE(Dados!C20:AZ20,1)</f>
        <v>82.519662505676251</v>
      </c>
      <c r="F21">
        <f ca="1">MEDIAN(Dados!C20:AZ20)</f>
        <v>89.292929369151935</v>
      </c>
      <c r="G21">
        <f ca="1">QUARTILE(Dados!C20:AZ20,3)</f>
        <v>102.04868332886127</v>
      </c>
      <c r="H21">
        <f t="array" aca="1" ref="H21" ca="1">MIN(MIN(IF(Dados!C20:AZ20&gt;(G21+1.5*L21),Dados!C20:AZ20,10000)),I21)</f>
        <v>117.57152561268994</v>
      </c>
      <c r="I21">
        <f ca="1">MAX(Dados!C20:AZ20)</f>
        <v>117.57152561268994</v>
      </c>
      <c r="K21">
        <f t="shared" ca="1" si="0"/>
        <v>131.34221456363881</v>
      </c>
      <c r="L21">
        <f t="shared" ca="1" si="1"/>
        <v>19.529020823185022</v>
      </c>
      <c r="N21">
        <f t="shared" ca="1" si="2"/>
        <v>73.33589519320735</v>
      </c>
      <c r="O21">
        <f t="shared" ref="O21:P21" ca="1" si="67">N21</f>
        <v>73.33589519320735</v>
      </c>
      <c r="P21">
        <f t="shared" ca="1" si="67"/>
        <v>73.33589519320735</v>
      </c>
      <c r="Q21">
        <f t="shared" ca="1" si="4"/>
        <v>82.519662505676251</v>
      </c>
      <c r="R21">
        <f t="shared" ca="1" si="5"/>
        <v>82.519662505676251</v>
      </c>
      <c r="S21">
        <f t="shared" ca="1" si="6"/>
        <v>89.292929369151935</v>
      </c>
      <c r="T21">
        <f t="shared" ca="1" si="7"/>
        <v>89.292929369151935</v>
      </c>
      <c r="U21">
        <f t="shared" ca="1" si="8"/>
        <v>102.04868332886127</v>
      </c>
      <c r="V21">
        <f t="shared" ca="1" si="9"/>
        <v>102.04868332886127</v>
      </c>
      <c r="W21">
        <f t="shared" ca="1" si="10"/>
        <v>117.57152561268994</v>
      </c>
      <c r="X21">
        <f t="shared" ref="X21:Z21" ca="1" si="68">W21</f>
        <v>117.57152561268994</v>
      </c>
      <c r="Y21">
        <f t="shared" ca="1" si="68"/>
        <v>117.57152561268994</v>
      </c>
      <c r="Z21">
        <f t="shared" ca="1" si="68"/>
        <v>117.57152561268994</v>
      </c>
      <c r="AA21">
        <f t="shared" ca="1" si="12"/>
        <v>102.04868332886127</v>
      </c>
      <c r="AB21">
        <f t="shared" ca="1" si="13"/>
        <v>102.04868332886127</v>
      </c>
      <c r="AC21">
        <f t="shared" ca="1" si="14"/>
        <v>89.292929369151935</v>
      </c>
      <c r="AD21">
        <f t="shared" ca="1" si="15"/>
        <v>89.292929369151935</v>
      </c>
      <c r="AE21">
        <f t="shared" ca="1" si="16"/>
        <v>82.519662505676251</v>
      </c>
      <c r="AF21">
        <f t="shared" ca="1" si="17"/>
        <v>82.519662505676251</v>
      </c>
      <c r="AH21">
        <f t="shared" si="18"/>
        <v>17.600000000000001</v>
      </c>
      <c r="AI21">
        <f t="shared" si="19"/>
        <v>18.399999999999999</v>
      </c>
      <c r="AJ21">
        <f t="shared" si="38"/>
        <v>18</v>
      </c>
      <c r="AK21">
        <f t="shared" si="20"/>
        <v>18</v>
      </c>
      <c r="AL21">
        <f t="shared" si="21"/>
        <v>17.600000000000001</v>
      </c>
      <c r="AM21">
        <f t="shared" si="22"/>
        <v>17.600000000000001</v>
      </c>
      <c r="AN21">
        <f t="shared" si="23"/>
        <v>18.399999999999999</v>
      </c>
      <c r="AO21">
        <f t="shared" si="24"/>
        <v>18.399999999999999</v>
      </c>
      <c r="AP21">
        <f t="shared" si="25"/>
        <v>18</v>
      </c>
      <c r="AQ21">
        <f t="shared" si="26"/>
        <v>18</v>
      </c>
      <c r="AR21">
        <f t="shared" si="27"/>
        <v>17.600000000000001</v>
      </c>
      <c r="AS21">
        <f t="shared" si="28"/>
        <v>18.399999999999999</v>
      </c>
      <c r="AT21">
        <f t="shared" si="29"/>
        <v>18</v>
      </c>
      <c r="AU21">
        <f t="shared" si="30"/>
        <v>18</v>
      </c>
      <c r="AV21">
        <f t="shared" si="31"/>
        <v>17.600000000000001</v>
      </c>
      <c r="AW21">
        <f t="shared" si="32"/>
        <v>17.600000000000001</v>
      </c>
      <c r="AX21">
        <f t="shared" si="33"/>
        <v>18.399999999999999</v>
      </c>
      <c r="AY21">
        <f t="shared" si="34"/>
        <v>18.399999999999999</v>
      </c>
      <c r="AZ21">
        <f t="shared" si="35"/>
        <v>18</v>
      </c>
    </row>
    <row r="22" spans="1:52" x14ac:dyDescent="0.25">
      <c r="A22">
        <v>19</v>
      </c>
      <c r="C22">
        <f ca="1">MIN(Dados!C21:AZ21)</f>
        <v>93.387328584188111</v>
      </c>
      <c r="D22">
        <f t="array" aca="1" ref="D22" ca="1">MAX(MAX(IF(Dados!C21:AZ21&lt;(E22-1.5*L22),Dados!C21:AZ21,-10000)),C22)</f>
        <v>93.387328584188111</v>
      </c>
      <c r="E22">
        <f ca="1">QUARTILE(Dados!C21:AZ21,1)</f>
        <v>103.85972229020479</v>
      </c>
      <c r="F22">
        <f ca="1">MEDIAN(Dados!C21:AZ21)</f>
        <v>113.4157843750621</v>
      </c>
      <c r="G22">
        <f ca="1">QUARTILE(Dados!C21:AZ21,3)</f>
        <v>131.65268288293052</v>
      </c>
      <c r="H22">
        <f t="array" aca="1" ref="H22" ca="1">MIN(MIN(IF(Dados!C21:AZ21&gt;(G22+1.5*L22),Dados!C21:AZ21,10000)),I22)</f>
        <v>151.25047821438864</v>
      </c>
      <c r="I22">
        <f ca="1">MAX(Dados!C21:AZ21)</f>
        <v>151.25047821438864</v>
      </c>
      <c r="K22">
        <f t="shared" ca="1" si="0"/>
        <v>173.34212377201914</v>
      </c>
      <c r="L22">
        <f t="shared" ca="1" si="1"/>
        <v>27.792960592725734</v>
      </c>
      <c r="N22">
        <f t="shared" ca="1" si="2"/>
        <v>93.387328584188111</v>
      </c>
      <c r="O22">
        <f t="shared" ref="O22:P22" ca="1" si="69">N22</f>
        <v>93.387328584188111</v>
      </c>
      <c r="P22">
        <f t="shared" ca="1" si="69"/>
        <v>93.387328584188111</v>
      </c>
      <c r="Q22">
        <f t="shared" ca="1" si="4"/>
        <v>103.85972229020479</v>
      </c>
      <c r="R22">
        <f t="shared" ca="1" si="5"/>
        <v>103.85972229020479</v>
      </c>
      <c r="S22">
        <f t="shared" ca="1" si="6"/>
        <v>113.4157843750621</v>
      </c>
      <c r="T22">
        <f t="shared" ca="1" si="7"/>
        <v>113.4157843750621</v>
      </c>
      <c r="U22">
        <f t="shared" ca="1" si="8"/>
        <v>131.65268288293052</v>
      </c>
      <c r="V22">
        <f t="shared" ca="1" si="9"/>
        <v>131.65268288293052</v>
      </c>
      <c r="W22">
        <f t="shared" ca="1" si="10"/>
        <v>151.25047821438864</v>
      </c>
      <c r="X22">
        <f t="shared" ref="X22:Z22" ca="1" si="70">W22</f>
        <v>151.25047821438864</v>
      </c>
      <c r="Y22">
        <f t="shared" ca="1" si="70"/>
        <v>151.25047821438864</v>
      </c>
      <c r="Z22">
        <f t="shared" ca="1" si="70"/>
        <v>151.25047821438864</v>
      </c>
      <c r="AA22">
        <f t="shared" ca="1" si="12"/>
        <v>131.65268288293052</v>
      </c>
      <c r="AB22">
        <f t="shared" ca="1" si="13"/>
        <v>131.65268288293052</v>
      </c>
      <c r="AC22">
        <f t="shared" ca="1" si="14"/>
        <v>113.4157843750621</v>
      </c>
      <c r="AD22">
        <f t="shared" ca="1" si="15"/>
        <v>113.4157843750621</v>
      </c>
      <c r="AE22">
        <f t="shared" ca="1" si="16"/>
        <v>103.85972229020479</v>
      </c>
      <c r="AF22">
        <f t="shared" ca="1" si="17"/>
        <v>103.85972229020479</v>
      </c>
      <c r="AH22">
        <f t="shared" si="18"/>
        <v>18.600000000000001</v>
      </c>
      <c r="AI22">
        <f t="shared" si="19"/>
        <v>19.399999999999999</v>
      </c>
      <c r="AJ22">
        <f t="shared" si="38"/>
        <v>19</v>
      </c>
      <c r="AK22">
        <f t="shared" si="20"/>
        <v>19</v>
      </c>
      <c r="AL22">
        <f t="shared" si="21"/>
        <v>18.600000000000001</v>
      </c>
      <c r="AM22">
        <f t="shared" si="22"/>
        <v>18.600000000000001</v>
      </c>
      <c r="AN22">
        <f t="shared" si="23"/>
        <v>19.399999999999999</v>
      </c>
      <c r="AO22">
        <f t="shared" si="24"/>
        <v>19.399999999999999</v>
      </c>
      <c r="AP22">
        <f t="shared" si="25"/>
        <v>19</v>
      </c>
      <c r="AQ22">
        <f t="shared" si="26"/>
        <v>19</v>
      </c>
      <c r="AR22">
        <f t="shared" si="27"/>
        <v>18.600000000000001</v>
      </c>
      <c r="AS22">
        <f t="shared" si="28"/>
        <v>19.399999999999999</v>
      </c>
      <c r="AT22">
        <f t="shared" si="29"/>
        <v>19</v>
      </c>
      <c r="AU22">
        <f t="shared" si="30"/>
        <v>19</v>
      </c>
      <c r="AV22">
        <f t="shared" si="31"/>
        <v>18.600000000000001</v>
      </c>
      <c r="AW22">
        <f t="shared" si="32"/>
        <v>18.600000000000001</v>
      </c>
      <c r="AX22">
        <f t="shared" si="33"/>
        <v>19.399999999999999</v>
      </c>
      <c r="AY22">
        <f t="shared" si="34"/>
        <v>19.399999999999999</v>
      </c>
      <c r="AZ22">
        <f t="shared" si="35"/>
        <v>19</v>
      </c>
    </row>
    <row r="23" spans="1:52" x14ac:dyDescent="0.25">
      <c r="A23">
        <v>20</v>
      </c>
      <c r="C23">
        <f ca="1">MIN(Dados!C22:AZ22)</f>
        <v>119.98254581410278</v>
      </c>
      <c r="D23">
        <f t="array" aca="1" ref="D23" ca="1">MAX(MAX(IF(Dados!C22:AZ22&lt;(E23-1.5*L23),Dados!C22:AZ22,-10000)),C23)</f>
        <v>119.98254581410278</v>
      </c>
      <c r="E23">
        <f ca="1">QUARTILE(Dados!C22:AZ22,1)</f>
        <v>134.51417636983672</v>
      </c>
      <c r="F23">
        <f ca="1">MEDIAN(Dados!C22:AZ22)</f>
        <v>149.57585981481822</v>
      </c>
      <c r="G23">
        <f ca="1">QUARTILE(Dados!C22:AZ22,3)</f>
        <v>168.64471112077445</v>
      </c>
      <c r="H23">
        <f t="array" aca="1" ref="H23" ca="1">MIN(MIN(IF(Dados!C22:AZ22&gt;(G23+1.5*L23),Dados!C22:AZ22,10000)),I23)</f>
        <v>192.05138522195449</v>
      </c>
      <c r="I23">
        <f ca="1">MAX(Dados!C22:AZ22)</f>
        <v>192.05138522195449</v>
      </c>
      <c r="K23">
        <f t="shared" ca="1" si="0"/>
        <v>219.84051324718104</v>
      </c>
      <c r="L23">
        <f t="shared" ca="1" si="1"/>
        <v>34.130534750937727</v>
      </c>
      <c r="N23">
        <f t="shared" ca="1" si="2"/>
        <v>119.98254581410278</v>
      </c>
      <c r="O23">
        <f t="shared" ref="O23:P23" ca="1" si="71">N23</f>
        <v>119.98254581410278</v>
      </c>
      <c r="P23">
        <f t="shared" ca="1" si="71"/>
        <v>119.98254581410278</v>
      </c>
      <c r="Q23">
        <f t="shared" ca="1" si="4"/>
        <v>134.51417636983672</v>
      </c>
      <c r="R23">
        <f t="shared" ca="1" si="5"/>
        <v>134.51417636983672</v>
      </c>
      <c r="S23">
        <f t="shared" ca="1" si="6"/>
        <v>149.57585981481822</v>
      </c>
      <c r="T23">
        <f t="shared" ca="1" si="7"/>
        <v>149.57585981481822</v>
      </c>
      <c r="U23">
        <f t="shared" ca="1" si="8"/>
        <v>168.64471112077445</v>
      </c>
      <c r="V23">
        <f t="shared" ca="1" si="9"/>
        <v>168.64471112077445</v>
      </c>
      <c r="W23">
        <f t="shared" ca="1" si="10"/>
        <v>192.05138522195449</v>
      </c>
      <c r="X23">
        <f t="shared" ref="X23:Z23" ca="1" si="72">W23</f>
        <v>192.05138522195449</v>
      </c>
      <c r="Y23">
        <f t="shared" ca="1" si="72"/>
        <v>192.05138522195449</v>
      </c>
      <c r="Z23">
        <f t="shared" ca="1" si="72"/>
        <v>192.05138522195449</v>
      </c>
      <c r="AA23">
        <f t="shared" ca="1" si="12"/>
        <v>168.64471112077445</v>
      </c>
      <c r="AB23">
        <f t="shared" ca="1" si="13"/>
        <v>168.64471112077445</v>
      </c>
      <c r="AC23">
        <f t="shared" ca="1" si="14"/>
        <v>149.57585981481822</v>
      </c>
      <c r="AD23">
        <f t="shared" ca="1" si="15"/>
        <v>149.57585981481822</v>
      </c>
      <c r="AE23">
        <f t="shared" ca="1" si="16"/>
        <v>134.51417636983672</v>
      </c>
      <c r="AF23">
        <f t="shared" ca="1" si="17"/>
        <v>134.51417636983672</v>
      </c>
      <c r="AH23">
        <f t="shared" si="18"/>
        <v>19.600000000000001</v>
      </c>
      <c r="AI23">
        <f t="shared" si="19"/>
        <v>20.399999999999999</v>
      </c>
      <c r="AJ23">
        <f t="shared" si="38"/>
        <v>20</v>
      </c>
      <c r="AK23">
        <f t="shared" si="20"/>
        <v>20</v>
      </c>
      <c r="AL23">
        <f t="shared" si="21"/>
        <v>19.600000000000001</v>
      </c>
      <c r="AM23">
        <f t="shared" si="22"/>
        <v>19.600000000000001</v>
      </c>
      <c r="AN23">
        <f t="shared" si="23"/>
        <v>20.399999999999999</v>
      </c>
      <c r="AO23">
        <f t="shared" si="24"/>
        <v>20.399999999999999</v>
      </c>
      <c r="AP23">
        <f t="shared" si="25"/>
        <v>20</v>
      </c>
      <c r="AQ23">
        <f t="shared" si="26"/>
        <v>20</v>
      </c>
      <c r="AR23">
        <f t="shared" si="27"/>
        <v>19.600000000000001</v>
      </c>
      <c r="AS23">
        <f t="shared" si="28"/>
        <v>20.399999999999999</v>
      </c>
      <c r="AT23">
        <f t="shared" si="29"/>
        <v>20</v>
      </c>
      <c r="AU23">
        <f t="shared" si="30"/>
        <v>20</v>
      </c>
      <c r="AV23">
        <f t="shared" si="31"/>
        <v>19.600000000000001</v>
      </c>
      <c r="AW23">
        <f t="shared" si="32"/>
        <v>19.600000000000001</v>
      </c>
      <c r="AX23">
        <f t="shared" si="33"/>
        <v>20.399999999999999</v>
      </c>
      <c r="AY23">
        <f t="shared" si="34"/>
        <v>20.399999999999999</v>
      </c>
      <c r="AZ23">
        <f t="shared" si="35"/>
        <v>20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2024-05-29T14:49:42Z</dcterms:created>
  <dcterms:modified xsi:type="dcterms:W3CDTF">2026-05-19T15:39:12Z</dcterms:modified>
</cp:coreProperties>
</file>