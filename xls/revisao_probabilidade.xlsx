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eac9aab033b2f962/Documentos/estatistica2026/xls/"/>
    </mc:Choice>
  </mc:AlternateContent>
  <xr:revisionPtr revIDLastSave="3" documentId="11_0744248A96CE579F7469644CC809FDF631B92862" xr6:coauthVersionLast="47" xr6:coauthVersionMax="47" xr10:uidLastSave="{AE706BD2-B28B-4FE1-B807-1F554293D00B}"/>
  <bookViews>
    <workbookView xWindow="28680" yWindow="-120" windowWidth="29040" windowHeight="15840" xr2:uid="{00000000-000D-0000-FFFF-FFFF00000000}"/>
  </bookViews>
  <sheets>
    <sheet name="exemplo1" sheetId="1" r:id="rId1"/>
    <sheet name="exemplo2" sheetId="2" r:id="rId2"/>
  </sheets>
  <definedNames>
    <definedName name="mc_dependents" localSheetId="1">exemplo2!$K$13</definedName>
    <definedName name="mc_output" localSheetId="1">exemplo2!$P$1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G14" i="2"/>
  <c r="H14" i="2"/>
  <c r="G15" i="2"/>
  <c r="H15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G13" i="2"/>
  <c r="M18" i="2" s="1"/>
  <c r="A2" i="1"/>
  <c r="R5" i="2"/>
  <c r="R2" i="2"/>
  <c r="H13" i="2"/>
  <c r="J20" i="2" l="1"/>
  <c r="N16" i="2"/>
  <c r="N22" i="2"/>
  <c r="J13" i="2"/>
  <c r="N14" i="2"/>
  <c r="I16" i="2"/>
  <c r="M15" i="2"/>
  <c r="N20" i="2"/>
  <c r="N17" i="2"/>
  <c r="N21" i="2"/>
  <c r="N15" i="2"/>
  <c r="N13" i="2"/>
  <c r="M22" i="2"/>
  <c r="M21" i="2"/>
  <c r="M20" i="2"/>
  <c r="I18" i="2"/>
  <c r="J19" i="2"/>
  <c r="J14" i="2"/>
  <c r="M17" i="2"/>
  <c r="J15" i="2"/>
  <c r="N18" i="2"/>
  <c r="O18" i="2" s="1"/>
  <c r="I20" i="2"/>
  <c r="I19" i="2"/>
  <c r="M14" i="2"/>
  <c r="N19" i="2"/>
  <c r="I22" i="2"/>
  <c r="I17" i="2"/>
  <c r="J16" i="2"/>
  <c r="I14" i="2"/>
  <c r="I21" i="2"/>
  <c r="I15" i="2"/>
  <c r="J22" i="2"/>
  <c r="J17" i="2"/>
  <c r="J18" i="2"/>
  <c r="M13" i="2"/>
  <c r="M16" i="2"/>
  <c r="D7" i="1"/>
  <c r="D6" i="1"/>
  <c r="J21" i="2"/>
  <c r="D2" i="1"/>
  <c r="D3" i="1"/>
  <c r="D4" i="1"/>
  <c r="M19" i="2"/>
  <c r="I13" i="2"/>
  <c r="D5" i="1"/>
  <c r="K20" i="2" l="1"/>
  <c r="O15" i="2"/>
  <c r="O16" i="2"/>
  <c r="K16" i="2"/>
  <c r="O20" i="2"/>
  <c r="O22" i="2"/>
  <c r="K18" i="2"/>
  <c r="O21" i="2"/>
  <c r="O17" i="2"/>
  <c r="O14" i="2"/>
  <c r="K13" i="2"/>
  <c r="O13" i="2"/>
  <c r="K19" i="2"/>
  <c r="K15" i="2"/>
  <c r="K14" i="2"/>
  <c r="O19" i="2"/>
  <c r="K21" i="2"/>
  <c r="K17" i="2"/>
  <c r="K22" i="2"/>
  <c r="D8" i="1"/>
  <c r="P5" i="2" l="1"/>
  <c r="P2" i="2"/>
  <c r="E6" i="1"/>
  <c r="E7" i="1"/>
  <c r="E5" i="1"/>
  <c r="E4" i="1"/>
  <c r="E2" i="1"/>
  <c r="E3" i="1"/>
  <c r="E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camilo</author>
  </authors>
  <commentList>
    <comment ref="K13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camilo:</t>
        </r>
        <r>
          <rPr>
            <sz val="9"/>
            <color indexed="81"/>
            <rFont val="Tahoma"/>
            <family val="2"/>
          </rPr>
          <t xml:space="preserve">
(1 = mesma cor; 0 = cores diferentes)</t>
        </r>
      </text>
    </comment>
  </commentList>
</comments>
</file>

<file path=xl/sharedStrings.xml><?xml version="1.0" encoding="utf-8"?>
<sst xmlns="http://schemas.openxmlformats.org/spreadsheetml/2006/main" count="29" uniqueCount="17">
  <si>
    <t>Valores</t>
  </si>
  <si>
    <t>Valor</t>
  </si>
  <si>
    <t>Total</t>
  </si>
  <si>
    <t>Freq. Absoluta</t>
  </si>
  <si>
    <t>Freq. Relativa</t>
  </si>
  <si>
    <t>R</t>
  </si>
  <si>
    <t>G</t>
  </si>
  <si>
    <t>B</t>
  </si>
  <si>
    <t>Urna A</t>
  </si>
  <si>
    <t>Urna B</t>
  </si>
  <si>
    <t>(sem reposição)</t>
  </si>
  <si>
    <t>(com reposição)</t>
  </si>
  <si>
    <t>FR(mesma cor) =</t>
  </si>
  <si>
    <t>Prob.</t>
  </si>
  <si>
    <t>Bola Urna A</t>
  </si>
  <si>
    <t>#https://cdrenno.github.io/Estatistica/</t>
  </si>
  <si>
    <t>#Estatística: Aplicação ao Sensoriamento Remoto - SER204, INPE,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</si>
</sst>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5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2"/>
      <color theme="1"/>
      <name val="Calibri"/>
      <family val="2"/>
      <scheme val="minor"/>
    </font>
    <font>
      <sz val="16"/>
      <color theme="1"/>
      <name val="Dice"/>
      <family val="3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Dashed">
        <color indexed="64"/>
      </left>
      <right style="mediumDashed">
        <color indexed="64"/>
      </right>
      <top style="mediumDashed">
        <color indexed="64"/>
      </top>
      <bottom style="mediumDashed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165" fontId="3" fillId="0" borderId="0" xfId="0" applyNumberFormat="1" applyFont="1"/>
    <xf numFmtId="0" fontId="4" fillId="0" borderId="0" xfId="0" applyFont="1"/>
    <xf numFmtId="0" fontId="0" fillId="0" borderId="1" xfId="0" applyBorder="1"/>
    <xf numFmtId="0" fontId="0" fillId="0" borderId="0" xfId="0" applyAlignment="1">
      <alignment horizontal="right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0000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Histograma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exemplo1!$C$2:$C$7</c:f>
              <c:strCach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strCache>
            </c:strRef>
          </c:tx>
          <c:invertIfNegative val="0"/>
          <c:val>
            <c:numRef>
              <c:f>exemplo1!$E$2:$E$7</c:f>
              <c:numCache>
                <c:formatCode>0.000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0.2</c:v>
                </c:pt>
                <c:pt idx="3">
                  <c:v>0.2</c:v>
                </c:pt>
                <c:pt idx="4">
                  <c:v>0.1</c:v>
                </c:pt>
                <c:pt idx="5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14-4F8A-A281-D63C2D03BD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1028760"/>
        <c:axId val="621030328"/>
      </c:barChart>
      <c:catAx>
        <c:axId val="6210287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Valores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600" baseline="0">
                <a:latin typeface="Dice" pitchFamily="49" charset="0"/>
              </a:defRPr>
            </a:pPr>
            <a:endParaRPr lang="pt-BR"/>
          </a:p>
        </c:txPr>
        <c:crossAx val="621030328"/>
        <c:crosses val="autoZero"/>
        <c:auto val="1"/>
        <c:lblAlgn val="ctr"/>
        <c:lblOffset val="100"/>
        <c:noMultiLvlLbl val="0"/>
      </c:catAx>
      <c:valAx>
        <c:axId val="621030328"/>
        <c:scaling>
          <c:orientation val="minMax"/>
          <c:max val="1"/>
          <c:min val="0"/>
        </c:scaling>
        <c:delete val="0"/>
        <c:axPos val="l"/>
        <c:majorGridlines>
          <c:spPr>
            <a:ln>
              <a:prstDash val="dash"/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pt-BR"/>
                  <a:t>Frequência Relativa</a:t>
                </a:r>
              </a:p>
            </c:rich>
          </c:tx>
          <c:overlay val="0"/>
        </c:title>
        <c:numFmt formatCode="0.0" sourceLinked="0"/>
        <c:majorTickMark val="out"/>
        <c:minorTickMark val="none"/>
        <c:tickLblPos val="nextTo"/>
        <c:crossAx val="621028760"/>
        <c:crosses val="autoZero"/>
        <c:crossBetween val="between"/>
        <c:majorUnit val="0.2"/>
      </c:valAx>
    </c:plotArea>
    <c:plotVisOnly val="1"/>
    <c:dispBlanksAs val="gap"/>
    <c:showDLblsOverMax val="0"/>
  </c:chart>
  <c:printSettings>
    <c:headerFooter/>
    <c:pageMargins b="0.78740157499999996" l="0.511811024" r="0.511811024" t="0.78740157499999996" header="0.31496062000000036" footer="0.31496062000000036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9525</xdr:colOff>
      <xdr:row>0</xdr:row>
      <xdr:rowOff>438150</xdr:rowOff>
    </xdr:from>
    <xdr:to>
      <xdr:col>13</xdr:col>
      <xdr:colOff>314325</xdr:colOff>
      <xdr:row>15</xdr:row>
      <xdr:rowOff>66675</xdr:rowOff>
    </xdr:to>
    <xdr:graphicFrame macro="">
      <xdr:nvGraphicFramePr>
        <xdr:cNvPr id="2064" name="Gráfico 1">
          <a:extLst>
            <a:ext uri="{FF2B5EF4-FFF2-40B4-BE49-F238E27FC236}">
              <a16:creationId xmlns:a16="http://schemas.microsoft.com/office/drawing/2014/main" id="{00000000-0008-0000-0000-00001008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400050</xdr:colOff>
      <xdr:row>0</xdr:row>
      <xdr:rowOff>0</xdr:rowOff>
    </xdr:from>
    <xdr:to>
      <xdr:col>11</xdr:col>
      <xdr:colOff>38100</xdr:colOff>
      <xdr:row>10</xdr:row>
      <xdr:rowOff>180975</xdr:rowOff>
    </xdr:to>
    <xdr:pic>
      <xdr:nvPicPr>
        <xdr:cNvPr id="1046" name="Imagem 5">
          <a:extLst>
            <a:ext uri="{FF2B5EF4-FFF2-40B4-BE49-F238E27FC236}">
              <a16:creationId xmlns:a16="http://schemas.microsoft.com/office/drawing/2014/main" id="{00000000-0008-0000-0100-00001604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0050" y="0"/>
          <a:ext cx="6343650" cy="2085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9"/>
  <sheetViews>
    <sheetView tabSelected="1" workbookViewId="0"/>
  </sheetViews>
  <sheetFormatPr defaultRowHeight="21"/>
  <cols>
    <col min="1" max="1" width="9.140625" style="5"/>
    <col min="2" max="16384" width="9.140625" style="2"/>
  </cols>
  <sheetData>
    <row r="1" spans="1:6" s="1" customFormat="1" ht="35.25" customHeight="1">
      <c r="A1" s="1" t="s">
        <v>0</v>
      </c>
      <c r="C1" s="1" t="s">
        <v>1</v>
      </c>
      <c r="D1" s="1" t="s">
        <v>3</v>
      </c>
      <c r="E1" s="1" t="s">
        <v>4</v>
      </c>
    </row>
    <row r="2" spans="1:6">
      <c r="A2" s="5">
        <f ca="1">RANDBETWEEN(1,6)</f>
        <v>6</v>
      </c>
      <c r="C2" s="5">
        <v>1</v>
      </c>
      <c r="D2" s="2">
        <f t="shared" ref="D2:D7" ca="1" si="0">COUNTIF(A:A,C2)</f>
        <v>0</v>
      </c>
      <c r="E2" s="4">
        <f t="shared" ref="E2:E7" ca="1" si="1">D2/D$8</f>
        <v>0</v>
      </c>
      <c r="F2" s="3"/>
    </row>
    <row r="3" spans="1:6">
      <c r="A3" s="5">
        <f t="shared" ref="A3:A11" ca="1" si="2">RANDBETWEEN(1,6)</f>
        <v>4</v>
      </c>
      <c r="C3" s="5">
        <v>2</v>
      </c>
      <c r="D3" s="2">
        <f t="shared" ca="1" si="0"/>
        <v>0</v>
      </c>
      <c r="E3" s="4">
        <f t="shared" ca="1" si="1"/>
        <v>0</v>
      </c>
      <c r="F3" s="3"/>
    </row>
    <row r="4" spans="1:6">
      <c r="A4" s="5">
        <f t="shared" ca="1" si="2"/>
        <v>5</v>
      </c>
      <c r="C4" s="5">
        <v>3</v>
      </c>
      <c r="D4" s="2">
        <f t="shared" ca="1" si="0"/>
        <v>2</v>
      </c>
      <c r="E4" s="4">
        <f t="shared" ca="1" si="1"/>
        <v>0.2</v>
      </c>
      <c r="F4" s="3"/>
    </row>
    <row r="5" spans="1:6">
      <c r="A5" s="5">
        <f t="shared" ca="1" si="2"/>
        <v>6</v>
      </c>
      <c r="C5" s="5">
        <v>4</v>
      </c>
      <c r="D5" s="2">
        <f t="shared" ca="1" si="0"/>
        <v>2</v>
      </c>
      <c r="E5" s="4">
        <f t="shared" ca="1" si="1"/>
        <v>0.2</v>
      </c>
      <c r="F5" s="3"/>
    </row>
    <row r="6" spans="1:6">
      <c r="A6" s="5">
        <f t="shared" ca="1" si="2"/>
        <v>3</v>
      </c>
      <c r="C6" s="5">
        <v>5</v>
      </c>
      <c r="D6" s="2">
        <f t="shared" ca="1" si="0"/>
        <v>1</v>
      </c>
      <c r="E6" s="4">
        <f t="shared" ca="1" si="1"/>
        <v>0.1</v>
      </c>
      <c r="F6" s="3"/>
    </row>
    <row r="7" spans="1:6">
      <c r="A7" s="5">
        <f t="shared" ca="1" si="2"/>
        <v>4</v>
      </c>
      <c r="C7" s="5">
        <v>6</v>
      </c>
      <c r="D7" s="2">
        <f t="shared" ca="1" si="0"/>
        <v>5</v>
      </c>
      <c r="E7" s="4">
        <f t="shared" ca="1" si="1"/>
        <v>0.5</v>
      </c>
      <c r="F7" s="3"/>
    </row>
    <row r="8" spans="1:6">
      <c r="A8" s="5">
        <f t="shared" ca="1" si="2"/>
        <v>3</v>
      </c>
      <c r="C8" s="2" t="s">
        <v>2</v>
      </c>
      <c r="D8" s="2">
        <f ca="1">SUM(D2:D7)</f>
        <v>10</v>
      </c>
      <c r="E8" s="2">
        <f ca="1">SUM(E2:E7)</f>
        <v>1</v>
      </c>
    </row>
    <row r="9" spans="1:6">
      <c r="A9" s="5">
        <f t="shared" ca="1" si="2"/>
        <v>6</v>
      </c>
    </row>
    <row r="10" spans="1:6">
      <c r="A10" s="5">
        <f t="shared" ca="1" si="2"/>
        <v>6</v>
      </c>
    </row>
    <row r="11" spans="1:6">
      <c r="A11" s="5">
        <f t="shared" ca="1" si="2"/>
        <v>6</v>
      </c>
    </row>
    <row r="17" spans="7:7">
      <c r="G17" t="s">
        <v>16</v>
      </c>
    </row>
    <row r="18" spans="7:7">
      <c r="G18" t="s">
        <v>15</v>
      </c>
    </row>
    <row r="19" spans="7:7">
      <c r="G19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T22"/>
  <sheetViews>
    <sheetView workbookViewId="0">
      <selection activeCell="T1" sqref="T1:T3"/>
    </sheetView>
  </sheetViews>
  <sheetFormatPr defaultRowHeight="15"/>
  <sheetData>
    <row r="1" spans="2:20">
      <c r="O1" s="7" t="s">
        <v>10</v>
      </c>
      <c r="R1" t="s">
        <v>13</v>
      </c>
      <c r="T1" t="s">
        <v>16</v>
      </c>
    </row>
    <row r="2" spans="2:20">
      <c r="O2" s="7" t="s">
        <v>12</v>
      </c>
      <c r="P2">
        <f ca="1">SUM(K:K)/COUNT(K:K)</f>
        <v>0.3</v>
      </c>
      <c r="R2">
        <f>13/60</f>
        <v>0.21666666666666667</v>
      </c>
      <c r="T2" t="s">
        <v>15</v>
      </c>
    </row>
    <row r="4" spans="2:20">
      <c r="O4" s="7" t="s">
        <v>11</v>
      </c>
    </row>
    <row r="5" spans="2:20">
      <c r="O5" s="7" t="s">
        <v>12</v>
      </c>
      <c r="P5">
        <f ca="1">SUM(O:O)/COUNT(O:O)</f>
        <v>0.5</v>
      </c>
      <c r="R5">
        <f>28/75</f>
        <v>0.37333333333333335</v>
      </c>
    </row>
    <row r="12" spans="2:20" ht="15.75" thickBot="1">
      <c r="B12" t="s">
        <v>8</v>
      </c>
      <c r="E12" t="s">
        <v>9</v>
      </c>
      <c r="G12" t="s">
        <v>14</v>
      </c>
      <c r="I12" t="s">
        <v>10</v>
      </c>
      <c r="M12" t="s">
        <v>11</v>
      </c>
    </row>
    <row r="13" spans="2:20" ht="15.75" thickBot="1">
      <c r="B13" t="s">
        <v>5</v>
      </c>
      <c r="E13" s="6"/>
      <c r="G13" s="6" t="str">
        <f ca="1">CHOOSE(RANDBETWEEN(1,6),$B$13,$B$14,$B$15,$B$16,$B$17,$B$18)</f>
        <v>R</v>
      </c>
      <c r="H13">
        <f ca="1">RANDBETWEEN(1,5)</f>
        <v>1</v>
      </c>
      <c r="I13" t="str">
        <f ca="1">CHOOSE(H13,G$13,E$14,E$15,E$16,E$17)</f>
        <v>R</v>
      </c>
      <c r="J13" t="str">
        <f ca="1">CHOOSE(MOD(H13+RANDBETWEEN(1,4)-1,5)+1,G$13,E$14,E$15,E$16,E$17,G$13)</f>
        <v>R</v>
      </c>
      <c r="K13">
        <f ca="1">IF(I13=J13,1,0)</f>
        <v>1</v>
      </c>
      <c r="M13" t="str">
        <f ca="1">CHOOSE(RANDBETWEEN(1,5),G$13,E$14,E$15,E$16,E$17)</f>
        <v>R</v>
      </c>
      <c r="N13" t="str">
        <f ca="1">CHOOSE(RANDBETWEEN(1,5),G$13,E$14,E$15,E$16,E$17)</f>
        <v>R</v>
      </c>
      <c r="O13">
        <f ca="1">IF(M13=N13,1,0)</f>
        <v>1</v>
      </c>
    </row>
    <row r="14" spans="2:20" ht="15.75" thickBot="1">
      <c r="B14" t="s">
        <v>5</v>
      </c>
      <c r="E14" t="s">
        <v>5</v>
      </c>
      <c r="G14" s="6" t="str">
        <f t="shared" ref="G14:G22" ca="1" si="0">CHOOSE(RANDBETWEEN(1,6),$B$13,$B$14,$B$15,$B$16,$B$17,$B$18)</f>
        <v>R</v>
      </c>
      <c r="H14">
        <f t="shared" ref="H14:H22" ca="1" si="1">RANDBETWEEN(1,5)</f>
        <v>1</v>
      </c>
      <c r="I14" t="str">
        <f t="shared" ref="I14:I22" ca="1" si="2">CHOOSE(H14,G$13,E$14,E$15,E$16,E$17)</f>
        <v>R</v>
      </c>
      <c r="J14" t="str">
        <f t="shared" ref="J14:J22" ca="1" si="3">CHOOSE(MOD(H14+RANDBETWEEN(1,4)-1,5)+1,G$13,E$14,E$15,E$16,E$17,G$13)</f>
        <v>G</v>
      </c>
      <c r="K14">
        <f t="shared" ref="K14:K22" ca="1" si="4">IF(I14=J14,1,0)</f>
        <v>0</v>
      </c>
      <c r="M14" t="str">
        <f t="shared" ref="M14:M22" ca="1" si="5">CHOOSE(RANDBETWEEN(1,5),G$13,E$14,E$15,E$16,E$17)</f>
        <v>G</v>
      </c>
      <c r="N14" t="str">
        <f t="shared" ref="N14:N22" ca="1" si="6">CHOOSE(RANDBETWEEN(1,5),G$13,E$14,E$15,E$16,E$17)</f>
        <v>R</v>
      </c>
      <c r="O14">
        <f t="shared" ref="O14:O22" ca="1" si="7">IF(M14=N14,1,0)</f>
        <v>0</v>
      </c>
    </row>
    <row r="15" spans="2:20" ht="15.75" thickBot="1">
      <c r="B15" t="s">
        <v>5</v>
      </c>
      <c r="E15" t="s">
        <v>6</v>
      </c>
      <c r="G15" s="6" t="str">
        <f t="shared" ca="1" si="0"/>
        <v>R</v>
      </c>
      <c r="H15">
        <f t="shared" ca="1" si="1"/>
        <v>1</v>
      </c>
      <c r="I15" t="str">
        <f t="shared" ca="1" si="2"/>
        <v>R</v>
      </c>
      <c r="J15" t="str">
        <f t="shared" ca="1" si="3"/>
        <v>G</v>
      </c>
      <c r="K15">
        <f t="shared" ca="1" si="4"/>
        <v>0</v>
      </c>
      <c r="M15" t="str">
        <f t="shared" ca="1" si="5"/>
        <v>G</v>
      </c>
      <c r="N15" t="str">
        <f t="shared" ca="1" si="6"/>
        <v>G</v>
      </c>
      <c r="O15">
        <f t="shared" ca="1" si="7"/>
        <v>1</v>
      </c>
    </row>
    <row r="16" spans="2:20" ht="15.75" thickBot="1">
      <c r="B16" t="s">
        <v>6</v>
      </c>
      <c r="E16" t="s">
        <v>6</v>
      </c>
      <c r="G16" s="6" t="str">
        <f t="shared" ca="1" si="0"/>
        <v>R</v>
      </c>
      <c r="H16">
        <f t="shared" ca="1" si="1"/>
        <v>5</v>
      </c>
      <c r="I16" t="str">
        <f t="shared" ca="1" si="2"/>
        <v>B</v>
      </c>
      <c r="J16" t="str">
        <f t="shared" ca="1" si="3"/>
        <v>R</v>
      </c>
      <c r="K16">
        <f t="shared" ca="1" si="4"/>
        <v>0</v>
      </c>
      <c r="M16" t="str">
        <f t="shared" ca="1" si="5"/>
        <v>R</v>
      </c>
      <c r="N16" t="str">
        <f t="shared" ca="1" si="6"/>
        <v>R</v>
      </c>
      <c r="O16">
        <f t="shared" ca="1" si="7"/>
        <v>1</v>
      </c>
    </row>
    <row r="17" spans="2:15" ht="15.75" thickBot="1">
      <c r="B17" t="s">
        <v>7</v>
      </c>
      <c r="E17" t="s">
        <v>7</v>
      </c>
      <c r="G17" s="6" t="str">
        <f t="shared" ca="1" si="0"/>
        <v>B</v>
      </c>
      <c r="H17">
        <f t="shared" ca="1" si="1"/>
        <v>3</v>
      </c>
      <c r="I17" t="str">
        <f t="shared" ca="1" si="2"/>
        <v>G</v>
      </c>
      <c r="J17" t="str">
        <f t="shared" ca="1" si="3"/>
        <v>R</v>
      </c>
      <c r="K17">
        <f t="shared" ca="1" si="4"/>
        <v>0</v>
      </c>
      <c r="M17" t="str">
        <f t="shared" ca="1" si="5"/>
        <v>R</v>
      </c>
      <c r="N17" t="str">
        <f t="shared" ca="1" si="6"/>
        <v>R</v>
      </c>
      <c r="O17">
        <f t="shared" ca="1" si="7"/>
        <v>1</v>
      </c>
    </row>
    <row r="18" spans="2:15" ht="15.75" thickBot="1">
      <c r="B18" t="s">
        <v>7</v>
      </c>
      <c r="G18" s="6" t="str">
        <f t="shared" ca="1" si="0"/>
        <v>R</v>
      </c>
      <c r="H18">
        <f t="shared" ca="1" si="1"/>
        <v>1</v>
      </c>
      <c r="I18" t="str">
        <f t="shared" ca="1" si="2"/>
        <v>R</v>
      </c>
      <c r="J18" t="str">
        <f t="shared" ca="1" si="3"/>
        <v>G</v>
      </c>
      <c r="K18">
        <f t="shared" ca="1" si="4"/>
        <v>0</v>
      </c>
      <c r="M18" t="str">
        <f t="shared" ca="1" si="5"/>
        <v>G</v>
      </c>
      <c r="N18" t="str">
        <f t="shared" ca="1" si="6"/>
        <v>R</v>
      </c>
      <c r="O18">
        <f t="shared" ca="1" si="7"/>
        <v>0</v>
      </c>
    </row>
    <row r="19" spans="2:15" ht="15.75" thickBot="1">
      <c r="G19" s="6" t="str">
        <f t="shared" ca="1" si="0"/>
        <v>B</v>
      </c>
      <c r="H19">
        <f t="shared" ca="1" si="1"/>
        <v>4</v>
      </c>
      <c r="I19" t="str">
        <f t="shared" ca="1" si="2"/>
        <v>G</v>
      </c>
      <c r="J19" t="str">
        <f t="shared" ca="1" si="3"/>
        <v>G</v>
      </c>
      <c r="K19">
        <f t="shared" ca="1" si="4"/>
        <v>1</v>
      </c>
      <c r="M19" t="str">
        <f t="shared" ca="1" si="5"/>
        <v>G</v>
      </c>
      <c r="N19" t="str">
        <f t="shared" ca="1" si="6"/>
        <v>B</v>
      </c>
      <c r="O19">
        <f t="shared" ca="1" si="7"/>
        <v>0</v>
      </c>
    </row>
    <row r="20" spans="2:15" ht="15.75" thickBot="1">
      <c r="G20" s="6" t="str">
        <f t="shared" ca="1" si="0"/>
        <v>R</v>
      </c>
      <c r="H20">
        <f t="shared" ca="1" si="1"/>
        <v>5</v>
      </c>
      <c r="I20" t="str">
        <f t="shared" ca="1" si="2"/>
        <v>B</v>
      </c>
      <c r="J20" t="str">
        <f t="shared" ca="1" si="3"/>
        <v>G</v>
      </c>
      <c r="K20">
        <f t="shared" ca="1" si="4"/>
        <v>0</v>
      </c>
      <c r="M20" t="str">
        <f t="shared" ca="1" si="5"/>
        <v>R</v>
      </c>
      <c r="N20" t="str">
        <f t="shared" ca="1" si="6"/>
        <v>G</v>
      </c>
      <c r="O20">
        <f t="shared" ca="1" si="7"/>
        <v>0</v>
      </c>
    </row>
    <row r="21" spans="2:15" ht="15.75" thickBot="1">
      <c r="G21" s="6" t="str">
        <f t="shared" ca="1" si="0"/>
        <v>B</v>
      </c>
      <c r="H21">
        <f t="shared" ca="1" si="1"/>
        <v>4</v>
      </c>
      <c r="I21" t="str">
        <f t="shared" ca="1" si="2"/>
        <v>G</v>
      </c>
      <c r="J21" t="str">
        <f t="shared" ca="1" si="3"/>
        <v>R</v>
      </c>
      <c r="K21">
        <f t="shared" ca="1" si="4"/>
        <v>0</v>
      </c>
      <c r="M21" t="str">
        <f t="shared" ca="1" si="5"/>
        <v>R</v>
      </c>
      <c r="N21" t="str">
        <f t="shared" ca="1" si="6"/>
        <v>R</v>
      </c>
      <c r="O21">
        <f t="shared" ca="1" si="7"/>
        <v>1</v>
      </c>
    </row>
    <row r="22" spans="2:15" ht="15.75" thickBot="1">
      <c r="G22" s="6" t="str">
        <f t="shared" ca="1" si="0"/>
        <v>R</v>
      </c>
      <c r="H22">
        <f t="shared" ca="1" si="1"/>
        <v>2</v>
      </c>
      <c r="I22" t="str">
        <f t="shared" ca="1" si="2"/>
        <v>R</v>
      </c>
      <c r="J22" t="str">
        <f t="shared" ca="1" si="3"/>
        <v>R</v>
      </c>
      <c r="K22">
        <f t="shared" ca="1" si="4"/>
        <v>1</v>
      </c>
      <c r="M22" t="str">
        <f t="shared" ca="1" si="5"/>
        <v>B</v>
      </c>
      <c r="N22" t="str">
        <f t="shared" ca="1" si="6"/>
        <v>R</v>
      </c>
      <c r="O22">
        <f t="shared" ca="1" si="7"/>
        <v>0</v>
      </c>
    </row>
  </sheetData>
  <conditionalFormatting sqref="E13:F17 B13:B18 G13:G22 I13:J506 M13:N506">
    <cfRule type="cellIs" dxfId="2" priority="34" stopIfTrue="1" operator="equal">
      <formula>"B"</formula>
    </cfRule>
    <cfRule type="cellIs" dxfId="1" priority="35" stopIfTrue="1" operator="equal">
      <formula>"G"</formula>
    </cfRule>
    <cfRule type="cellIs" dxfId="0" priority="36" stopIfTrue="1" operator="equal">
      <formula>"R"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exemplo1</vt:lpstr>
      <vt:lpstr>exemplo2</vt:lpstr>
      <vt:lpstr>exemplo2!mc_dependents</vt:lpstr>
      <vt:lpstr>exemplo2!mc_output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</dc:creator>
  <cp:lastModifiedBy>Camilo Daleles Rennó</cp:lastModifiedBy>
  <dcterms:created xsi:type="dcterms:W3CDTF">2010-03-10T21:05:52Z</dcterms:created>
  <dcterms:modified xsi:type="dcterms:W3CDTF">2026-05-19T15:40:20Z</dcterms:modified>
</cp:coreProperties>
</file>