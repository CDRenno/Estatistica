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82" documentId="11_F204AF33BA11662DCC1A6EE56B19AF2F65866912" xr6:coauthVersionLast="47" xr6:coauthVersionMax="47" xr10:uidLastSave="{DCFA6344-8CEF-415C-A292-ABC7C7A7CC40}"/>
  <bookViews>
    <workbookView xWindow="28680" yWindow="-120" windowWidth="29040" windowHeight="15840" xr2:uid="{00000000-000D-0000-FFFF-FFFF00000000}"/>
  </bookViews>
  <sheets>
    <sheet name="matriz1" sheetId="1" r:id="rId1"/>
    <sheet name="matriz2" sheetId="2" r:id="rId2"/>
    <sheet name="testes" sheetId="3" r:id="rId3"/>
  </sheets>
  <definedNames>
    <definedName name="_nii1">matriz1!$R$7:$R$16</definedName>
    <definedName name="_nii2">matriz2!$R$7:$R$16</definedName>
    <definedName name="_nit1">matriz1!$O$7:$O$16</definedName>
    <definedName name="_nit2">matriz2!$O$7:$O$16</definedName>
    <definedName name="_nti1">matriz1!$D$18:$M$18</definedName>
    <definedName name="_nti2">matriz2!$D$18:$M$18</definedName>
    <definedName name="nii">matriz1!$R$7:$R$16</definedName>
    <definedName name="nit">matriz1!$O$7:$O$16</definedName>
    <definedName name="nti">matriz1!$D$18:$M$18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18" i="1"/>
  <c r="R11" i="1"/>
  <c r="R7" i="1"/>
  <c r="R8" i="1"/>
  <c r="R9" i="1"/>
  <c r="R10" i="1"/>
  <c r="O10" i="1"/>
  <c r="D18" i="1"/>
  <c r="O8" i="1"/>
  <c r="G18" i="1"/>
  <c r="O11" i="1"/>
  <c r="H18" i="1"/>
  <c r="O9" i="1"/>
  <c r="E18" i="1"/>
  <c r="F18" i="1"/>
  <c r="R7" i="2"/>
  <c r="O18" i="2"/>
  <c r="R12" i="2"/>
  <c r="R11" i="2"/>
  <c r="R10" i="2"/>
  <c r="R9" i="2"/>
  <c r="R8" i="2"/>
  <c r="O7" i="2"/>
  <c r="D18" i="2"/>
  <c r="O8" i="2"/>
  <c r="O9" i="2"/>
  <c r="O10" i="2"/>
  <c r="O11" i="2"/>
  <c r="O12" i="2"/>
  <c r="I18" i="2"/>
  <c r="E18" i="2"/>
  <c r="F18" i="2"/>
  <c r="G18" i="2"/>
  <c r="H18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C36" i="2"/>
  <c r="C35" i="2"/>
  <c r="C34" i="2"/>
  <c r="C33" i="2"/>
  <c r="C32" i="2"/>
  <c r="M18" i="2"/>
  <c r="L18" i="2"/>
  <c r="K18" i="2"/>
  <c r="J18" i="2"/>
  <c r="R16" i="2"/>
  <c r="O16" i="2"/>
  <c r="C16" i="2"/>
  <c r="R15" i="2"/>
  <c r="O15" i="2"/>
  <c r="C15" i="2"/>
  <c r="R14" i="2"/>
  <c r="O14" i="2"/>
  <c r="C14" i="2"/>
  <c r="R13" i="2"/>
  <c r="O13" i="2"/>
  <c r="C13" i="2"/>
  <c r="C12" i="2"/>
  <c r="C11" i="2"/>
  <c r="C10" i="2"/>
  <c r="C9" i="2"/>
  <c r="C8" i="2"/>
  <c r="C7" i="2"/>
  <c r="R16" i="1"/>
  <c r="R15" i="1"/>
  <c r="R14" i="1"/>
  <c r="R13" i="1"/>
  <c r="R12" i="1"/>
  <c r="O12" i="1"/>
  <c r="O13" i="1"/>
  <c r="O14" i="1"/>
  <c r="O15" i="1"/>
  <c r="O16" i="1"/>
  <c r="I18" i="1"/>
  <c r="J18" i="1"/>
  <c r="K18" i="1"/>
  <c r="L18" i="1"/>
  <c r="M18" i="1"/>
  <c r="E41" i="1"/>
  <c r="E40" i="1"/>
  <c r="E39" i="1"/>
  <c r="E38" i="1"/>
  <c r="E37" i="1"/>
  <c r="D41" i="1"/>
  <c r="D40" i="1"/>
  <c r="D39" i="1"/>
  <c r="D38" i="1"/>
  <c r="D37" i="1"/>
  <c r="C41" i="1"/>
  <c r="C40" i="1"/>
  <c r="C39" i="1"/>
  <c r="C38" i="1"/>
  <c r="C37" i="1"/>
  <c r="C36" i="1"/>
  <c r="C35" i="1"/>
  <c r="C34" i="1"/>
  <c r="C33" i="1"/>
  <c r="C32" i="1"/>
  <c r="C16" i="1"/>
  <c r="C15" i="1"/>
  <c r="C14" i="1"/>
  <c r="C13" i="1"/>
  <c r="C12" i="1"/>
  <c r="C11" i="1"/>
  <c r="C10" i="1"/>
  <c r="C9" i="1"/>
  <c r="C8" i="1"/>
  <c r="C7" i="1"/>
  <c r="E33" i="2" l="1"/>
  <c r="E32" i="2"/>
  <c r="E34" i="2"/>
  <c r="D33" i="2"/>
  <c r="E35" i="2"/>
  <c r="D36" i="2"/>
  <c r="D22" i="2"/>
  <c r="E26" i="2" s="1"/>
  <c r="G22" i="1" a="1"/>
  <c r="G22" i="1" s="1"/>
  <c r="E35" i="1"/>
  <c r="G22" i="2" a="1"/>
  <c r="G22" i="2" s="1"/>
  <c r="E33" i="1"/>
  <c r="D32" i="1"/>
  <c r="E32" i="1"/>
  <c r="E36" i="1"/>
  <c r="D32" i="2"/>
  <c r="E36" i="2"/>
  <c r="D35" i="1"/>
  <c r="D22" i="1"/>
  <c r="E26" i="1" s="1"/>
  <c r="E34" i="1"/>
  <c r="F22" i="2" a="1"/>
  <c r="F22" i="2" s="1"/>
  <c r="D33" i="1"/>
  <c r="D34" i="2"/>
  <c r="F22" i="1" a="1"/>
  <c r="F22" i="1" s="1"/>
  <c r="D34" i="1"/>
  <c r="E22" i="1" a="1"/>
  <c r="E22" i="1" s="1"/>
  <c r="D36" i="1"/>
  <c r="E22" i="2" a="1"/>
  <c r="E22" i="2" s="1"/>
  <c r="E25" i="2" s="1"/>
  <c r="D35" i="2"/>
  <c r="I22" i="1" l="1"/>
  <c r="K22" i="1"/>
  <c r="J22" i="1"/>
  <c r="I22" i="2"/>
  <c r="K22" i="2"/>
  <c r="J22" i="2"/>
  <c r="E25" i="1"/>
  <c r="J25" i="2" l="1"/>
  <c r="B17" i="3" s="1"/>
  <c r="B18" i="3" s="1"/>
  <c r="B21" i="3" s="1"/>
  <c r="J25" i="1"/>
  <c r="B6" i="3" s="1"/>
  <c r="B7" i="3" s="1"/>
  <c r="A26" i="3"/>
  <c r="B10" i="3" l="1"/>
  <c r="B28" i="3"/>
  <c r="B29" i="3" s="1"/>
  <c r="B32" i="3" s="1"/>
</calcChain>
</file>

<file path=xl/sharedStrings.xml><?xml version="1.0" encoding="utf-8"?>
<sst xmlns="http://schemas.openxmlformats.org/spreadsheetml/2006/main" count="84" uniqueCount="46">
  <si>
    <t>q1</t>
  </si>
  <si>
    <t>q2</t>
  </si>
  <si>
    <t>kappa</t>
  </si>
  <si>
    <t>q3</t>
  </si>
  <si>
    <t>q4</t>
  </si>
  <si>
    <t>seg</t>
  </si>
  <si>
    <t>ter</t>
  </si>
  <si>
    <t>prim</t>
  </si>
  <si>
    <t>Hudson &amp; Ramm PE&amp;RS V53 N 4 Apr 1987 pp 421-422 Correct formulation of the kappa coeff of agreement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</si>
  <si>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</si>
  <si>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</si>
  <si>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</si>
  <si>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</si>
  <si>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</si>
  <si>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</si>
  <si>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</si>
  <si>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</si>
  <si>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</si>
  <si>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</si>
  <si>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nit</t>
  </si>
  <si>
    <t>nti</t>
  </si>
  <si>
    <t>Kappa Condicional</t>
  </si>
  <si>
    <t>Classe</t>
  </si>
  <si>
    <t>Congalton, R. G.  Assessing the accuracy of Remotely Sensed data: principles and practices.  1999.</t>
  </si>
  <si>
    <t>Referência</t>
  </si>
  <si>
    <t>Classificação</t>
  </si>
  <si>
    <r>
      <t>Var(</t>
    </r>
    <r>
      <rPr>
        <b/>
        <i/>
        <sz val="8"/>
        <rFont val="Arial"/>
        <family val="2"/>
      </rPr>
      <t>kappa</t>
    </r>
    <r>
      <rPr>
        <b/>
        <sz val="8"/>
        <rFont val="Arial"/>
        <family val="2"/>
      </rPr>
      <t>)</t>
    </r>
  </si>
  <si>
    <t>exat. total</t>
  </si>
  <si>
    <t>nii1</t>
  </si>
  <si>
    <t>nii2</t>
  </si>
  <si>
    <t>teste Z</t>
  </si>
  <si>
    <t>kappa1</t>
  </si>
  <si>
    <r>
      <t>Var(</t>
    </r>
    <r>
      <rPr>
        <b/>
        <i/>
        <sz val="8"/>
        <rFont val="Arial"/>
        <family val="2"/>
      </rPr>
      <t>kappa1</t>
    </r>
    <r>
      <rPr>
        <b/>
        <sz val="8"/>
        <rFont val="Arial"/>
        <family val="2"/>
      </rPr>
      <t>)</t>
    </r>
  </si>
  <si>
    <r>
      <t>Var(</t>
    </r>
    <r>
      <rPr>
        <b/>
        <i/>
        <sz val="8"/>
        <rFont val="Arial"/>
        <family val="2"/>
      </rPr>
      <t>kappa2</t>
    </r>
    <r>
      <rPr>
        <b/>
        <sz val="8"/>
        <rFont val="Arial"/>
        <family val="2"/>
      </rPr>
      <t>)</t>
    </r>
  </si>
  <si>
    <t>kappa2</t>
  </si>
  <si>
    <t>H0: kappa1 = 0</t>
  </si>
  <si>
    <t>z =</t>
  </si>
  <si>
    <t>Valor-P =</t>
  </si>
  <si>
    <t>Alfa =</t>
  </si>
  <si>
    <t>Conclusão:</t>
  </si>
  <si>
    <t>H0: kappa1 - kappa2 = 0</t>
  </si>
  <si>
    <t>H0: kappa2 = 0</t>
  </si>
  <si>
    <t>H1: kappa1 &gt; 0</t>
  </si>
  <si>
    <t>H1: kappa2 &gt; 0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</si>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</sst>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000"/>
  </numFmts>
  <fonts count="7">
    <font>
      <sz val="10"/>
      <name val="Arial"/>
    </font>
    <font>
      <sz val="8"/>
      <name val="Symbol"/>
      <family val="1"/>
      <charset val="2"/>
    </font>
    <font>
      <i/>
      <sz val="8"/>
      <name val="Arial"/>
      <family val="2"/>
    </font>
    <font>
      <sz val="8"/>
      <name val="Arial"/>
      <family val="2"/>
    </font>
    <font>
      <i/>
      <u/>
      <sz val="8"/>
      <name val="AvantGarde Bk BT"/>
      <family val="2"/>
    </font>
    <font>
      <b/>
      <sz val="8"/>
      <name val="Arial"/>
      <family val="2"/>
    </font>
    <font>
      <b/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0" borderId="12" xfId="0" applyFont="1" applyBorder="1"/>
    <xf numFmtId="0" fontId="3" fillId="0" borderId="13" xfId="0" applyFont="1" applyBorder="1"/>
    <xf numFmtId="0" fontId="3" fillId="2" borderId="14" xfId="0" applyFont="1" applyFill="1" applyBorder="1"/>
    <xf numFmtId="0" fontId="3" fillId="2" borderId="12" xfId="0" applyFont="1" applyFill="1" applyBorder="1"/>
    <xf numFmtId="0" fontId="3" fillId="2" borderId="15" xfId="0" applyFont="1" applyFill="1" applyBorder="1"/>
    <xf numFmtId="0" fontId="3" fillId="0" borderId="16" xfId="0" applyFont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2" borderId="19" xfId="0" applyFont="1" applyFill="1" applyBorder="1"/>
    <xf numFmtId="0" fontId="3" fillId="0" borderId="20" xfId="0" applyFont="1" applyBorder="1"/>
    <xf numFmtId="0" fontId="5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164" fontId="3" fillId="0" borderId="24" xfId="0" applyNumberFormat="1" applyFont="1" applyBorder="1"/>
    <xf numFmtId="0" fontId="5" fillId="3" borderId="25" xfId="0" applyFont="1" applyFill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0" xfId="0" applyFont="1" applyAlignment="1">
      <alignment horizontal="right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5" fillId="3" borderId="21" xfId="0" applyFont="1" applyFill="1" applyBorder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5" fillId="4" borderId="29" xfId="0" applyNumberFormat="1" applyFont="1" applyFill="1" applyBorder="1"/>
    <xf numFmtId="166" fontId="5" fillId="3" borderId="29" xfId="0" applyNumberFormat="1" applyFont="1" applyFill="1" applyBorder="1"/>
    <xf numFmtId="165" fontId="3" fillId="0" borderId="0" xfId="0" applyNumberFormat="1" applyFont="1"/>
    <xf numFmtId="0" fontId="6" fillId="4" borderId="25" xfId="0" applyFont="1" applyFill="1" applyBorder="1"/>
    <xf numFmtId="0" fontId="6" fillId="4" borderId="21" xfId="0" applyFont="1" applyFill="1" applyBorder="1"/>
    <xf numFmtId="0" fontId="6" fillId="0" borderId="0" xfId="0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30" xfId="0" applyBorder="1"/>
    <xf numFmtId="0" fontId="0" fillId="0" borderId="31" xfId="0" applyBorder="1"/>
    <xf numFmtId="2" fontId="0" fillId="0" borderId="0" xfId="0" applyNumberFormat="1"/>
    <xf numFmtId="165" fontId="0" fillId="0" borderId="0" xfId="0" applyNumberFormat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textRotation="90"/>
    </xf>
  </cellXfs>
  <cellStyles count="1">
    <cellStyle name="Normal" xfId="0" builtinId="0"/>
  </cellStyles>
  <dxfs count="2">
    <dxf>
      <fill>
        <patternFill>
          <bgColor indexed="13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1"/>
  <sheetViews>
    <sheetView tabSelected="1" workbookViewId="0">
      <selection activeCell="T1" sqref="T1:T3"/>
    </sheetView>
  </sheetViews>
  <sheetFormatPr defaultColWidth="9.140625" defaultRowHeight="11.25"/>
  <cols>
    <col min="1" max="2" width="2.28515625" style="5" customWidth="1"/>
    <col min="3" max="3" width="7.42578125" style="5" customWidth="1"/>
    <col min="4" max="13" width="8.140625" style="5" customWidth="1"/>
    <col min="14" max="14" width="2.140625" style="5" customWidth="1"/>
    <col min="15" max="15" width="9.42578125" style="5" customWidth="1"/>
    <col min="16" max="17" width="2.42578125" style="5" customWidth="1"/>
    <col min="18" max="18" width="9.140625" style="5" hidden="1" customWidth="1"/>
    <col min="19" max="16384" width="9.140625" style="5"/>
  </cols>
  <sheetData>
    <row r="1" spans="2:20" ht="12" customHeight="1" thickBot="1">
      <c r="T1" t="s">
        <v>45</v>
      </c>
    </row>
    <row r="2" spans="2:20" ht="10.5" customHeight="1">
      <c r="B2" s="6"/>
      <c r="C2" s="7"/>
      <c r="D2" s="59" t="s">
        <v>8</v>
      </c>
      <c r="E2" s="59"/>
      <c r="F2" s="59"/>
      <c r="G2" s="59"/>
      <c r="H2" s="59"/>
      <c r="I2" s="59"/>
      <c r="J2" s="59"/>
      <c r="K2" s="59"/>
      <c r="L2" s="59"/>
      <c r="M2" s="59"/>
      <c r="N2" s="7"/>
      <c r="O2" s="7"/>
      <c r="P2" s="8"/>
      <c r="T2" t="s">
        <v>44</v>
      </c>
    </row>
    <row r="3" spans="2:20" ht="10.5" customHeight="1">
      <c r="B3" s="9"/>
      <c r="D3" s="60" t="s">
        <v>23</v>
      </c>
      <c r="E3" s="60"/>
      <c r="F3" s="60"/>
      <c r="G3" s="60"/>
      <c r="H3" s="60"/>
      <c r="I3" s="60"/>
      <c r="J3" s="60"/>
      <c r="K3" s="60"/>
      <c r="L3" s="60"/>
      <c r="M3" s="60"/>
      <c r="P3" s="10"/>
      <c r="T3"/>
    </row>
    <row r="4" spans="2:20" ht="10.5" customHeight="1">
      <c r="B4" s="9"/>
      <c r="P4" s="10"/>
    </row>
    <row r="5" spans="2:20" ht="10.5" customHeight="1">
      <c r="B5" s="9"/>
      <c r="D5" s="61" t="s">
        <v>24</v>
      </c>
      <c r="E5" s="61"/>
      <c r="F5" s="61"/>
      <c r="G5" s="61"/>
      <c r="H5" s="61"/>
      <c r="I5" s="61"/>
      <c r="J5" s="61"/>
      <c r="K5" s="61"/>
      <c r="L5" s="61"/>
      <c r="M5" s="61"/>
      <c r="P5" s="10"/>
    </row>
    <row r="6" spans="2:20" ht="10.5" customHeight="1" thickBot="1">
      <c r="B6" s="9"/>
      <c r="D6" s="41" t="s">
        <v>9</v>
      </c>
      <c r="E6" s="41" t="s">
        <v>10</v>
      </c>
      <c r="F6" s="41" t="s">
        <v>11</v>
      </c>
      <c r="G6" s="41" t="s">
        <v>12</v>
      </c>
      <c r="H6" s="41" t="s">
        <v>13</v>
      </c>
      <c r="I6" s="41" t="s">
        <v>14</v>
      </c>
      <c r="J6" s="41" t="s">
        <v>15</v>
      </c>
      <c r="K6" s="41" t="s">
        <v>16</v>
      </c>
      <c r="L6" s="41" t="s">
        <v>17</v>
      </c>
      <c r="M6" s="41" t="s">
        <v>18</v>
      </c>
      <c r="O6" s="32" t="s">
        <v>19</v>
      </c>
      <c r="P6" s="10"/>
      <c r="R6" s="32" t="s">
        <v>28</v>
      </c>
    </row>
    <row r="7" spans="2:20" ht="10.5" customHeight="1">
      <c r="B7" s="62" t="s">
        <v>25</v>
      </c>
      <c r="C7" s="41" t="str">
        <f>D6</f>
        <v>A</v>
      </c>
      <c r="D7" s="11">
        <v>13</v>
      </c>
      <c r="E7" s="12">
        <v>0</v>
      </c>
      <c r="F7" s="12">
        <v>3</v>
      </c>
      <c r="G7" s="12">
        <v>0</v>
      </c>
      <c r="H7" s="12">
        <v>0</v>
      </c>
      <c r="I7" s="12"/>
      <c r="J7" s="12"/>
      <c r="K7" s="12"/>
      <c r="L7" s="12"/>
      <c r="M7" s="13"/>
      <c r="O7" s="14">
        <f>SUM(D7:M7)</f>
        <v>16</v>
      </c>
      <c r="P7" s="10"/>
      <c r="R7" s="15">
        <f>D7</f>
        <v>13</v>
      </c>
    </row>
    <row r="8" spans="2:20" ht="10.5" customHeight="1">
      <c r="B8" s="62"/>
      <c r="C8" s="41" t="str">
        <f>E6</f>
        <v>B</v>
      </c>
      <c r="D8" s="16">
        <v>8</v>
      </c>
      <c r="E8" s="17">
        <v>10</v>
      </c>
      <c r="F8" s="17">
        <v>5</v>
      </c>
      <c r="G8" s="17">
        <v>0</v>
      </c>
      <c r="H8" s="17">
        <v>0</v>
      </c>
      <c r="I8" s="17"/>
      <c r="J8" s="17"/>
      <c r="K8" s="17"/>
      <c r="L8" s="17"/>
      <c r="M8" s="18"/>
      <c r="O8" s="14">
        <f t="shared" ref="O8:O16" si="0">SUM(D8:M8)</f>
        <v>23</v>
      </c>
      <c r="P8" s="10"/>
      <c r="R8" s="19">
        <f>E8</f>
        <v>10</v>
      </c>
    </row>
    <row r="9" spans="2:20" ht="10.5" customHeight="1">
      <c r="B9" s="62"/>
      <c r="C9" s="41" t="str">
        <f>F6</f>
        <v>C</v>
      </c>
      <c r="D9" s="16">
        <v>8</v>
      </c>
      <c r="E9" s="17">
        <v>4</v>
      </c>
      <c r="F9" s="17">
        <v>27</v>
      </c>
      <c r="G9" s="17">
        <v>0</v>
      </c>
      <c r="H9" s="17">
        <v>0</v>
      </c>
      <c r="I9" s="17"/>
      <c r="J9" s="17"/>
      <c r="K9" s="17"/>
      <c r="L9" s="17"/>
      <c r="M9" s="18"/>
      <c r="O9" s="14">
        <f t="shared" si="0"/>
        <v>39</v>
      </c>
      <c r="P9" s="10"/>
      <c r="R9" s="19">
        <f>F9</f>
        <v>27</v>
      </c>
    </row>
    <row r="10" spans="2:20" ht="10.5" customHeight="1">
      <c r="B10" s="62"/>
      <c r="C10" s="41" t="str">
        <f>G6</f>
        <v>D</v>
      </c>
      <c r="D10" s="16">
        <v>2</v>
      </c>
      <c r="E10" s="17">
        <v>0</v>
      </c>
      <c r="F10" s="17">
        <v>1</v>
      </c>
      <c r="G10" s="17">
        <v>25</v>
      </c>
      <c r="H10" s="17">
        <v>0</v>
      </c>
      <c r="I10" s="17"/>
      <c r="J10" s="17"/>
      <c r="K10" s="17"/>
      <c r="L10" s="17"/>
      <c r="M10" s="18"/>
      <c r="O10" s="14">
        <f t="shared" si="0"/>
        <v>28</v>
      </c>
      <c r="P10" s="10"/>
      <c r="R10" s="19">
        <f>G10</f>
        <v>25</v>
      </c>
    </row>
    <row r="11" spans="2:20" ht="10.5" customHeight="1">
      <c r="B11" s="62"/>
      <c r="C11" s="41" t="str">
        <f>H6</f>
        <v>E</v>
      </c>
      <c r="D11" s="16">
        <v>0</v>
      </c>
      <c r="E11" s="17">
        <v>0</v>
      </c>
      <c r="F11" s="17">
        <v>0</v>
      </c>
      <c r="G11" s="17">
        <v>0</v>
      </c>
      <c r="H11" s="17">
        <v>44</v>
      </c>
      <c r="I11" s="17"/>
      <c r="J11" s="17"/>
      <c r="K11" s="17"/>
      <c r="L11" s="17"/>
      <c r="M11" s="18"/>
      <c r="O11" s="14">
        <f t="shared" si="0"/>
        <v>44</v>
      </c>
      <c r="P11" s="10"/>
      <c r="R11" s="19">
        <f>H11</f>
        <v>44</v>
      </c>
    </row>
    <row r="12" spans="2:20" ht="10.5" customHeight="1">
      <c r="B12" s="62"/>
      <c r="C12" s="41" t="str">
        <f>I6</f>
        <v>F</v>
      </c>
      <c r="D12" s="16"/>
      <c r="E12" s="17"/>
      <c r="F12" s="17"/>
      <c r="G12" s="17"/>
      <c r="H12" s="17"/>
      <c r="I12" s="17"/>
      <c r="J12" s="17"/>
      <c r="K12" s="17"/>
      <c r="L12" s="17"/>
      <c r="M12" s="18"/>
      <c r="O12" s="14">
        <f t="shared" si="0"/>
        <v>0</v>
      </c>
      <c r="P12" s="10"/>
      <c r="R12" s="19">
        <f>I12</f>
        <v>0</v>
      </c>
    </row>
    <row r="13" spans="2:20" ht="10.5" customHeight="1">
      <c r="B13" s="62"/>
      <c r="C13" s="41" t="str">
        <f>J6</f>
        <v>G</v>
      </c>
      <c r="D13" s="16"/>
      <c r="E13" s="17"/>
      <c r="F13" s="17"/>
      <c r="G13" s="17"/>
      <c r="H13" s="17"/>
      <c r="I13" s="17"/>
      <c r="J13" s="17"/>
      <c r="K13" s="17"/>
      <c r="L13" s="17"/>
      <c r="M13" s="18"/>
      <c r="O13" s="14">
        <f t="shared" si="0"/>
        <v>0</v>
      </c>
      <c r="P13" s="10"/>
      <c r="R13" s="19">
        <f>J13</f>
        <v>0</v>
      </c>
    </row>
    <row r="14" spans="2:20" ht="10.5" customHeight="1">
      <c r="B14" s="62"/>
      <c r="C14" s="41" t="str">
        <f>K6</f>
        <v>H</v>
      </c>
      <c r="D14" s="16"/>
      <c r="E14" s="17"/>
      <c r="F14" s="17"/>
      <c r="G14" s="17"/>
      <c r="H14" s="17"/>
      <c r="I14" s="17"/>
      <c r="J14" s="17"/>
      <c r="K14" s="17"/>
      <c r="L14" s="17"/>
      <c r="M14" s="18"/>
      <c r="O14" s="14">
        <f t="shared" si="0"/>
        <v>0</v>
      </c>
      <c r="P14" s="10"/>
      <c r="R14" s="19">
        <f>K14</f>
        <v>0</v>
      </c>
    </row>
    <row r="15" spans="2:20" ht="10.5" customHeight="1">
      <c r="B15" s="62"/>
      <c r="C15" s="41" t="str">
        <f>L6</f>
        <v>I</v>
      </c>
      <c r="D15" s="16"/>
      <c r="E15" s="17"/>
      <c r="F15" s="17"/>
      <c r="G15" s="17"/>
      <c r="H15" s="17"/>
      <c r="I15" s="17"/>
      <c r="J15" s="17"/>
      <c r="K15" s="17"/>
      <c r="L15" s="17"/>
      <c r="M15" s="18"/>
      <c r="O15" s="14">
        <f t="shared" si="0"/>
        <v>0</v>
      </c>
      <c r="P15" s="10"/>
      <c r="R15" s="19">
        <f>L15</f>
        <v>0</v>
      </c>
    </row>
    <row r="16" spans="2:20" ht="10.5" customHeight="1" thickBot="1">
      <c r="B16" s="62"/>
      <c r="C16" s="41" t="str">
        <f>M6</f>
        <v>J</v>
      </c>
      <c r="D16" s="20"/>
      <c r="E16" s="21"/>
      <c r="F16" s="21"/>
      <c r="G16" s="21"/>
      <c r="H16" s="21"/>
      <c r="I16" s="21"/>
      <c r="J16" s="21"/>
      <c r="K16" s="21"/>
      <c r="L16" s="21"/>
      <c r="M16" s="22"/>
      <c r="O16" s="14">
        <f t="shared" si="0"/>
        <v>0</v>
      </c>
      <c r="P16" s="10"/>
      <c r="R16" s="23">
        <f>M16</f>
        <v>0</v>
      </c>
    </row>
    <row r="17" spans="2:16" ht="10.5" customHeight="1" thickBot="1">
      <c r="B17" s="9"/>
      <c r="P17" s="10"/>
    </row>
    <row r="18" spans="2:16" ht="10.5" customHeight="1" thickBot="1">
      <c r="B18" s="9"/>
      <c r="C18" s="32" t="s">
        <v>20</v>
      </c>
      <c r="D18" s="14">
        <f>SUM(D7:D16)</f>
        <v>31</v>
      </c>
      <c r="E18" s="14">
        <f t="shared" ref="E18:M18" si="1">SUM(E7:E16)</f>
        <v>14</v>
      </c>
      <c r="F18" s="14">
        <f t="shared" si="1"/>
        <v>36</v>
      </c>
      <c r="G18" s="14">
        <f t="shared" si="1"/>
        <v>25</v>
      </c>
      <c r="H18" s="14">
        <f t="shared" si="1"/>
        <v>44</v>
      </c>
      <c r="I18" s="14">
        <f t="shared" si="1"/>
        <v>0</v>
      </c>
      <c r="J18" s="14">
        <f t="shared" si="1"/>
        <v>0</v>
      </c>
      <c r="K18" s="14">
        <f t="shared" si="1"/>
        <v>0</v>
      </c>
      <c r="L18" s="14">
        <f t="shared" si="1"/>
        <v>0</v>
      </c>
      <c r="M18" s="14">
        <f t="shared" si="1"/>
        <v>0</v>
      </c>
      <c r="O18" s="24">
        <f>SUM(D7:M16)</f>
        <v>150</v>
      </c>
      <c r="P18" s="10"/>
    </row>
    <row r="19" spans="2:16" ht="10.5" customHeight="1">
      <c r="B19" s="9"/>
      <c r="P19" s="10"/>
    </row>
    <row r="20" spans="2:16" ht="10.5" customHeight="1">
      <c r="B20" s="9"/>
      <c r="P20" s="10"/>
    </row>
    <row r="21" spans="2:16" ht="10.5" customHeight="1">
      <c r="B21" s="9"/>
      <c r="D21" s="1" t="s">
        <v>0</v>
      </c>
      <c r="E21" s="3" t="s">
        <v>1</v>
      </c>
      <c r="F21" s="3" t="s">
        <v>3</v>
      </c>
      <c r="G21" s="2" t="s">
        <v>4</v>
      </c>
      <c r="I21" s="36" t="s">
        <v>7</v>
      </c>
      <c r="J21" s="37" t="s">
        <v>5</v>
      </c>
      <c r="K21" s="38" t="s">
        <v>6</v>
      </c>
      <c r="P21" s="10"/>
    </row>
    <row r="22" spans="2:16" ht="10.5" customHeight="1">
      <c r="B22" s="9"/>
      <c r="D22" s="25">
        <f>SUM(_nii1)/O18</f>
        <v>0.79333333333333333</v>
      </c>
      <c r="E22" s="26">
        <f t="array" ref="E22">SUMPRODUCT(_nit1,TRANSPOSE(_nti1))/(O18^2)</f>
        <v>0.21591111111111111</v>
      </c>
      <c r="F22" s="26">
        <f t="array" ref="F22">SUM(_nii1*(_nit1+TRANSPOSE(_nti1)))/(O18^2)</f>
        <v>0.36457777777777778</v>
      </c>
      <c r="G22" s="27">
        <f t="array" ref="G22">SUM(D7:M16*((MMULT({1;1;1;1;1;1;1;1;1;1},_nti1)+TRANSPOSE(MMULT({1;1;1;1;1;1;1;1;1;1},TRANSPOSE(_nit1))))^2))/(O18^3)</f>
        <v>0.21202429629629629</v>
      </c>
      <c r="I22" s="33">
        <f>(D22*(1-D22))/((1-E22)^2)</f>
        <v>0.26668312641038194</v>
      </c>
      <c r="J22" s="34">
        <f>2*(1-D22)*(2*D22*E22-F22)/((1-E22)^3)</f>
        <v>-1.8862698167251002E-2</v>
      </c>
      <c r="K22" s="35">
        <f>((1-D22)^2)*(G22-(4*(E22^2)))/((1-E22)^4)</f>
        <v>2.8875948720223448E-3</v>
      </c>
      <c r="P22" s="10"/>
    </row>
    <row r="23" spans="2:16" ht="10.5" customHeight="1">
      <c r="B23" s="9"/>
      <c r="P23" s="10"/>
    </row>
    <row r="24" spans="2:16" ht="10.5" customHeight="1" thickBot="1">
      <c r="B24" s="9"/>
      <c r="D24" s="4"/>
      <c r="P24" s="10"/>
    </row>
    <row r="25" spans="2:16" ht="10.5" customHeight="1" thickBot="1">
      <c r="B25" s="9"/>
      <c r="D25" s="46" t="s">
        <v>31</v>
      </c>
      <c r="E25" s="43">
        <f>(D22-E22)/(1-E22)</f>
        <v>0.73642444167327981</v>
      </c>
      <c r="I25" s="28" t="s">
        <v>32</v>
      </c>
      <c r="J25" s="44">
        <f>(I22+J22+K22)/O18</f>
        <v>1.6713868207676886E-3</v>
      </c>
      <c r="P25" s="10"/>
    </row>
    <row r="26" spans="2:16" ht="10.5" customHeight="1" thickBot="1">
      <c r="B26" s="9"/>
      <c r="D26" s="46" t="s">
        <v>27</v>
      </c>
      <c r="E26" s="43">
        <f>D22</f>
        <v>0.79333333333333333</v>
      </c>
      <c r="P26" s="10"/>
    </row>
    <row r="27" spans="2:16" ht="10.5" customHeight="1" thickBot="1"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</row>
    <row r="28" spans="2:16" ht="10.5" customHeight="1"/>
    <row r="29" spans="2:16" ht="10.5" customHeight="1">
      <c r="C29" s="48" t="s">
        <v>21</v>
      </c>
    </row>
    <row r="30" spans="2:16" ht="10.5" customHeight="1" thickBot="1"/>
    <row r="31" spans="2:16" ht="10.5" customHeight="1" thickBot="1">
      <c r="C31" s="41" t="s">
        <v>22</v>
      </c>
      <c r="D31" s="47" t="s">
        <v>2</v>
      </c>
      <c r="E31" s="40" t="s">
        <v>26</v>
      </c>
      <c r="H31" s="39"/>
    </row>
    <row r="32" spans="2:16">
      <c r="C32" s="42" t="str">
        <f>D6</f>
        <v>A</v>
      </c>
      <c r="D32" s="45">
        <f>IF(ISNUMBER(D7),($O$18*D7-$O7*D$18)/($O$18*$O7-$O7*D$18),"")</f>
        <v>0.7636554621848739</v>
      </c>
      <c r="E32" s="5">
        <f>IF(ISNUMBER(D7),$O$18*($O7-D7)*(($O7-D7)*($O7*D$18-$O$18*D7)+$O$18*D7*($O$18-$O7-D$18+D7))/(($O7*($O$18-D$18))^3),"")</f>
        <v>1.4462641558415259E-2</v>
      </c>
    </row>
    <row r="33" spans="3:5">
      <c r="C33" s="42" t="str">
        <f>E6</f>
        <v>B</v>
      </c>
      <c r="D33" s="45">
        <f>IF(ISNUMBER(E8),($O$18*E8-$O8*E$18)/($O$18*$O8-$O8*E$18),"")</f>
        <v>0.37659846547314579</v>
      </c>
      <c r="E33" s="5">
        <f>IF(ISNUMBER(E8),$O$18*($O8-E8)*(($O8-E8)*($O8*E$18-$O$18*E8)+$O$18*E8*($O$18-$O8-E$18+E8))/(($O8*($O$18-E$18))^3),"")</f>
        <v>1.0779504567733682E-2</v>
      </c>
    </row>
    <row r="34" spans="3:5">
      <c r="C34" s="42" t="str">
        <f>F6</f>
        <v>C</v>
      </c>
      <c r="D34" s="45">
        <f>IF(ISNUMBER(F9),($O$18*F9-$O9*F$18)/($O$18*$O9-$O9*F$18),"")</f>
        <v>0.59514170040485825</v>
      </c>
      <c r="E34" s="5">
        <f>IF(ISNUMBER(F9),$O$18*($O9-F9)*(($O9-F9)*($O9*F$18-$O$18*F9)+$O$18*F9*($O$18-$O9-F$18+F9))/(($O9*($O$18-F$18))^3),"")</f>
        <v>7.8106216889882113E-3</v>
      </c>
    </row>
    <row r="35" spans="3:5">
      <c r="C35" s="42" t="str">
        <f>G6</f>
        <v>D</v>
      </c>
      <c r="D35" s="45">
        <f>IF(ISNUMBER(G10),($O$18*G10-$O10*G$18)/($O$18*$O10-$O10*G$18),"")</f>
        <v>0.87142857142857144</v>
      </c>
      <c r="E35" s="5">
        <f>IF(ISNUMBER(G10),$O$18*($O10-G10)*(($O10-G10)*($O10*G$18-$O$18*G10)+$O$18*G10*($O$18-$O10-G$18+G10))/(($O10*($O$18-G$18))^3),"")</f>
        <v>4.7057142857142853E-3</v>
      </c>
    </row>
    <row r="36" spans="3:5">
      <c r="C36" s="42" t="str">
        <f>H6</f>
        <v>E</v>
      </c>
      <c r="D36" s="45">
        <f>IF(ISNUMBER(H11),($O$18*H11-$O11*H$18)/($O$18*$O11-$O11*H$18),"")</f>
        <v>1</v>
      </c>
      <c r="E36" s="5">
        <f>IF(ISNUMBER(H11),$O$18*($O11-H11)*(($O11-H11)*($O11*H$18-$O$18*H11)+$O$18*H11*($O$18-$O11-H$18+H11))/(($O11*($O$18-H$18))^3),"")</f>
        <v>0</v>
      </c>
    </row>
    <row r="37" spans="3:5">
      <c r="C37" s="42" t="str">
        <f>I6</f>
        <v>F</v>
      </c>
      <c r="D37" s="45" t="str">
        <f>IF(ISNUMBER(I12),($O$18*I12-$O12*I$18)/($O$18*$O12-$O12*I$18),"")</f>
        <v/>
      </c>
      <c r="E37" s="5" t="str">
        <f>IF(ISNUMBER(I12),$O$18*($O12-I12)*(($O12-I12)*($O12*I$18-$O$18*I12)+$O$18*I12*($O$18-$O12-I$18+I12))/(($O12*($O$18-I$18))^3),"")</f>
        <v/>
      </c>
    </row>
    <row r="38" spans="3:5">
      <c r="C38" s="42" t="str">
        <f>J6</f>
        <v>G</v>
      </c>
      <c r="D38" s="45" t="str">
        <f>IF(ISNUMBER(J13),($O$18*J13-$O13*J$18)/($O$18*$O13-$O13*J$18),"")</f>
        <v/>
      </c>
      <c r="E38" s="5" t="str">
        <f>IF(ISNUMBER(J13),$O$18*($O13-J13)*(($O13-J13)*($O13*J$18-$O$18*J13)+$O$18*J13*($O$18-$O13-J$18+J13))/(($O13*($O$18-J$18))^3),"")</f>
        <v/>
      </c>
    </row>
    <row r="39" spans="3:5">
      <c r="C39" s="42" t="str">
        <f>K6</f>
        <v>H</v>
      </c>
      <c r="D39" s="45" t="str">
        <f>IF(ISNUMBER(K14),($O$18*K14-$O14*K$18)/($O$18*$O14-$O14*K$18),"")</f>
        <v/>
      </c>
      <c r="E39" s="5" t="str">
        <f>IF(ISNUMBER(K14),$O$18*($O14-K14)*(($O14-K14)*($O14*K$18-$O$18*K14)+$O$18*K14*($O$18-$O14-K$18+K14))/(($O14*($O$18-K$18))^3),"")</f>
        <v/>
      </c>
    </row>
    <row r="40" spans="3:5">
      <c r="C40" s="42" t="str">
        <f>L6</f>
        <v>I</v>
      </c>
      <c r="D40" s="45" t="str">
        <f>IF(ISNUMBER(L15),($O$18*L15-$O15*L$18)/($O$18*$O15-$O15*L$18),"")</f>
        <v/>
      </c>
      <c r="E40" s="5" t="str">
        <f>IF(ISNUMBER(L15),$O$18*($O15-L15)*(($O15-L15)*($O15*L$18-$O$18*L15)+$O$18*L15*($O$18-$O15-L$18+L15))/(($O15*($O$18-L$18))^3),"")</f>
        <v/>
      </c>
    </row>
    <row r="41" spans="3:5">
      <c r="C41" s="42" t="str">
        <f>M6</f>
        <v>J</v>
      </c>
      <c r="D41" s="45" t="str">
        <f>IF(ISNUMBER(M16),($O$18*M16-$O16*M$18)/($O$18*$O16-$O16*M$18),"")</f>
        <v/>
      </c>
      <c r="E41" s="5" t="str">
        <f>IF(ISNUMBER(M16),$O$18*($O16-M16)*(($O16-M16)*($O16*M$18-$O$18*M16)+$O$18*M16*($O$18-$O16-M$18+M16))/(($O16*($O$18-M$18))^3),"")</f>
        <v/>
      </c>
    </row>
  </sheetData>
  <mergeCells count="4">
    <mergeCell ref="D2:M2"/>
    <mergeCell ref="D3:M3"/>
    <mergeCell ref="D5:M5"/>
    <mergeCell ref="B7:B16"/>
  </mergeCells>
  <phoneticPr fontId="3" type="noConversion"/>
  <pageMargins left="0.78740157499999996" right="0.78740157499999996" top="0.984251969" bottom="0.984251969" header="0.49212598499999999" footer="0.49212598499999999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1"/>
  <sheetViews>
    <sheetView workbookViewId="0">
      <selection activeCell="D7" sqref="D7"/>
    </sheetView>
  </sheetViews>
  <sheetFormatPr defaultColWidth="9.140625" defaultRowHeight="11.25"/>
  <cols>
    <col min="1" max="2" width="2.28515625" style="5" customWidth="1"/>
    <col min="3" max="3" width="7.42578125" style="5" customWidth="1"/>
    <col min="4" max="13" width="8.140625" style="5" customWidth="1"/>
    <col min="14" max="14" width="2.140625" style="5" customWidth="1"/>
    <col min="15" max="15" width="9.42578125" style="5" customWidth="1"/>
    <col min="16" max="17" width="2.42578125" style="5" customWidth="1"/>
    <col min="18" max="18" width="9.140625" style="5" hidden="1" customWidth="1"/>
    <col min="19" max="16384" width="9.140625" style="5"/>
  </cols>
  <sheetData>
    <row r="1" spans="2:18" ht="12" customHeight="1" thickBot="1"/>
    <row r="2" spans="2:18" ht="10.5" customHeight="1">
      <c r="B2" s="6"/>
      <c r="C2" s="7"/>
      <c r="D2" s="59" t="s">
        <v>8</v>
      </c>
      <c r="E2" s="59"/>
      <c r="F2" s="59"/>
      <c r="G2" s="59"/>
      <c r="H2" s="59"/>
      <c r="I2" s="59"/>
      <c r="J2" s="59"/>
      <c r="K2" s="59"/>
      <c r="L2" s="59"/>
      <c r="M2" s="59"/>
      <c r="N2" s="7"/>
      <c r="O2" s="7"/>
      <c r="P2" s="8"/>
    </row>
    <row r="3" spans="2:18" ht="10.5" customHeight="1">
      <c r="B3" s="9"/>
      <c r="D3" s="60" t="s">
        <v>23</v>
      </c>
      <c r="E3" s="60"/>
      <c r="F3" s="60"/>
      <c r="G3" s="60"/>
      <c r="H3" s="60"/>
      <c r="I3" s="60"/>
      <c r="J3" s="60"/>
      <c r="K3" s="60"/>
      <c r="L3" s="60"/>
      <c r="M3" s="60"/>
      <c r="P3" s="10"/>
    </row>
    <row r="4" spans="2:18" ht="10.5" customHeight="1">
      <c r="B4" s="9"/>
      <c r="P4" s="10"/>
    </row>
    <row r="5" spans="2:18" ht="10.5" customHeight="1">
      <c r="B5" s="9"/>
      <c r="D5" s="61" t="s">
        <v>24</v>
      </c>
      <c r="E5" s="61"/>
      <c r="F5" s="61"/>
      <c r="G5" s="61"/>
      <c r="H5" s="61"/>
      <c r="I5" s="61"/>
      <c r="J5" s="61"/>
      <c r="K5" s="61"/>
      <c r="L5" s="61"/>
      <c r="M5" s="61"/>
      <c r="P5" s="10"/>
    </row>
    <row r="6" spans="2:18" ht="10.5" customHeight="1" thickBot="1">
      <c r="B6" s="9"/>
      <c r="D6" s="41" t="s">
        <v>9</v>
      </c>
      <c r="E6" s="41" t="s">
        <v>10</v>
      </c>
      <c r="F6" s="41" t="s">
        <v>11</v>
      </c>
      <c r="G6" s="41" t="s">
        <v>12</v>
      </c>
      <c r="H6" s="41" t="s">
        <v>13</v>
      </c>
      <c r="I6" s="41" t="s">
        <v>14</v>
      </c>
      <c r="J6" s="41" t="s">
        <v>15</v>
      </c>
      <c r="K6" s="41" t="s">
        <v>16</v>
      </c>
      <c r="L6" s="41" t="s">
        <v>17</v>
      </c>
      <c r="M6" s="41" t="s">
        <v>18</v>
      </c>
      <c r="O6" s="32" t="s">
        <v>19</v>
      </c>
      <c r="P6" s="10"/>
      <c r="R6" s="32" t="s">
        <v>29</v>
      </c>
    </row>
    <row r="7" spans="2:18" ht="10.5" customHeight="1">
      <c r="B7" s="62" t="s">
        <v>25</v>
      </c>
      <c r="C7" s="41" t="str">
        <f>D6</f>
        <v>A</v>
      </c>
      <c r="D7" s="11">
        <v>25</v>
      </c>
      <c r="E7" s="12">
        <v>0</v>
      </c>
      <c r="F7" s="12">
        <v>2</v>
      </c>
      <c r="G7" s="12">
        <v>0</v>
      </c>
      <c r="H7" s="12">
        <v>0</v>
      </c>
      <c r="I7" s="12"/>
      <c r="J7" s="12"/>
      <c r="K7" s="12"/>
      <c r="L7" s="12"/>
      <c r="M7" s="13"/>
      <c r="O7" s="14">
        <f>SUM(D7:M7)</f>
        <v>27</v>
      </c>
      <c r="P7" s="10"/>
      <c r="R7" s="15">
        <f>D7</f>
        <v>25</v>
      </c>
    </row>
    <row r="8" spans="2:18" ht="10.5" customHeight="1">
      <c r="B8" s="62"/>
      <c r="C8" s="41" t="str">
        <f>E6</f>
        <v>B</v>
      </c>
      <c r="D8" s="16">
        <v>2</v>
      </c>
      <c r="E8" s="17">
        <v>28</v>
      </c>
      <c r="F8" s="17">
        <v>0</v>
      </c>
      <c r="G8" s="17">
        <v>0</v>
      </c>
      <c r="H8" s="17">
        <v>4</v>
      </c>
      <c r="I8" s="17"/>
      <c r="J8" s="17"/>
      <c r="K8" s="17"/>
      <c r="L8" s="17"/>
      <c r="M8" s="18"/>
      <c r="O8" s="14">
        <f t="shared" ref="O8:O16" si="0">SUM(D8:M8)</f>
        <v>34</v>
      </c>
      <c r="P8" s="10"/>
      <c r="R8" s="19">
        <f>E8</f>
        <v>28</v>
      </c>
    </row>
    <row r="9" spans="2:18" ht="10.5" customHeight="1">
      <c r="B9" s="62"/>
      <c r="C9" s="41" t="str">
        <f>F6</f>
        <v>C</v>
      </c>
      <c r="D9" s="16">
        <v>0</v>
      </c>
      <c r="E9" s="17">
        <v>2</v>
      </c>
      <c r="F9" s="17">
        <v>30</v>
      </c>
      <c r="G9" s="17">
        <v>2</v>
      </c>
      <c r="H9" s="17">
        <v>0</v>
      </c>
      <c r="I9" s="17"/>
      <c r="J9" s="17"/>
      <c r="K9" s="17"/>
      <c r="L9" s="17"/>
      <c r="M9" s="18"/>
      <c r="O9" s="14">
        <f t="shared" si="0"/>
        <v>34</v>
      </c>
      <c r="P9" s="10"/>
      <c r="R9" s="19">
        <f>F9</f>
        <v>30</v>
      </c>
    </row>
    <row r="10" spans="2:18" ht="10.5" customHeight="1">
      <c r="B10" s="62"/>
      <c r="C10" s="41" t="str">
        <f>G6</f>
        <v>D</v>
      </c>
      <c r="D10" s="16">
        <v>0</v>
      </c>
      <c r="E10" s="17">
        <v>0</v>
      </c>
      <c r="F10" s="17">
        <v>1</v>
      </c>
      <c r="G10" s="17">
        <v>33</v>
      </c>
      <c r="H10" s="17">
        <v>0</v>
      </c>
      <c r="I10" s="17"/>
      <c r="J10" s="17"/>
      <c r="K10" s="17"/>
      <c r="L10" s="17"/>
      <c r="M10" s="18"/>
      <c r="O10" s="14">
        <f t="shared" si="0"/>
        <v>34</v>
      </c>
      <c r="P10" s="10"/>
      <c r="R10" s="19">
        <f>G10</f>
        <v>33</v>
      </c>
    </row>
    <row r="11" spans="2:18" ht="10.5" customHeight="1">
      <c r="B11" s="62"/>
      <c r="C11" s="41" t="str">
        <f>H6</f>
        <v>E</v>
      </c>
      <c r="D11" s="16">
        <v>0</v>
      </c>
      <c r="E11" s="17">
        <v>0</v>
      </c>
      <c r="F11" s="17">
        <v>0</v>
      </c>
      <c r="G11" s="17">
        <v>0</v>
      </c>
      <c r="H11" s="17">
        <v>21</v>
      </c>
      <c r="I11" s="17"/>
      <c r="J11" s="17"/>
      <c r="K11" s="17"/>
      <c r="L11" s="17"/>
      <c r="M11" s="18"/>
      <c r="O11" s="14">
        <f t="shared" si="0"/>
        <v>21</v>
      </c>
      <c r="P11" s="10"/>
      <c r="R11" s="19">
        <f>H11</f>
        <v>21</v>
      </c>
    </row>
    <row r="12" spans="2:18" ht="10.5" customHeight="1">
      <c r="B12" s="62"/>
      <c r="C12" s="41" t="str">
        <f>I6</f>
        <v>F</v>
      </c>
      <c r="D12" s="16"/>
      <c r="E12" s="17"/>
      <c r="F12" s="17"/>
      <c r="G12" s="17"/>
      <c r="H12" s="17"/>
      <c r="I12" s="17"/>
      <c r="J12" s="17"/>
      <c r="K12" s="17"/>
      <c r="L12" s="17"/>
      <c r="M12" s="18"/>
      <c r="O12" s="14">
        <f t="shared" si="0"/>
        <v>0</v>
      </c>
      <c r="P12" s="10"/>
      <c r="R12" s="19">
        <f>I12</f>
        <v>0</v>
      </c>
    </row>
    <row r="13" spans="2:18" ht="10.5" customHeight="1">
      <c r="B13" s="62"/>
      <c r="C13" s="41" t="str">
        <f>J6</f>
        <v>G</v>
      </c>
      <c r="D13" s="16"/>
      <c r="E13" s="17"/>
      <c r="F13" s="17"/>
      <c r="G13" s="17"/>
      <c r="H13" s="17"/>
      <c r="I13" s="17"/>
      <c r="J13" s="17"/>
      <c r="K13" s="17"/>
      <c r="L13" s="17"/>
      <c r="M13" s="18"/>
      <c r="O13" s="14">
        <f t="shared" si="0"/>
        <v>0</v>
      </c>
      <c r="P13" s="10"/>
      <c r="R13" s="19">
        <f>J13</f>
        <v>0</v>
      </c>
    </row>
    <row r="14" spans="2:18" ht="10.5" customHeight="1">
      <c r="B14" s="62"/>
      <c r="C14" s="41" t="str">
        <f>K6</f>
        <v>H</v>
      </c>
      <c r="D14" s="16"/>
      <c r="E14" s="17"/>
      <c r="F14" s="17"/>
      <c r="G14" s="17"/>
      <c r="H14" s="17"/>
      <c r="I14" s="17"/>
      <c r="J14" s="17"/>
      <c r="K14" s="17"/>
      <c r="L14" s="17"/>
      <c r="M14" s="18"/>
      <c r="O14" s="14">
        <f t="shared" si="0"/>
        <v>0</v>
      </c>
      <c r="P14" s="10"/>
      <c r="R14" s="19">
        <f>K14</f>
        <v>0</v>
      </c>
    </row>
    <row r="15" spans="2:18" ht="10.5" customHeight="1">
      <c r="B15" s="62"/>
      <c r="C15" s="41" t="str">
        <f>L6</f>
        <v>I</v>
      </c>
      <c r="D15" s="16"/>
      <c r="E15" s="17"/>
      <c r="F15" s="17"/>
      <c r="G15" s="17"/>
      <c r="H15" s="17"/>
      <c r="I15" s="17"/>
      <c r="J15" s="17"/>
      <c r="K15" s="17"/>
      <c r="L15" s="17"/>
      <c r="M15" s="18"/>
      <c r="O15" s="14">
        <f t="shared" si="0"/>
        <v>0</v>
      </c>
      <c r="P15" s="10"/>
      <c r="R15" s="19">
        <f>L15</f>
        <v>0</v>
      </c>
    </row>
    <row r="16" spans="2:18" ht="10.5" customHeight="1" thickBot="1">
      <c r="B16" s="62"/>
      <c r="C16" s="41" t="str">
        <f>M6</f>
        <v>J</v>
      </c>
      <c r="D16" s="20"/>
      <c r="E16" s="21"/>
      <c r="F16" s="21"/>
      <c r="G16" s="21"/>
      <c r="H16" s="21"/>
      <c r="I16" s="21"/>
      <c r="J16" s="21"/>
      <c r="K16" s="21"/>
      <c r="L16" s="21"/>
      <c r="M16" s="22"/>
      <c r="O16" s="14">
        <f t="shared" si="0"/>
        <v>0</v>
      </c>
      <c r="P16" s="10"/>
      <c r="R16" s="23">
        <f>M16</f>
        <v>0</v>
      </c>
    </row>
    <row r="17" spans="2:16" ht="10.5" customHeight="1" thickBot="1">
      <c r="B17" s="9"/>
      <c r="P17" s="10"/>
    </row>
    <row r="18" spans="2:16" ht="10.5" customHeight="1" thickBot="1">
      <c r="B18" s="9"/>
      <c r="C18" s="32" t="s">
        <v>20</v>
      </c>
      <c r="D18" s="14">
        <f>SUM(D7:D16)</f>
        <v>27</v>
      </c>
      <c r="E18" s="14">
        <f t="shared" ref="E18:M18" si="1">SUM(E7:E16)</f>
        <v>30</v>
      </c>
      <c r="F18" s="14">
        <f t="shared" si="1"/>
        <v>33</v>
      </c>
      <c r="G18" s="14">
        <f t="shared" si="1"/>
        <v>35</v>
      </c>
      <c r="H18" s="14">
        <f t="shared" si="1"/>
        <v>25</v>
      </c>
      <c r="I18" s="14">
        <f t="shared" si="1"/>
        <v>0</v>
      </c>
      <c r="J18" s="14">
        <f t="shared" si="1"/>
        <v>0</v>
      </c>
      <c r="K18" s="14">
        <f t="shared" si="1"/>
        <v>0</v>
      </c>
      <c r="L18" s="14">
        <f t="shared" si="1"/>
        <v>0</v>
      </c>
      <c r="M18" s="14">
        <f t="shared" si="1"/>
        <v>0</v>
      </c>
      <c r="O18" s="24">
        <f>SUM(D7:M16)</f>
        <v>150</v>
      </c>
      <c r="P18" s="10"/>
    </row>
    <row r="19" spans="2:16" ht="10.5" customHeight="1">
      <c r="B19" s="9"/>
      <c r="P19" s="10"/>
    </row>
    <row r="20" spans="2:16" ht="10.5" hidden="1" customHeight="1">
      <c r="B20" s="9"/>
      <c r="P20" s="10"/>
    </row>
    <row r="21" spans="2:16" ht="10.5" hidden="1" customHeight="1">
      <c r="B21" s="9"/>
      <c r="D21" s="1" t="s">
        <v>0</v>
      </c>
      <c r="E21" s="3" t="s">
        <v>1</v>
      </c>
      <c r="F21" s="3" t="s">
        <v>3</v>
      </c>
      <c r="G21" s="2" t="s">
        <v>4</v>
      </c>
      <c r="I21" s="36" t="s">
        <v>7</v>
      </c>
      <c r="J21" s="37" t="s">
        <v>5</v>
      </c>
      <c r="K21" s="38" t="s">
        <v>6</v>
      </c>
      <c r="P21" s="10"/>
    </row>
    <row r="22" spans="2:16" ht="10.5" hidden="1" customHeight="1">
      <c r="B22" s="9"/>
      <c r="D22" s="25">
        <f>SUM(_nii2)/O18</f>
        <v>0.91333333333333333</v>
      </c>
      <c r="E22" s="26">
        <f t="array" ref="E22">SUMPRODUCT(_nit2,TRANSPOSE(_nti2))/(O18^2)</f>
        <v>0.20382222222222221</v>
      </c>
      <c r="F22" s="26">
        <f t="array" ref="F22">SUM(_nii2*(_nit2+TRANSPOSE(_nti2)))/(O18^2)</f>
        <v>0.37311111111111112</v>
      </c>
      <c r="G22" s="27">
        <f t="array" ref="G22">SUM(D7:M16*((MMULT({1;1;1;1;1;1;1;1;1;1},_nti1)+TRANSPOSE(MMULT({1;1;1;1;1;1;1;1;1;1},TRANSPOSE(_nit1))))^2))/(O18^3)</f>
        <v>0.1673274074074074</v>
      </c>
      <c r="I22" s="33">
        <f>(D22*(1-D22))/((1-E22)^2)</f>
        <v>0.12487091608301752</v>
      </c>
      <c r="J22" s="34">
        <f>2*(1-D22)*(2*D22*E22-F22)/((1-E22)^3)</f>
        <v>-2.733280259528675E-4</v>
      </c>
      <c r="K22" s="35">
        <f>((1-D22)^2)*(G22-(4*(E22^2)))/((1-E22)^4)</f>
        <v>2.1560027914765707E-5</v>
      </c>
      <c r="P22" s="10"/>
    </row>
    <row r="23" spans="2:16" ht="10.5" hidden="1" customHeight="1">
      <c r="B23" s="9"/>
      <c r="P23" s="10"/>
    </row>
    <row r="24" spans="2:16" ht="10.5" customHeight="1" thickBot="1">
      <c r="B24" s="9"/>
      <c r="D24" s="4"/>
      <c r="P24" s="10"/>
    </row>
    <row r="25" spans="2:16" ht="10.5" customHeight="1" thickBot="1">
      <c r="B25" s="9"/>
      <c r="D25" s="46" t="s">
        <v>34</v>
      </c>
      <c r="E25" s="43">
        <f>(D22-E22)/(1-E22)</f>
        <v>0.89114658925979684</v>
      </c>
      <c r="I25" s="28" t="s">
        <v>33</v>
      </c>
      <c r="J25" s="44">
        <f>(I22+J22+K22)/O18</f>
        <v>8.3079432056652953E-4</v>
      </c>
      <c r="P25" s="10"/>
    </row>
    <row r="26" spans="2:16" ht="10.5" customHeight="1" thickBot="1">
      <c r="B26" s="9"/>
      <c r="D26" s="46" t="s">
        <v>27</v>
      </c>
      <c r="E26" s="43">
        <f>D22</f>
        <v>0.91333333333333333</v>
      </c>
      <c r="P26" s="10"/>
    </row>
    <row r="27" spans="2:16" ht="10.5" customHeight="1" thickBot="1"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</row>
    <row r="28" spans="2:16" ht="10.5" customHeight="1"/>
    <row r="29" spans="2:16" ht="10.5" customHeight="1">
      <c r="C29" s="48" t="s">
        <v>21</v>
      </c>
    </row>
    <row r="30" spans="2:16" ht="10.5" customHeight="1" thickBot="1"/>
    <row r="31" spans="2:16" ht="10.5" customHeight="1" thickBot="1">
      <c r="C31" s="41" t="s">
        <v>22</v>
      </c>
      <c r="D31" s="47" t="s">
        <v>2</v>
      </c>
      <c r="E31" s="40" t="s">
        <v>26</v>
      </c>
      <c r="H31" s="39"/>
    </row>
    <row r="32" spans="2:16">
      <c r="C32" s="42" t="str">
        <f>D6</f>
        <v>A</v>
      </c>
      <c r="D32" s="45">
        <f>IF(ISNUMBER(D7),($O$18*D7-$O7*D$18)/($O$18*$O7-$O7*D$18),"")</f>
        <v>0.90966576332429994</v>
      </c>
      <c r="E32" s="5">
        <f>IF(ISNUMBER(D7),$O$18*($O7-D7)*(($O7-D7)*($O7*D$18-$O$18*D7)+$O$18*D7*($O$18-$O7-D$18+D7))/(($O7*($O$18-D$18))^3),"")</f>
        <v>3.666987948780346E-3</v>
      </c>
    </row>
    <row r="33" spans="3:5">
      <c r="C33" s="42" t="str">
        <f>E6</f>
        <v>B</v>
      </c>
      <c r="D33" s="45">
        <f>IF(ISNUMBER(E8),($O$18*E8-$O8*E$18)/($O$18*$O8-$O8*E$18),"")</f>
        <v>0.77941176470588236</v>
      </c>
      <c r="E33" s="5">
        <f>IF(ISNUMBER(E8),$O$18*($O8-E8)*(($O8-E8)*($O8*E$18-$O$18*E8)+$O$18*E8*($O$18-$O8-E$18+E8))/(($O8*($O$18-E$18))^3),"")</f>
        <v>6.0919372074089151E-3</v>
      </c>
    </row>
    <row r="34" spans="3:5">
      <c r="C34" s="42" t="str">
        <f>F6</f>
        <v>C</v>
      </c>
      <c r="D34" s="45">
        <f>IF(ISNUMBER(F9),($O$18*F9-$O9*F$18)/($O$18*$O9-$O9*F$18),"")</f>
        <v>0.8491704374057315</v>
      </c>
      <c r="E34" s="5">
        <f>IF(ISNUMBER(F9),$O$18*($O9-F9)*(($O9-F9)*($O9*F$18-$O$18*F9)+$O$18*F9*($O$18-$O9-F$18+F9))/(($O9*($O$18-F$18))^3),"")</f>
        <v>4.7179309941108834E-3</v>
      </c>
    </row>
    <row r="35" spans="3:5">
      <c r="C35" s="42" t="str">
        <f>G6</f>
        <v>D</v>
      </c>
      <c r="D35" s="45">
        <f>IF(ISNUMBER(G10),($O$18*G10-$O10*G$18)/($O$18*$O10-$O10*G$18),"")</f>
        <v>0.96163682864450128</v>
      </c>
      <c r="E35" s="5">
        <f>IF(ISNUMBER(G10),$O$18*($O10-G10)*(($O10-G10)*($O10*G$18-$O$18*G10)+$O$18*G10*($O$18-$O10-G$18+G10))/(($O10*($O$18-G$18))^3),"")</f>
        <v>1.4065902284529309E-3</v>
      </c>
    </row>
    <row r="36" spans="3:5">
      <c r="C36" s="42" t="str">
        <f>H6</f>
        <v>E</v>
      </c>
      <c r="D36" s="45">
        <f>IF(ISNUMBER(H11),($O$18*H11-$O11*H$18)/($O$18*$O11-$O11*H$18),"")</f>
        <v>1</v>
      </c>
      <c r="E36" s="5">
        <f>IF(ISNUMBER(H11),$O$18*($O11-H11)*(($O11-H11)*($O11*H$18-$O$18*H11)+$O$18*H11*($O$18-$O11-H$18+H11))/(($O11*($O$18-H$18))^3),"")</f>
        <v>0</v>
      </c>
    </row>
    <row r="37" spans="3:5">
      <c r="C37" s="42" t="str">
        <f>I6</f>
        <v>F</v>
      </c>
      <c r="D37" s="45" t="str">
        <f>IF(ISNUMBER(I12),($O$18*I12-$O12*I$18)/($O$18*$O12-$O12*I$18),"")</f>
        <v/>
      </c>
      <c r="E37" s="5" t="str">
        <f>IF(ISNUMBER(I12),$O$18*($O12-I12)*(($O12-I12)*($O12*I$18-$O$18*I12)+$O$18*I12*($O$18-$O12-I$18+I12))/(($O12*($O$18-I$18))^3),"")</f>
        <v/>
      </c>
    </row>
    <row r="38" spans="3:5">
      <c r="C38" s="42" t="str">
        <f>J6</f>
        <v>G</v>
      </c>
      <c r="D38" s="45" t="str">
        <f>IF(ISNUMBER(J13),($O$18*J13-$O13*J$18)/($O$18*$O13-$O13*J$18),"")</f>
        <v/>
      </c>
      <c r="E38" s="5" t="str">
        <f>IF(ISNUMBER(J13),$O$18*($O13-J13)*(($O13-J13)*($O13*J$18-$O$18*J13)+$O$18*J13*($O$18-$O13-J$18+J13))/(($O13*($O$18-J$18))^3),"")</f>
        <v/>
      </c>
    </row>
    <row r="39" spans="3:5">
      <c r="C39" s="42" t="str">
        <f>K6</f>
        <v>H</v>
      </c>
      <c r="D39" s="45" t="str">
        <f>IF(ISNUMBER(K14),($O$18*K14-$O14*K$18)/($O$18*$O14-$O14*K$18),"")</f>
        <v/>
      </c>
      <c r="E39" s="5" t="str">
        <f>IF(ISNUMBER(K14),$O$18*($O14-K14)*(($O14-K14)*($O14*K$18-$O$18*K14)+$O$18*K14*($O$18-$O14-K$18+K14))/(($O14*($O$18-K$18))^3),"")</f>
        <v/>
      </c>
    </row>
    <row r="40" spans="3:5">
      <c r="C40" s="42" t="str">
        <f>L6</f>
        <v>I</v>
      </c>
      <c r="D40" s="45" t="str">
        <f>IF(ISNUMBER(L15),($O$18*L15-$O15*L$18)/($O$18*$O15-$O15*L$18),"")</f>
        <v/>
      </c>
      <c r="E40" s="5" t="str">
        <f>IF(ISNUMBER(L15),$O$18*($O15-L15)*(($O15-L15)*($O15*L$18-$O$18*L15)+$O$18*L15*($O$18-$O15-L$18+L15))/(($O15*($O$18-L$18))^3),"")</f>
        <v/>
      </c>
    </row>
    <row r="41" spans="3:5">
      <c r="C41" s="42" t="str">
        <f>M6</f>
        <v>J</v>
      </c>
      <c r="D41" s="45" t="str">
        <f>IF(ISNUMBER(M16),($O$18*M16-$O16*M$18)/($O$18*$O16-$O16*M$18),"")</f>
        <v/>
      </c>
      <c r="E41" s="5" t="str">
        <f>IF(ISNUMBER(M16),$O$18*($O16-M16)*(($O16-M16)*($O16*M$18-$O$18*M16)+$O$18*M16*($O$18-$O16-M$18+M16))/(($O16*($O$18-M$18))^3),"")</f>
        <v/>
      </c>
    </row>
  </sheetData>
  <mergeCells count="4">
    <mergeCell ref="D2:M2"/>
    <mergeCell ref="D3:M3"/>
    <mergeCell ref="D5:M5"/>
    <mergeCell ref="B7:B16"/>
  </mergeCells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selection activeCell="D7" sqref="D7"/>
    </sheetView>
  </sheetViews>
  <sheetFormatPr defaultRowHeight="12.75"/>
  <cols>
    <col min="1" max="1" width="9.85546875" customWidth="1"/>
  </cols>
  <sheetData>
    <row r="1" spans="1:9">
      <c r="A1" s="49" t="s">
        <v>30</v>
      </c>
      <c r="B1" s="50"/>
      <c r="C1" s="50"/>
      <c r="D1" s="50"/>
      <c r="E1" s="50"/>
      <c r="F1" s="50"/>
      <c r="G1" s="50"/>
      <c r="H1" s="50"/>
      <c r="I1" s="51"/>
    </row>
    <row r="2" spans="1:9">
      <c r="A2" s="52"/>
      <c r="I2" s="53"/>
    </row>
    <row r="3" spans="1:9">
      <c r="A3" s="52" t="s">
        <v>35</v>
      </c>
      <c r="I3" s="53"/>
    </row>
    <row r="4" spans="1:9">
      <c r="A4" s="52" t="s">
        <v>42</v>
      </c>
      <c r="I4" s="53"/>
    </row>
    <row r="5" spans="1:9">
      <c r="A5" s="52"/>
      <c r="I5" s="53"/>
    </row>
    <row r="6" spans="1:9">
      <c r="A6" s="52" t="s">
        <v>36</v>
      </c>
      <c r="B6" s="54">
        <f>matriz1!E25/SQRT(matriz1!J25)</f>
        <v>18.013151740856454</v>
      </c>
      <c r="I6" s="53"/>
    </row>
    <row r="7" spans="1:9">
      <c r="A7" s="52" t="s">
        <v>37</v>
      </c>
      <c r="B7" s="55">
        <f>1-NORMSDIST(B6)</f>
        <v>0</v>
      </c>
      <c r="I7" s="53"/>
    </row>
    <row r="8" spans="1:9">
      <c r="A8" s="52" t="s">
        <v>38</v>
      </c>
      <c r="B8">
        <v>0.05</v>
      </c>
      <c r="I8" s="53"/>
    </row>
    <row r="9" spans="1:9">
      <c r="A9" s="52"/>
      <c r="I9" s="53"/>
    </row>
    <row r="10" spans="1:9">
      <c r="A10" s="52" t="s">
        <v>39</v>
      </c>
      <c r="B10" t="str">
        <f>IF(B7&lt;B8,"rejeito H0, o kappa1 é significativamente maior que zero","aceito H0, o kappa1 não é significamente maior que zero")</f>
        <v>rejeito H0, o kappa1 é significativamente maior que zero</v>
      </c>
      <c r="I10" s="53"/>
    </row>
    <row r="11" spans="1:9">
      <c r="A11" s="56"/>
      <c r="B11" s="57"/>
      <c r="C11" s="57"/>
      <c r="D11" s="57"/>
      <c r="E11" s="57"/>
      <c r="F11" s="57"/>
      <c r="G11" s="57"/>
      <c r="H11" s="57"/>
      <c r="I11" s="58"/>
    </row>
    <row r="12" spans="1:9">
      <c r="A12" s="49" t="s">
        <v>30</v>
      </c>
      <c r="B12" s="50"/>
      <c r="C12" s="50"/>
      <c r="D12" s="50"/>
      <c r="E12" s="50"/>
      <c r="F12" s="50"/>
      <c r="G12" s="50"/>
      <c r="H12" s="50"/>
      <c r="I12" s="51"/>
    </row>
    <row r="13" spans="1:9">
      <c r="A13" s="52"/>
      <c r="I13" s="53"/>
    </row>
    <row r="14" spans="1:9">
      <c r="A14" s="52" t="s">
        <v>41</v>
      </c>
      <c r="I14" s="53"/>
    </row>
    <row r="15" spans="1:9">
      <c r="A15" s="52" t="s">
        <v>43</v>
      </c>
      <c r="I15" s="53"/>
    </row>
    <row r="16" spans="1:9">
      <c r="A16" s="52"/>
      <c r="I16" s="53"/>
    </row>
    <row r="17" spans="1:9">
      <c r="A17" s="52" t="s">
        <v>36</v>
      </c>
      <c r="B17" s="54">
        <f>matriz2!E25/SQRT(matriz2!J25)</f>
        <v>30.917359064233345</v>
      </c>
      <c r="I17" s="53"/>
    </row>
    <row r="18" spans="1:9">
      <c r="A18" s="52" t="s">
        <v>37</v>
      </c>
      <c r="B18" s="55">
        <f>1-NORMSDIST(ABS(B17))</f>
        <v>0</v>
      </c>
      <c r="I18" s="53"/>
    </row>
    <row r="19" spans="1:9">
      <c r="A19" s="52" t="s">
        <v>38</v>
      </c>
      <c r="B19">
        <v>0.05</v>
      </c>
      <c r="I19" s="53"/>
    </row>
    <row r="20" spans="1:9">
      <c r="A20" s="52"/>
      <c r="I20" s="53"/>
    </row>
    <row r="21" spans="1:9">
      <c r="A21" s="52" t="s">
        <v>39</v>
      </c>
      <c r="B21" t="str">
        <f>IF(B18&lt;B19,"rejeito H0, o kappa2 é significativamente maior que zero","aceito H0, o kappa2 não é significamente maior que zero")</f>
        <v>rejeito H0, o kappa2 é significativamente maior que zero</v>
      </c>
      <c r="I21" s="53"/>
    </row>
    <row r="22" spans="1:9">
      <c r="A22" s="56"/>
      <c r="B22" s="57"/>
      <c r="C22" s="57"/>
      <c r="D22" s="57"/>
      <c r="E22" s="57"/>
      <c r="F22" s="57"/>
      <c r="G22" s="57"/>
      <c r="H22" s="57"/>
      <c r="I22" s="58"/>
    </row>
    <row r="23" spans="1:9">
      <c r="A23" s="49" t="s">
        <v>30</v>
      </c>
      <c r="B23" s="50"/>
      <c r="C23" s="50"/>
      <c r="D23" s="50"/>
      <c r="E23" s="50"/>
      <c r="F23" s="50"/>
      <c r="G23" s="50"/>
      <c r="H23" s="50"/>
      <c r="I23" s="51"/>
    </row>
    <row r="24" spans="1:9">
      <c r="A24" s="52"/>
      <c r="I24" s="53"/>
    </row>
    <row r="25" spans="1:9">
      <c r="A25" s="52" t="s">
        <v>40</v>
      </c>
      <c r="I25" s="53"/>
    </row>
    <row r="26" spans="1:9">
      <c r="A26" s="52" t="str">
        <f>CONCATENATE("H1: kappa1 - kappa2 ",IF(matriz1!E25&gt;matriz2!E25,"&gt;","&lt;")," 0")</f>
        <v>H1: kappa1 - kappa2 &lt; 0</v>
      </c>
      <c r="I26" s="53"/>
    </row>
    <row r="27" spans="1:9">
      <c r="A27" s="52"/>
      <c r="I27" s="53"/>
    </row>
    <row r="28" spans="1:9">
      <c r="A28" s="52" t="s">
        <v>36</v>
      </c>
      <c r="B28" s="54">
        <f>(matriz1!E25-matriz2!E25)/SQRT(matriz1!J25+matriz2!J25)</f>
        <v>-3.0930939508889601</v>
      </c>
      <c r="I28" s="53"/>
    </row>
    <row r="29" spans="1:9">
      <c r="A29" s="52" t="s">
        <v>37</v>
      </c>
      <c r="B29" s="55">
        <f>1-NORMSDIST(ABS(B28))</f>
        <v>9.9040707591058208E-4</v>
      </c>
      <c r="I29" s="53"/>
    </row>
    <row r="30" spans="1:9">
      <c r="A30" s="52" t="s">
        <v>38</v>
      </c>
      <c r="B30" s="54">
        <v>0.05</v>
      </c>
      <c r="I30" s="53"/>
    </row>
    <row r="31" spans="1:9">
      <c r="A31" s="52"/>
      <c r="I31" s="53"/>
    </row>
    <row r="32" spans="1:9">
      <c r="A32" s="52" t="s">
        <v>39</v>
      </c>
      <c r="B32" t="str">
        <f>IF(B29&lt;B30,CONCATENATE("rejeito H0, o kappa1 é significativamente ",IF(matriz1!E25&gt;matriz2!E25,"maior","menor")," que o kappa2"),"aceito H0, os kappas não são significamente diferentes")</f>
        <v>rejeito H0, o kappa1 é significativamente menor que o kappa2</v>
      </c>
      <c r="I32" s="53"/>
    </row>
    <row r="33" spans="1:9">
      <c r="A33" s="56"/>
      <c r="B33" s="57"/>
      <c r="C33" s="57"/>
      <c r="D33" s="57"/>
      <c r="E33" s="57"/>
      <c r="F33" s="57"/>
      <c r="G33" s="57"/>
      <c r="H33" s="57"/>
      <c r="I33" s="58"/>
    </row>
  </sheetData>
  <phoneticPr fontId="3" type="noConversion"/>
  <conditionalFormatting sqref="B7 B18 B29">
    <cfRule type="cellIs" dxfId="1" priority="1" stopIfTrue="1" operator="lessThanOrEqual">
      <formula>0.01</formula>
    </cfRule>
    <cfRule type="cellIs" dxfId="0" priority="2" stopIfTrue="1" operator="lessThanOrEqual">
      <formula>0.05</formula>
    </cfRule>
  </conditionalFormatting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9</vt:i4>
      </vt:variant>
    </vt:vector>
  </HeadingPairs>
  <TitlesOfParts>
    <vt:vector size="12" baseType="lpstr">
      <vt:lpstr>matriz1</vt:lpstr>
      <vt:lpstr>matriz2</vt:lpstr>
      <vt:lpstr>testes</vt:lpstr>
      <vt:lpstr>_nii1</vt:lpstr>
      <vt:lpstr>_nii2</vt:lpstr>
      <vt:lpstr>_nit1</vt:lpstr>
      <vt:lpstr>_nit2</vt:lpstr>
      <vt:lpstr>_nti1</vt:lpstr>
      <vt:lpstr>_nti2</vt:lpstr>
      <vt:lpstr>nii</vt:lpstr>
      <vt:lpstr>nit</vt:lpstr>
      <vt:lpstr>nti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</dc:creator>
  <cp:lastModifiedBy>Camilo Daleles Rennó</cp:lastModifiedBy>
  <dcterms:created xsi:type="dcterms:W3CDTF">1998-08-22T13:50:38Z</dcterms:created>
  <dcterms:modified xsi:type="dcterms:W3CDTF">2026-05-19T15:29:17Z</dcterms:modified>
</cp:coreProperties>
</file>